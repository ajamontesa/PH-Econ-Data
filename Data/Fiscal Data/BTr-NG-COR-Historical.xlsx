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J\GitHub Repositories\PH-Econ-Data\Data\Fiscal Data\"/>
    </mc:Choice>
  </mc:AlternateContent>
  <xr:revisionPtr revIDLastSave="0" documentId="13_ncr:1_{A1AEB351-3468-430A-B211-282DC4C11281}" xr6:coauthVersionLast="47" xr6:coauthVersionMax="47" xr10:uidLastSave="{00000000-0000-0000-0000-000000000000}"/>
  <bookViews>
    <workbookView xWindow="3330" yWindow="1725" windowWidth="14370" windowHeight="9375" tabRatio="500" xr2:uid="{00000000-000D-0000-FFFF-FFFF00000000}"/>
  </bookViews>
  <sheets>
    <sheet name="2025" sheetId="62" r:id="rId1"/>
    <sheet name="2024" sheetId="56" r:id="rId2"/>
    <sheet name="2023" sheetId="53" r:id="rId3"/>
    <sheet name="2022 v2" sheetId="2" r:id="rId4"/>
    <sheet name="2021 v2" sheetId="3" r:id="rId5"/>
    <sheet name="2020 v2" sheetId="4" r:id="rId6"/>
    <sheet name="2019 v2" sheetId="5" r:id="rId7"/>
    <sheet name="2018 v2" sheetId="6" r:id="rId8"/>
    <sheet name="2017v1" sheetId="7" r:id="rId9"/>
    <sheet name="2017v2" sheetId="8" r:id="rId10"/>
    <sheet name="2016v1" sheetId="9" r:id="rId11"/>
    <sheet name="2016v2" sheetId="10" r:id="rId12"/>
    <sheet name="2015v1" sheetId="11" r:id="rId13"/>
    <sheet name="2015v2" sheetId="12" r:id="rId14"/>
    <sheet name="2014v1" sheetId="13" r:id="rId15"/>
    <sheet name="2014 v2" sheetId="14" r:id="rId16"/>
    <sheet name="2013v1" sheetId="15" r:id="rId17"/>
    <sheet name="2013v2" sheetId="16" r:id="rId18"/>
    <sheet name="2012v1" sheetId="17" r:id="rId19"/>
    <sheet name="2012v2" sheetId="18" r:id="rId20"/>
    <sheet name="2011v1" sheetId="19" r:id="rId21"/>
    <sheet name="2011v2" sheetId="20" r:id="rId22"/>
    <sheet name="2010v1" sheetId="21" r:id="rId23"/>
    <sheet name="2010v2" sheetId="22" r:id="rId24"/>
    <sheet name="2009v1" sheetId="23" r:id="rId25"/>
    <sheet name="2009v2" sheetId="24" r:id="rId26"/>
    <sheet name="2008v1" sheetId="25" r:id="rId27"/>
    <sheet name="2008v2" sheetId="26" r:id="rId28"/>
    <sheet name="2007v1" sheetId="27" r:id="rId29"/>
    <sheet name="2007v2" sheetId="28" r:id="rId30"/>
    <sheet name="2006v1" sheetId="29" r:id="rId31"/>
    <sheet name="2006v2" sheetId="30" r:id="rId32"/>
    <sheet name="2005v1" sheetId="31" r:id="rId33"/>
    <sheet name="2005v2" sheetId="32" r:id="rId34"/>
    <sheet name="2004v1" sheetId="33" r:id="rId35"/>
    <sheet name="2004v2" sheetId="34" r:id="rId36"/>
    <sheet name="2003" sheetId="35" r:id="rId37"/>
    <sheet name="2002" sheetId="36" r:id="rId38"/>
    <sheet name="2001" sheetId="37" r:id="rId39"/>
    <sheet name="2000" sheetId="38" r:id="rId40"/>
    <sheet name="1999" sheetId="39" r:id="rId41"/>
    <sheet name="1998" sheetId="40" r:id="rId42"/>
    <sheet name="1997" sheetId="41" r:id="rId43"/>
    <sheet name="1996" sheetId="42" r:id="rId44"/>
    <sheet name="1995" sheetId="43" r:id="rId45"/>
    <sheet name="1994" sheetId="44" r:id="rId46"/>
    <sheet name="1993" sheetId="45" r:id="rId47"/>
    <sheet name="1992" sheetId="46" r:id="rId48"/>
    <sheet name="1991" sheetId="47" r:id="rId49"/>
    <sheet name="1990" sheetId="48" r:id="rId50"/>
    <sheet name="1989" sheetId="49" r:id="rId51"/>
    <sheet name="1988" sheetId="50" r:id="rId52"/>
    <sheet name="1987" sheetId="51" r:id="rId53"/>
    <sheet name="1986" sheetId="52" r:id="rId54"/>
  </sheets>
  <definedNames>
    <definedName name="_xlnm.Print_Area" localSheetId="53">'1986'!$A$1:$P$44</definedName>
    <definedName name="_xlnm.Print_Area" localSheetId="52">'1987'!$A$1:$P$46</definedName>
    <definedName name="_xlnm.Print_Area" localSheetId="51">'1988'!$A$1:$P$45</definedName>
    <definedName name="_xlnm.Print_Area" localSheetId="50">'1989'!$A$1:$P$47</definedName>
    <definedName name="_xlnm.Print_Area" localSheetId="49">'1990'!$A$1:$P$48</definedName>
    <definedName name="_xlnm.Print_Area" localSheetId="48">'1991'!$A$1:$P$46</definedName>
    <definedName name="_xlnm.Print_Area" localSheetId="47">'1992'!$A$1:$P$46</definedName>
    <definedName name="_xlnm.Print_Area" localSheetId="46">'1993'!$A$1:$P$45</definedName>
    <definedName name="_xlnm.Print_Area" localSheetId="45">'1994'!$A$1:$P$44</definedName>
    <definedName name="_xlnm.Print_Area" localSheetId="44">'1995'!$A$1:$P$44</definedName>
    <definedName name="_xlnm.Print_Area" localSheetId="43">'1996'!$A$1:$P$44</definedName>
    <definedName name="_xlnm.Print_Area" localSheetId="42">'1997'!$A$1:$P$44</definedName>
    <definedName name="_xlnm.Print_Area" localSheetId="41">'1998'!$A$1:$P$47</definedName>
    <definedName name="_xlnm.Print_Area" localSheetId="40">'1999'!$A$1:$P$48</definedName>
    <definedName name="_xlnm.Print_Area" localSheetId="39">'2000'!$A$1:$P$49</definedName>
    <definedName name="_xlnm.Print_Area" localSheetId="38">'2001'!$A$1:$P$48</definedName>
    <definedName name="_xlnm.Print_Area" localSheetId="37">'2002'!$A$1:$Q$51</definedName>
    <definedName name="_xlnm.Print_Area" localSheetId="36">'2003'!$A$1:$Q$51</definedName>
    <definedName name="_xlnm.Print_Area" localSheetId="34">'2004v1'!$A$1:$R$59</definedName>
    <definedName name="_xlnm.Print_Area" localSheetId="35">'2004v2'!$A$1:$R$62</definedName>
    <definedName name="_xlnm.Print_Area" localSheetId="32">'2005v1'!$A$1:$S$59</definedName>
    <definedName name="_xlnm.Print_Area" localSheetId="33">'2005v2'!$A$1:$S$61</definedName>
    <definedName name="_xlnm.Print_Area" localSheetId="30">'2006v1'!$A$1:$S$60</definedName>
    <definedName name="_xlnm.Print_Area" localSheetId="31">'2006v2'!$A$1:$R$63</definedName>
    <definedName name="_xlnm.Print_Area" localSheetId="28">'2007v1'!$A$1:$S$57</definedName>
    <definedName name="_xlnm.Print_Area" localSheetId="29">'2007v2'!$A$1:$R$59</definedName>
    <definedName name="_xlnm.Print_Area" localSheetId="26">'2008v1'!$A$1:$S$58</definedName>
    <definedName name="_xlnm.Print_Area" localSheetId="27">'2008v2'!$A$1:$R$61</definedName>
    <definedName name="_xlnm.Print_Area" localSheetId="24">'2009v1'!$A$1:$S$58</definedName>
    <definedName name="_xlnm.Print_Area" localSheetId="25">'2009v2'!$A$1:$S$59</definedName>
    <definedName name="_xlnm.Print_Area" localSheetId="22">'2010v1'!$A$1:$S$59</definedName>
    <definedName name="_xlnm.Print_Area" localSheetId="23">'2010v2'!$A$1:$R$59</definedName>
    <definedName name="_xlnm.Print_Area" localSheetId="20">'2011v1'!$A$1:$S$58</definedName>
    <definedName name="_xlnm.Print_Area" localSheetId="21">'2011v2'!$A$1:$S$60</definedName>
    <definedName name="_xlnm.Print_Area" localSheetId="18">'2012v1'!$A$1:$S$58</definedName>
    <definedName name="_xlnm.Print_Area" localSheetId="19">'2012v2'!$A$1:$S$58</definedName>
    <definedName name="_xlnm.Print_Area" localSheetId="16">'2013v1'!$A$1:$S$58</definedName>
    <definedName name="_xlnm.Print_Area" localSheetId="17">'2013v2'!$A$1:$S$60</definedName>
    <definedName name="_xlnm.Print_Area" localSheetId="15">'2014 v2'!$A$1:$S$61</definedName>
    <definedName name="_xlnm.Print_Area" localSheetId="14">'2014v1'!$A$1:$S$57</definedName>
    <definedName name="_xlnm.Print_Area" localSheetId="12">'2015v1'!$A$1:$R$57</definedName>
    <definedName name="_xlnm.Print_Area" localSheetId="13">'2015v2'!$A$1:$R$59</definedName>
    <definedName name="_xlnm.Print_Area" localSheetId="10">'2016v1'!$A$1:$R$58</definedName>
    <definedName name="_xlnm.Print_Area" localSheetId="11">'2016v2'!$A$1:$R$60</definedName>
    <definedName name="_xlnm.Print_Area" localSheetId="8">'2017v1'!$A$1:$R$58</definedName>
    <definedName name="_xlnm.Print_Area" localSheetId="9">'2017v2'!$A$1:$R$59</definedName>
    <definedName name="_xlnm.Print_Area" localSheetId="7">'2018 v2'!$A$1:$R$59</definedName>
    <definedName name="_xlnm.Print_Area" localSheetId="6">'2019 v2'!$A$1:$R$59</definedName>
    <definedName name="_xlnm.Print_Area" localSheetId="5">'2020 v2'!$A$1:$R$61</definedName>
    <definedName name="_xlnm.Print_Area" localSheetId="4">'2021 v2'!$A$1:$R$62</definedName>
    <definedName name="_xlnm.Print_Area" localSheetId="3">'2022 v2'!$A$1:$R$61</definedName>
    <definedName name="_xlnm.Print_Area" localSheetId="2">'2023'!$A$1:$R$58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8" i="48" l="1"/>
  <c r="P17" i="48"/>
  <c r="P16" i="48"/>
  <c r="P15" i="48"/>
  <c r="P14" i="48"/>
  <c r="P13" i="48" s="1"/>
  <c r="O13" i="48"/>
  <c r="N13" i="48"/>
  <c r="M13" i="48"/>
  <c r="L13" i="48"/>
  <c r="K13" i="48"/>
  <c r="J13" i="48"/>
  <c r="I13" i="48"/>
  <c r="H13" i="48"/>
  <c r="G13" i="48"/>
  <c r="F13" i="48"/>
  <c r="E13" i="48"/>
  <c r="D13" i="48"/>
  <c r="P13" i="42"/>
  <c r="O13" i="42"/>
  <c r="O7" i="42" s="1"/>
  <c r="N13" i="42"/>
  <c r="N7" i="42" s="1"/>
  <c r="M13" i="42"/>
  <c r="M7" i="42" s="1"/>
  <c r="L13" i="42"/>
  <c r="K13" i="42"/>
  <c r="J13" i="42"/>
  <c r="I13" i="42"/>
  <c r="I7" i="42" s="1"/>
  <c r="H13" i="42"/>
  <c r="G13" i="42"/>
  <c r="G7" i="42" s="1"/>
  <c r="F13" i="42"/>
  <c r="F7" i="42" s="1"/>
  <c r="E13" i="42"/>
  <c r="E7" i="42" s="1"/>
  <c r="D13" i="42"/>
  <c r="P7" i="42"/>
  <c r="L7" i="42"/>
  <c r="K7" i="42"/>
  <c r="J7" i="42"/>
  <c r="H7" i="42"/>
  <c r="D7" i="42"/>
  <c r="P13" i="41"/>
  <c r="P7" i="41" s="1"/>
  <c r="O13" i="41"/>
  <c r="O7" i="41" s="1"/>
  <c r="N13" i="41"/>
  <c r="M13" i="41"/>
  <c r="L13" i="41"/>
  <c r="K13" i="41"/>
  <c r="J13" i="41"/>
  <c r="I13" i="41"/>
  <c r="I7" i="41" s="1"/>
  <c r="H13" i="41"/>
  <c r="H7" i="41" s="1"/>
  <c r="G13" i="41"/>
  <c r="G7" i="41" s="1"/>
  <c r="F13" i="41"/>
  <c r="E13" i="41"/>
  <c r="D13" i="41"/>
  <c r="N7" i="41"/>
  <c r="M7" i="41"/>
  <c r="L7" i="41"/>
  <c r="K7" i="41"/>
  <c r="J7" i="41"/>
  <c r="F7" i="41"/>
  <c r="E7" i="41"/>
  <c r="D7" i="41"/>
  <c r="P13" i="40"/>
  <c r="O13" i="40"/>
  <c r="N13" i="40"/>
  <c r="M13" i="40"/>
  <c r="L13" i="40"/>
  <c r="K13" i="40"/>
  <c r="K7" i="40" s="1"/>
  <c r="J13" i="40"/>
  <c r="J7" i="40" s="1"/>
  <c r="I13" i="40"/>
  <c r="I7" i="40" s="1"/>
  <c r="H13" i="40"/>
  <c r="G13" i="40"/>
  <c r="F13" i="40"/>
  <c r="E13" i="40"/>
  <c r="D13" i="40"/>
  <c r="P7" i="40"/>
  <c r="O7" i="40"/>
  <c r="N7" i="40"/>
  <c r="M7" i="40"/>
  <c r="L7" i="40"/>
  <c r="H7" i="40"/>
  <c r="G7" i="40"/>
  <c r="F7" i="40"/>
  <c r="E7" i="40"/>
  <c r="D7" i="40"/>
  <c r="M30" i="39"/>
  <c r="L30" i="39"/>
  <c r="K30" i="39"/>
  <c r="E30" i="39"/>
  <c r="D30" i="39"/>
  <c r="P7" i="39"/>
  <c r="O7" i="39"/>
  <c r="O30" i="39" s="1"/>
  <c r="N7" i="39"/>
  <c r="N30" i="39" s="1"/>
  <c r="M7" i="39"/>
  <c r="L7" i="39"/>
  <c r="K7" i="39"/>
  <c r="J7" i="39"/>
  <c r="J30" i="39" s="1"/>
  <c r="I7" i="39"/>
  <c r="I30" i="39" s="1"/>
  <c r="H7" i="39"/>
  <c r="H30" i="39" s="1"/>
  <c r="G7" i="39"/>
  <c r="G30" i="39" s="1"/>
  <c r="F7" i="39"/>
  <c r="F30" i="39" s="1"/>
  <c r="E7" i="39"/>
  <c r="D7" i="39"/>
  <c r="P29" i="38"/>
  <c r="P28" i="38"/>
  <c r="P27" i="38"/>
  <c r="P26" i="38"/>
  <c r="P25" i="38"/>
  <c r="P24" i="38"/>
  <c r="P23" i="38"/>
  <c r="O21" i="38"/>
  <c r="N21" i="38"/>
  <c r="M21" i="38"/>
  <c r="L21" i="38"/>
  <c r="K21" i="38"/>
  <c r="J21" i="38"/>
  <c r="I21" i="38"/>
  <c r="H21" i="38"/>
  <c r="G21" i="38"/>
  <c r="F21" i="38"/>
  <c r="E21" i="38"/>
  <c r="D21" i="38"/>
  <c r="P21" i="38" s="1"/>
  <c r="P13" i="38"/>
  <c r="O13" i="38"/>
  <c r="N13" i="38"/>
  <c r="M13" i="38"/>
  <c r="M7" i="38" s="1"/>
  <c r="L13" i="38"/>
  <c r="K13" i="38"/>
  <c r="K7" i="38" s="1"/>
  <c r="J13" i="38"/>
  <c r="J7" i="38" s="1"/>
  <c r="I13" i="38"/>
  <c r="I7" i="38" s="1"/>
  <c r="H13" i="38"/>
  <c r="G13" i="38"/>
  <c r="F13" i="38"/>
  <c r="E13" i="38"/>
  <c r="E7" i="38" s="1"/>
  <c r="D13" i="38"/>
  <c r="P7" i="38"/>
  <c r="O7" i="38"/>
  <c r="N7" i="38"/>
  <c r="L7" i="38"/>
  <c r="H7" i="38"/>
  <c r="G7" i="38"/>
  <c r="F7" i="38"/>
  <c r="D7" i="38"/>
  <c r="P28" i="37"/>
  <c r="P27" i="37"/>
  <c r="P26" i="37"/>
  <c r="P25" i="37"/>
  <c r="P24" i="37"/>
  <c r="P23" i="37"/>
  <c r="P22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P12" i="37"/>
  <c r="P11" i="37"/>
  <c r="P10" i="37"/>
  <c r="P9" i="37"/>
  <c r="P8" i="37" s="1"/>
  <c r="O8" i="37"/>
  <c r="N8" i="37"/>
  <c r="M8" i="37"/>
  <c r="L8" i="37"/>
  <c r="L7" i="37" s="1"/>
  <c r="K8" i="37"/>
  <c r="J8" i="37"/>
  <c r="J7" i="37" s="1"/>
  <c r="I8" i="37"/>
  <c r="I7" i="37" s="1"/>
  <c r="H8" i="37"/>
  <c r="H7" i="37" s="1"/>
  <c r="G8" i="37"/>
  <c r="F8" i="37"/>
  <c r="E8" i="37"/>
  <c r="D8" i="37"/>
  <c r="D7" i="37" s="1"/>
  <c r="O7" i="37"/>
  <c r="N7" i="37"/>
  <c r="M7" i="37"/>
  <c r="K7" i="37"/>
  <c r="G7" i="37"/>
  <c r="F7" i="37"/>
  <c r="E7" i="37"/>
  <c r="Q31" i="36"/>
  <c r="Q30" i="36"/>
  <c r="Q29" i="36"/>
  <c r="Q28" i="36"/>
  <c r="Q27" i="36"/>
  <c r="Q26" i="36"/>
  <c r="Q25" i="36"/>
  <c r="P23" i="36"/>
  <c r="O23" i="36"/>
  <c r="N23" i="36"/>
  <c r="M23" i="36"/>
  <c r="L23" i="36"/>
  <c r="K23" i="36"/>
  <c r="J23" i="36"/>
  <c r="I23" i="36"/>
  <c r="H23" i="36"/>
  <c r="Q23" i="36" s="1"/>
  <c r="G23" i="36"/>
  <c r="F23" i="36"/>
  <c r="E23" i="36"/>
  <c r="Q19" i="36"/>
  <c r="Q18" i="36"/>
  <c r="P17" i="36"/>
  <c r="P15" i="36" s="1"/>
  <c r="P7" i="36" s="1"/>
  <c r="O17" i="36"/>
  <c r="O15" i="36" s="1"/>
  <c r="N17" i="36"/>
  <c r="N15" i="36" s="1"/>
  <c r="N7" i="36" s="1"/>
  <c r="N33" i="36" s="1"/>
  <c r="M17" i="36"/>
  <c r="L17" i="36"/>
  <c r="L15" i="36" s="1"/>
  <c r="K17" i="36"/>
  <c r="J17" i="36"/>
  <c r="I17" i="36"/>
  <c r="H17" i="36"/>
  <c r="Q16" i="36"/>
  <c r="M15" i="36"/>
  <c r="K15" i="36"/>
  <c r="J15" i="36"/>
  <c r="I15" i="36"/>
  <c r="G15" i="36"/>
  <c r="F15" i="36"/>
  <c r="E15" i="36"/>
  <c r="Q13" i="36"/>
  <c r="Q12" i="36"/>
  <c r="Q11" i="36"/>
  <c r="Q8" i="36" s="1"/>
  <c r="Q10" i="36"/>
  <c r="Q9" i="36"/>
  <c r="P8" i="36"/>
  <c r="O8" i="36"/>
  <c r="N8" i="36"/>
  <c r="M8" i="36"/>
  <c r="M7" i="36" s="1"/>
  <c r="M33" i="36" s="1"/>
  <c r="L8" i="36"/>
  <c r="L7" i="36" s="1"/>
  <c r="L33" i="36" s="1"/>
  <c r="K8" i="36"/>
  <c r="K7" i="36" s="1"/>
  <c r="K33" i="36" s="1"/>
  <c r="J8" i="36"/>
  <c r="I8" i="36"/>
  <c r="H8" i="36"/>
  <c r="G8" i="36"/>
  <c r="G7" i="36" s="1"/>
  <c r="G33" i="36" s="1"/>
  <c r="F8" i="36"/>
  <c r="E8" i="36"/>
  <c r="E7" i="36" s="1"/>
  <c r="E33" i="36" s="1"/>
  <c r="J7" i="36"/>
  <c r="J33" i="36" s="1"/>
  <c r="I7" i="36"/>
  <c r="F7" i="36"/>
  <c r="F33" i="36" s="1"/>
  <c r="Q31" i="35"/>
  <c r="Q30" i="35"/>
  <c r="Q29" i="35"/>
  <c r="Q28" i="35"/>
  <c r="Q27" i="35"/>
  <c r="Q26" i="35"/>
  <c r="Q25" i="35"/>
  <c r="P23" i="35"/>
  <c r="O23" i="35"/>
  <c r="N23" i="35"/>
  <c r="M23" i="35"/>
  <c r="L23" i="35"/>
  <c r="K23" i="35"/>
  <c r="J23" i="35"/>
  <c r="I23" i="35"/>
  <c r="H23" i="35"/>
  <c r="G23" i="35"/>
  <c r="Q23" i="35" s="1"/>
  <c r="F23" i="35"/>
  <c r="E23" i="35"/>
  <c r="Q19" i="35"/>
  <c r="Q18" i="35"/>
  <c r="P17" i="35"/>
  <c r="O17" i="35"/>
  <c r="N17" i="35"/>
  <c r="N15" i="35" s="1"/>
  <c r="N7" i="35" s="1"/>
  <c r="N33" i="35" s="1"/>
  <c r="M17" i="35"/>
  <c r="M15" i="35" s="1"/>
  <c r="M7" i="35" s="1"/>
  <c r="M33" i="35" s="1"/>
  <c r="L17" i="35"/>
  <c r="K17" i="35"/>
  <c r="J17" i="35"/>
  <c r="J15" i="35" s="1"/>
  <c r="I17" i="35"/>
  <c r="I15" i="35" s="1"/>
  <c r="H17" i="35"/>
  <c r="G17" i="35"/>
  <c r="F17" i="35"/>
  <c r="F15" i="35" s="1"/>
  <c r="F7" i="35" s="1"/>
  <c r="F33" i="35" s="1"/>
  <c r="E17" i="35"/>
  <c r="E15" i="35" s="1"/>
  <c r="E7" i="35" s="1"/>
  <c r="E33" i="35" s="1"/>
  <c r="Q16" i="35"/>
  <c r="P15" i="35"/>
  <c r="O15" i="35"/>
  <c r="L15" i="35"/>
  <c r="K15" i="35"/>
  <c r="H15" i="35"/>
  <c r="G15" i="35"/>
  <c r="G7" i="35" s="1"/>
  <c r="G33" i="35" s="1"/>
  <c r="Q13" i="35"/>
  <c r="Q12" i="35"/>
  <c r="Q11" i="35"/>
  <c r="Q10" i="35"/>
  <c r="Q9" i="35"/>
  <c r="Q8" i="35" s="1"/>
  <c r="P8" i="35"/>
  <c r="P7" i="35" s="1"/>
  <c r="P33" i="35" s="1"/>
  <c r="O8" i="35"/>
  <c r="N8" i="35"/>
  <c r="M8" i="35"/>
  <c r="L8" i="35"/>
  <c r="L7" i="35" s="1"/>
  <c r="L33" i="35" s="1"/>
  <c r="K8" i="35"/>
  <c r="J8" i="35"/>
  <c r="J7" i="35" s="1"/>
  <c r="J33" i="35" s="1"/>
  <c r="I8" i="35"/>
  <c r="H8" i="35"/>
  <c r="H7" i="35" s="1"/>
  <c r="H33" i="35" s="1"/>
  <c r="G8" i="35"/>
  <c r="F8" i="35"/>
  <c r="E8" i="35"/>
  <c r="O7" i="35"/>
  <c r="O33" i="35" s="1"/>
  <c r="K7" i="35"/>
  <c r="K33" i="35" s="1"/>
  <c r="M40" i="34"/>
  <c r="R38" i="34"/>
  <c r="R37" i="34"/>
  <c r="R36" i="34"/>
  <c r="R35" i="34"/>
  <c r="R34" i="34"/>
  <c r="R33" i="34"/>
  <c r="R32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Q26" i="34"/>
  <c r="P26" i="34"/>
  <c r="O26" i="34"/>
  <c r="N26" i="34"/>
  <c r="N20" i="34" s="1"/>
  <c r="N9" i="34" s="1"/>
  <c r="N40" i="34" s="1"/>
  <c r="M26" i="34"/>
  <c r="M20" i="34" s="1"/>
  <c r="M9" i="34" s="1"/>
  <c r="L26" i="34"/>
  <c r="K26" i="34"/>
  <c r="J26" i="34"/>
  <c r="J20" i="34" s="1"/>
  <c r="I26" i="34"/>
  <c r="H26" i="34"/>
  <c r="G26" i="34"/>
  <c r="F26" i="34"/>
  <c r="R25" i="34"/>
  <c r="R24" i="34"/>
  <c r="R23" i="34"/>
  <c r="R22" i="34"/>
  <c r="R21" i="34"/>
  <c r="Q20" i="34"/>
  <c r="P20" i="34"/>
  <c r="O20" i="34"/>
  <c r="L20" i="34"/>
  <c r="L9" i="34" s="1"/>
  <c r="L40" i="34" s="1"/>
  <c r="K20" i="34"/>
  <c r="I20" i="34"/>
  <c r="H20" i="34"/>
  <c r="G20" i="34"/>
  <c r="R18" i="34"/>
  <c r="R17" i="34"/>
  <c r="R15" i="34"/>
  <c r="R13" i="34"/>
  <c r="R11" i="34"/>
  <c r="R10" i="34"/>
  <c r="Q10" i="34"/>
  <c r="Q9" i="34" s="1"/>
  <c r="P10" i="34"/>
  <c r="O10" i="34"/>
  <c r="N10" i="34"/>
  <c r="M10" i="34"/>
  <c r="L10" i="34"/>
  <c r="K10" i="34"/>
  <c r="J10" i="34"/>
  <c r="J9" i="34" s="1"/>
  <c r="J40" i="34" s="1"/>
  <c r="I10" i="34"/>
  <c r="I9" i="34" s="1"/>
  <c r="H10" i="34"/>
  <c r="H9" i="34" s="1"/>
  <c r="H40" i="34" s="1"/>
  <c r="G10" i="34"/>
  <c r="F10" i="34"/>
  <c r="O9" i="34"/>
  <c r="O40" i="34" s="1"/>
  <c r="K9" i="34"/>
  <c r="K40" i="34" s="1"/>
  <c r="G9" i="34"/>
  <c r="G40" i="34" s="1"/>
  <c r="K40" i="33"/>
  <c r="R38" i="33"/>
  <c r="R37" i="33"/>
  <c r="R36" i="33"/>
  <c r="R35" i="33"/>
  <c r="R34" i="33"/>
  <c r="R33" i="33"/>
  <c r="R32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Q26" i="33"/>
  <c r="Q20" i="33" s="1"/>
  <c r="P26" i="33"/>
  <c r="O26" i="33"/>
  <c r="N26" i="33"/>
  <c r="M26" i="33"/>
  <c r="M20" i="33" s="1"/>
  <c r="M9" i="33" s="1"/>
  <c r="M40" i="33" s="1"/>
  <c r="L26" i="33"/>
  <c r="L20" i="33" s="1"/>
  <c r="K26" i="33"/>
  <c r="J26" i="33"/>
  <c r="I26" i="33"/>
  <c r="I20" i="33" s="1"/>
  <c r="H26" i="33"/>
  <c r="G26" i="33"/>
  <c r="F26" i="33"/>
  <c r="R25" i="33"/>
  <c r="R24" i="33"/>
  <c r="R23" i="33"/>
  <c r="R22" i="33"/>
  <c r="R21" i="33"/>
  <c r="P20" i="33"/>
  <c r="O20" i="33"/>
  <c r="O9" i="33" s="1"/>
  <c r="N20" i="33"/>
  <c r="K20" i="33"/>
  <c r="J20" i="33"/>
  <c r="H20" i="33"/>
  <c r="G20" i="33"/>
  <c r="F20" i="33"/>
  <c r="R18" i="33"/>
  <c r="R17" i="33"/>
  <c r="R15" i="33"/>
  <c r="R14" i="33"/>
  <c r="R13" i="33"/>
  <c r="R11" i="33"/>
  <c r="R10" i="33"/>
  <c r="Q10" i="33"/>
  <c r="Q9" i="33" s="1"/>
  <c r="Q40" i="33" s="1"/>
  <c r="P10" i="33"/>
  <c r="P9" i="33" s="1"/>
  <c r="O10" i="33"/>
  <c r="N10" i="33"/>
  <c r="M10" i="33"/>
  <c r="L10" i="33"/>
  <c r="L9" i="33" s="1"/>
  <c r="L40" i="33" s="1"/>
  <c r="K10" i="33"/>
  <c r="J10" i="33"/>
  <c r="J9" i="33" s="1"/>
  <c r="J40" i="33" s="1"/>
  <c r="I10" i="33"/>
  <c r="I9" i="33" s="1"/>
  <c r="I40" i="33" s="1"/>
  <c r="H10" i="33"/>
  <c r="H9" i="33" s="1"/>
  <c r="G10" i="33"/>
  <c r="F10" i="33"/>
  <c r="N9" i="33"/>
  <c r="N40" i="33" s="1"/>
  <c r="K9" i="33"/>
  <c r="G9" i="33"/>
  <c r="G40" i="33" s="1"/>
  <c r="F9" i="33"/>
  <c r="F40" i="33" s="1"/>
  <c r="R37" i="32"/>
  <c r="R36" i="32"/>
  <c r="R35" i="32"/>
  <c r="R34" i="32"/>
  <c r="R33" i="32"/>
  <c r="R32" i="32"/>
  <c r="R31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R29" i="32" s="1"/>
  <c r="Q25" i="32"/>
  <c r="Q20" i="32" s="1"/>
  <c r="P25" i="32"/>
  <c r="O25" i="32"/>
  <c r="N25" i="32"/>
  <c r="M25" i="32"/>
  <c r="L25" i="32"/>
  <c r="L20" i="32" s="1"/>
  <c r="L9" i="32" s="1"/>
  <c r="L39" i="32" s="1"/>
  <c r="K25" i="32"/>
  <c r="K20" i="32" s="1"/>
  <c r="K9" i="32" s="1"/>
  <c r="K39" i="32" s="1"/>
  <c r="J25" i="32"/>
  <c r="I25" i="32"/>
  <c r="I20" i="32" s="1"/>
  <c r="H25" i="32"/>
  <c r="G25" i="32"/>
  <c r="F25" i="32"/>
  <c r="R25" i="32" s="1"/>
  <c r="R24" i="32"/>
  <c r="R23" i="32"/>
  <c r="R22" i="32"/>
  <c r="R21" i="32"/>
  <c r="P20" i="32"/>
  <c r="O20" i="32"/>
  <c r="N20" i="32"/>
  <c r="M20" i="32"/>
  <c r="J20" i="32"/>
  <c r="H20" i="32"/>
  <c r="G20" i="32"/>
  <c r="F20" i="32"/>
  <c r="F9" i="32" s="1"/>
  <c r="R18" i="32"/>
  <c r="R17" i="32"/>
  <c r="R15" i="32"/>
  <c r="R14" i="32"/>
  <c r="R13" i="32"/>
  <c r="R11" i="32"/>
  <c r="Q10" i="32"/>
  <c r="P10" i="32"/>
  <c r="P9" i="32" s="1"/>
  <c r="P39" i="32" s="1"/>
  <c r="O10" i="32"/>
  <c r="O9" i="32" s="1"/>
  <c r="O39" i="32" s="1"/>
  <c r="N10" i="32"/>
  <c r="M10" i="32"/>
  <c r="L10" i="32"/>
  <c r="K10" i="32"/>
  <c r="J10" i="32"/>
  <c r="I10" i="32"/>
  <c r="H10" i="32"/>
  <c r="H9" i="32" s="1"/>
  <c r="H39" i="32" s="1"/>
  <c r="G10" i="32"/>
  <c r="G9" i="32" s="1"/>
  <c r="G39" i="32" s="1"/>
  <c r="F10" i="32"/>
  <c r="R10" i="32" s="1"/>
  <c r="N9" i="32"/>
  <c r="N39" i="32" s="1"/>
  <c r="M9" i="32"/>
  <c r="M39" i="32" s="1"/>
  <c r="J9" i="32"/>
  <c r="J39" i="32" s="1"/>
  <c r="Q36" i="31"/>
  <c r="P36" i="31"/>
  <c r="P28" i="31" s="1"/>
  <c r="O36" i="31"/>
  <c r="O28" i="31" s="1"/>
  <c r="N36" i="31"/>
  <c r="N28" i="31" s="1"/>
  <c r="M36" i="31"/>
  <c r="L36" i="31"/>
  <c r="L28" i="31" s="1"/>
  <c r="K36" i="31"/>
  <c r="J36" i="31"/>
  <c r="I36" i="31"/>
  <c r="H36" i="31"/>
  <c r="H28" i="31" s="1"/>
  <c r="G36" i="31"/>
  <c r="G28" i="31" s="1"/>
  <c r="F36" i="31"/>
  <c r="F28" i="31" s="1"/>
  <c r="R35" i="31"/>
  <c r="R34" i="31"/>
  <c r="R33" i="31"/>
  <c r="R32" i="31"/>
  <c r="R31" i="31"/>
  <c r="R30" i="31"/>
  <c r="Q28" i="31"/>
  <c r="M28" i="31"/>
  <c r="K28" i="31"/>
  <c r="J28" i="31"/>
  <c r="I28" i="31"/>
  <c r="Q24" i="31"/>
  <c r="P24" i="31"/>
  <c r="O24" i="31"/>
  <c r="O19" i="31" s="1"/>
  <c r="O8" i="31" s="1"/>
  <c r="O38" i="31" s="1"/>
  <c r="N24" i="31"/>
  <c r="N19" i="31" s="1"/>
  <c r="M24" i="31"/>
  <c r="L24" i="31"/>
  <c r="L19" i="31" s="1"/>
  <c r="K24" i="31"/>
  <c r="J24" i="31"/>
  <c r="J19" i="31" s="1"/>
  <c r="I24" i="31"/>
  <c r="H24" i="31"/>
  <c r="H19" i="31" s="1"/>
  <c r="H8" i="31" s="1"/>
  <c r="H38" i="31" s="1"/>
  <c r="G24" i="31"/>
  <c r="G19" i="31" s="1"/>
  <c r="G8" i="31" s="1"/>
  <c r="G38" i="31" s="1"/>
  <c r="F24" i="31"/>
  <c r="R23" i="31"/>
  <c r="R22" i="31"/>
  <c r="R21" i="31"/>
  <c r="R20" i="31"/>
  <c r="Q19" i="31"/>
  <c r="Q8" i="31" s="1"/>
  <c r="Q38" i="31" s="1"/>
  <c r="P19" i="31"/>
  <c r="M19" i="31"/>
  <c r="K19" i="31"/>
  <c r="I19" i="31"/>
  <c r="R17" i="31"/>
  <c r="R16" i="31"/>
  <c r="R14" i="31"/>
  <c r="R13" i="31"/>
  <c r="R12" i="31"/>
  <c r="R10" i="31"/>
  <c r="R9" i="31" s="1"/>
  <c r="Q9" i="31"/>
  <c r="P9" i="31"/>
  <c r="O9" i="31"/>
  <c r="N9" i="31"/>
  <c r="N8" i="31" s="1"/>
  <c r="N38" i="31" s="1"/>
  <c r="M9" i="31"/>
  <c r="L9" i="31"/>
  <c r="L8" i="31" s="1"/>
  <c r="L38" i="31" s="1"/>
  <c r="K9" i="31"/>
  <c r="K8" i="31" s="1"/>
  <c r="K38" i="31" s="1"/>
  <c r="J9" i="31"/>
  <c r="I9" i="31"/>
  <c r="H9" i="31"/>
  <c r="G9" i="31"/>
  <c r="F9" i="31"/>
  <c r="P8" i="31"/>
  <c r="P38" i="31" s="1"/>
  <c r="M8" i="31"/>
  <c r="M38" i="31" s="1"/>
  <c r="I8" i="31"/>
  <c r="I38" i="31" s="1"/>
  <c r="M40" i="30"/>
  <c r="R38" i="30"/>
  <c r="R37" i="30"/>
  <c r="R36" i="30"/>
  <c r="R35" i="30"/>
  <c r="R34" i="30"/>
  <c r="R33" i="30"/>
  <c r="R32" i="30"/>
  <c r="Q30" i="30"/>
  <c r="P30" i="30"/>
  <c r="O30" i="30"/>
  <c r="N30" i="30"/>
  <c r="M30" i="30"/>
  <c r="L30" i="30"/>
  <c r="K30" i="30"/>
  <c r="J30" i="30"/>
  <c r="I30" i="30"/>
  <c r="R30" i="30" s="1"/>
  <c r="H30" i="30"/>
  <c r="G30" i="30"/>
  <c r="F30" i="30"/>
  <c r="Q26" i="30"/>
  <c r="P26" i="30"/>
  <c r="O26" i="30"/>
  <c r="O20" i="30" s="1"/>
  <c r="O9" i="30" s="1"/>
  <c r="O40" i="30" s="1"/>
  <c r="N26" i="30"/>
  <c r="N20" i="30" s="1"/>
  <c r="N9" i="30" s="1"/>
  <c r="N40" i="30" s="1"/>
  <c r="M26" i="30"/>
  <c r="L26" i="30"/>
  <c r="K26" i="30"/>
  <c r="K20" i="30" s="1"/>
  <c r="J26" i="30"/>
  <c r="I26" i="30"/>
  <c r="H26" i="30"/>
  <c r="G26" i="30"/>
  <c r="G20" i="30" s="1"/>
  <c r="G9" i="30" s="1"/>
  <c r="G40" i="30" s="1"/>
  <c r="F26" i="30"/>
  <c r="R25" i="30"/>
  <c r="R24" i="30"/>
  <c r="R23" i="30"/>
  <c r="R22" i="30"/>
  <c r="R21" i="30"/>
  <c r="Q20" i="30"/>
  <c r="P20" i="30"/>
  <c r="M20" i="30"/>
  <c r="L20" i="30"/>
  <c r="J20" i="30"/>
  <c r="I20" i="30"/>
  <c r="H20" i="30"/>
  <c r="R18" i="30"/>
  <c r="R17" i="30"/>
  <c r="R15" i="30"/>
  <c r="R14" i="30"/>
  <c r="R13" i="30"/>
  <c r="R11" i="30"/>
  <c r="R10" i="30" s="1"/>
  <c r="Q10" i="30"/>
  <c r="P10" i="30"/>
  <c r="O10" i="30"/>
  <c r="N10" i="30"/>
  <c r="M10" i="30"/>
  <c r="L10" i="30"/>
  <c r="L9" i="30" s="1"/>
  <c r="L40" i="30" s="1"/>
  <c r="K10" i="30"/>
  <c r="K9" i="30" s="1"/>
  <c r="K40" i="30" s="1"/>
  <c r="J10" i="30"/>
  <c r="J9" i="30" s="1"/>
  <c r="I10" i="30"/>
  <c r="H10" i="30"/>
  <c r="G10" i="30"/>
  <c r="F10" i="30"/>
  <c r="Q9" i="30"/>
  <c r="P9" i="30"/>
  <c r="P40" i="30" s="1"/>
  <c r="M9" i="30"/>
  <c r="I9" i="30"/>
  <c r="H9" i="30"/>
  <c r="H40" i="30" s="1"/>
  <c r="R38" i="29"/>
  <c r="R37" i="29"/>
  <c r="R36" i="29"/>
  <c r="R35" i="29"/>
  <c r="R34" i="29"/>
  <c r="R33" i="29"/>
  <c r="R32" i="29"/>
  <c r="Q30" i="29"/>
  <c r="P30" i="29"/>
  <c r="O30" i="29"/>
  <c r="N30" i="29"/>
  <c r="M30" i="29"/>
  <c r="L30" i="29"/>
  <c r="K30" i="29"/>
  <c r="J30" i="29"/>
  <c r="I30" i="29"/>
  <c r="R30" i="29" s="1"/>
  <c r="H30" i="29"/>
  <c r="G30" i="29"/>
  <c r="F30" i="29"/>
  <c r="Q26" i="29"/>
  <c r="P26" i="29"/>
  <c r="O26" i="29"/>
  <c r="O20" i="29" s="1"/>
  <c r="O9" i="29" s="1"/>
  <c r="O40" i="29" s="1"/>
  <c r="N26" i="29"/>
  <c r="N20" i="29" s="1"/>
  <c r="M26" i="29"/>
  <c r="L26" i="29"/>
  <c r="K26" i="29"/>
  <c r="K20" i="29" s="1"/>
  <c r="K9" i="29" s="1"/>
  <c r="K40" i="29" s="1"/>
  <c r="J26" i="29"/>
  <c r="I26" i="29"/>
  <c r="H26" i="29"/>
  <c r="G26" i="29"/>
  <c r="G20" i="29" s="1"/>
  <c r="G9" i="29" s="1"/>
  <c r="G40" i="29" s="1"/>
  <c r="F26" i="29"/>
  <c r="R25" i="29"/>
  <c r="R24" i="29"/>
  <c r="R23" i="29"/>
  <c r="R22" i="29"/>
  <c r="R21" i="29"/>
  <c r="Q20" i="29"/>
  <c r="Q9" i="29" s="1"/>
  <c r="P20" i="29"/>
  <c r="P9" i="29" s="1"/>
  <c r="P40" i="29" s="1"/>
  <c r="M20" i="29"/>
  <c r="L20" i="29"/>
  <c r="J20" i="29"/>
  <c r="I20" i="29"/>
  <c r="I9" i="29" s="1"/>
  <c r="I40" i="29" s="1"/>
  <c r="H20" i="29"/>
  <c r="H9" i="29" s="1"/>
  <c r="H40" i="29" s="1"/>
  <c r="N9" i="29"/>
  <c r="N40" i="29" s="1"/>
  <c r="M9" i="29"/>
  <c r="M40" i="29" s="1"/>
  <c r="L9" i="29"/>
  <c r="L40" i="29" s="1"/>
  <c r="J9" i="29"/>
  <c r="J40" i="29" s="1"/>
  <c r="K38" i="28"/>
  <c r="R36" i="28"/>
  <c r="R35" i="28"/>
  <c r="R34" i="28"/>
  <c r="R33" i="28"/>
  <c r="R32" i="28"/>
  <c r="R31" i="28"/>
  <c r="R30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R28" i="28" s="1"/>
  <c r="Q24" i="28"/>
  <c r="P24" i="28"/>
  <c r="P19" i="28" s="1"/>
  <c r="P8" i="28" s="1"/>
  <c r="P38" i="28" s="1"/>
  <c r="O24" i="28"/>
  <c r="O19" i="28" s="1"/>
  <c r="O8" i="28" s="1"/>
  <c r="O38" i="28" s="1"/>
  <c r="N24" i="28"/>
  <c r="M24" i="28"/>
  <c r="L24" i="28"/>
  <c r="K24" i="28"/>
  <c r="K19" i="28" s="1"/>
  <c r="K8" i="28" s="1"/>
  <c r="J24" i="28"/>
  <c r="J19" i="28" s="1"/>
  <c r="I24" i="28"/>
  <c r="H24" i="28"/>
  <c r="H19" i="28" s="1"/>
  <c r="H8" i="28" s="1"/>
  <c r="H38" i="28" s="1"/>
  <c r="G24" i="28"/>
  <c r="G19" i="28" s="1"/>
  <c r="G8" i="28" s="1"/>
  <c r="G38" i="28" s="1"/>
  <c r="F24" i="28"/>
  <c r="R23" i="28"/>
  <c r="R22" i="28"/>
  <c r="R21" i="28"/>
  <c r="R20" i="28"/>
  <c r="Q19" i="28"/>
  <c r="N19" i="28"/>
  <c r="M19" i="28"/>
  <c r="M8" i="28" s="1"/>
  <c r="M38" i="28" s="1"/>
  <c r="L19" i="28"/>
  <c r="L8" i="28" s="1"/>
  <c r="L38" i="28" s="1"/>
  <c r="I19" i="28"/>
  <c r="F19" i="28"/>
  <c r="Q8" i="28"/>
  <c r="Q38" i="28" s="1"/>
  <c r="N8" i="28"/>
  <c r="J8" i="28"/>
  <c r="J38" i="28" s="1"/>
  <c r="I8" i="28"/>
  <c r="I38" i="28" s="1"/>
  <c r="F8" i="28"/>
  <c r="F38" i="28" s="1"/>
  <c r="R36" i="27"/>
  <c r="R35" i="27"/>
  <c r="R34" i="27"/>
  <c r="R33" i="27"/>
  <c r="R32" i="27"/>
  <c r="R31" i="27"/>
  <c r="R30" i="27"/>
  <c r="Q28" i="27"/>
  <c r="P28" i="27"/>
  <c r="O28" i="27"/>
  <c r="N28" i="27"/>
  <c r="M28" i="27"/>
  <c r="L28" i="27"/>
  <c r="K28" i="27"/>
  <c r="J28" i="27"/>
  <c r="I28" i="27"/>
  <c r="H28" i="27"/>
  <c r="G28" i="27"/>
  <c r="R28" i="27" s="1"/>
  <c r="F28" i="27"/>
  <c r="Q24" i="27"/>
  <c r="P24" i="27"/>
  <c r="O24" i="27"/>
  <c r="O19" i="27" s="1"/>
  <c r="O8" i="27" s="1"/>
  <c r="O38" i="27" s="1"/>
  <c r="N24" i="27"/>
  <c r="N19" i="27" s="1"/>
  <c r="N8" i="27" s="1"/>
  <c r="N38" i="27" s="1"/>
  <c r="M24" i="27"/>
  <c r="L24" i="27"/>
  <c r="L19" i="27" s="1"/>
  <c r="L8" i="27" s="1"/>
  <c r="L38" i="27" s="1"/>
  <c r="K24" i="27"/>
  <c r="J24" i="27"/>
  <c r="I24" i="27"/>
  <c r="H24" i="27"/>
  <c r="G24" i="27"/>
  <c r="G19" i="27" s="1"/>
  <c r="G8" i="27" s="1"/>
  <c r="F24" i="27"/>
  <c r="R24" i="27" s="1"/>
  <c r="R23" i="27"/>
  <c r="R22" i="27"/>
  <c r="R21" i="27"/>
  <c r="R20" i="27"/>
  <c r="R19" i="27" s="1"/>
  <c r="Q19" i="27"/>
  <c r="Q8" i="27" s="1"/>
  <c r="Q38" i="27" s="1"/>
  <c r="P19" i="27"/>
  <c r="P8" i="27" s="1"/>
  <c r="P38" i="27" s="1"/>
  <c r="M19" i="27"/>
  <c r="M8" i="27" s="1"/>
  <c r="M38" i="27" s="1"/>
  <c r="K19" i="27"/>
  <c r="K8" i="27" s="1"/>
  <c r="K38" i="27" s="1"/>
  <c r="J19" i="27"/>
  <c r="I19" i="27"/>
  <c r="I8" i="27" s="1"/>
  <c r="I38" i="27" s="1"/>
  <c r="H19" i="27"/>
  <c r="H8" i="27" s="1"/>
  <c r="H38" i="27" s="1"/>
  <c r="R8" i="27"/>
  <c r="J8" i="27"/>
  <c r="F41" i="26"/>
  <c r="L39" i="26"/>
  <c r="K39" i="26"/>
  <c r="Q37" i="26"/>
  <c r="Q29" i="26" s="1"/>
  <c r="P37" i="26"/>
  <c r="O37" i="26"/>
  <c r="N37" i="26"/>
  <c r="M37" i="26"/>
  <c r="M29" i="26" s="1"/>
  <c r="L37" i="26"/>
  <c r="K37" i="26"/>
  <c r="J37" i="26"/>
  <c r="I37" i="26"/>
  <c r="I29" i="26" s="1"/>
  <c r="H37" i="26"/>
  <c r="G37" i="26"/>
  <c r="F37" i="26"/>
  <c r="R36" i="26"/>
  <c r="R35" i="26"/>
  <c r="R34" i="26"/>
  <c r="R33" i="26"/>
  <c r="R32" i="26"/>
  <c r="R31" i="26"/>
  <c r="P29" i="26"/>
  <c r="P39" i="26" s="1"/>
  <c r="O29" i="26"/>
  <c r="N29" i="26"/>
  <c r="L29" i="26"/>
  <c r="K29" i="26"/>
  <c r="J29" i="26"/>
  <c r="H29" i="26"/>
  <c r="H39" i="26" s="1"/>
  <c r="G29" i="26"/>
  <c r="F29" i="26"/>
  <c r="R27" i="26"/>
  <c r="Q25" i="26"/>
  <c r="Q20" i="26" s="1"/>
  <c r="Q9" i="26" s="1"/>
  <c r="Q39" i="26" s="1"/>
  <c r="P25" i="26"/>
  <c r="O25" i="26"/>
  <c r="N25" i="26"/>
  <c r="N20" i="26" s="1"/>
  <c r="M25" i="26"/>
  <c r="L25" i="26"/>
  <c r="K25" i="26"/>
  <c r="J25" i="26"/>
  <c r="J20" i="26" s="1"/>
  <c r="I25" i="26"/>
  <c r="H25" i="26"/>
  <c r="G25" i="26"/>
  <c r="F25" i="26"/>
  <c r="F20" i="26" s="1"/>
  <c r="R24" i="26"/>
  <c r="R23" i="26"/>
  <c r="R22" i="26"/>
  <c r="R21" i="26"/>
  <c r="P20" i="26"/>
  <c r="O20" i="26"/>
  <c r="M20" i="26"/>
  <c r="L20" i="26"/>
  <c r="K20" i="26"/>
  <c r="H20" i="26"/>
  <c r="G20" i="26"/>
  <c r="G9" i="26" s="1"/>
  <c r="G39" i="26" s="1"/>
  <c r="R18" i="26"/>
  <c r="R17" i="26"/>
  <c r="R15" i="26"/>
  <c r="R14" i="26"/>
  <c r="R13" i="26"/>
  <c r="R11" i="26"/>
  <c r="R10" i="26"/>
  <c r="Q10" i="26"/>
  <c r="P10" i="26"/>
  <c r="O10" i="26"/>
  <c r="N10" i="26"/>
  <c r="N9" i="26" s="1"/>
  <c r="N39" i="26" s="1"/>
  <c r="M10" i="26"/>
  <c r="M9" i="26" s="1"/>
  <c r="M39" i="26" s="1"/>
  <c r="L10" i="26"/>
  <c r="K10" i="26"/>
  <c r="J10" i="26"/>
  <c r="I10" i="26"/>
  <c r="H10" i="26"/>
  <c r="G10" i="26"/>
  <c r="F10" i="26"/>
  <c r="F9" i="26" s="1"/>
  <c r="F39" i="26" s="1"/>
  <c r="P9" i="26"/>
  <c r="O9" i="26"/>
  <c r="O39" i="26" s="1"/>
  <c r="L9" i="26"/>
  <c r="K9" i="26"/>
  <c r="J9" i="26"/>
  <c r="J39" i="26" s="1"/>
  <c r="H9" i="26"/>
  <c r="G38" i="25"/>
  <c r="Q36" i="25"/>
  <c r="Q28" i="25" s="1"/>
  <c r="P36" i="25"/>
  <c r="O36" i="25"/>
  <c r="N36" i="25"/>
  <c r="M36" i="25"/>
  <c r="M28" i="25" s="1"/>
  <c r="L36" i="25"/>
  <c r="K36" i="25"/>
  <c r="J36" i="25"/>
  <c r="I36" i="25"/>
  <c r="I28" i="25" s="1"/>
  <c r="H36" i="25"/>
  <c r="G36" i="25"/>
  <c r="F36" i="25"/>
  <c r="R35" i="25"/>
  <c r="R34" i="25"/>
  <c r="R33" i="25"/>
  <c r="R32" i="25"/>
  <c r="R31" i="25"/>
  <c r="R30" i="25"/>
  <c r="P28" i="25"/>
  <c r="O28" i="25"/>
  <c r="O38" i="25" s="1"/>
  <c r="N28" i="25"/>
  <c r="L28" i="25"/>
  <c r="K28" i="25"/>
  <c r="J28" i="25"/>
  <c r="H28" i="25"/>
  <c r="G28" i="25"/>
  <c r="F28" i="25"/>
  <c r="Q24" i="25"/>
  <c r="Q19" i="25" s="1"/>
  <c r="P24" i="25"/>
  <c r="O24" i="25"/>
  <c r="O19" i="25" s="1"/>
  <c r="O8" i="25" s="1"/>
  <c r="N24" i="25"/>
  <c r="M24" i="25"/>
  <c r="M19" i="25" s="1"/>
  <c r="L24" i="25"/>
  <c r="L19" i="25" s="1"/>
  <c r="L8" i="25" s="1"/>
  <c r="L38" i="25" s="1"/>
  <c r="K24" i="25"/>
  <c r="J24" i="25"/>
  <c r="I24" i="25"/>
  <c r="I19" i="25" s="1"/>
  <c r="H24" i="25"/>
  <c r="G24" i="25"/>
  <c r="G19" i="25" s="1"/>
  <c r="G8" i="25" s="1"/>
  <c r="F24" i="25"/>
  <c r="R23" i="25"/>
  <c r="R22" i="25"/>
  <c r="R21" i="25"/>
  <c r="R20" i="25"/>
  <c r="P19" i="25"/>
  <c r="N19" i="25"/>
  <c r="K19" i="25"/>
  <c r="J19" i="25"/>
  <c r="H19" i="25"/>
  <c r="F19" i="25"/>
  <c r="F8" i="25" s="1"/>
  <c r="F38" i="25" s="1"/>
  <c r="R17" i="25"/>
  <c r="R16" i="25"/>
  <c r="R14" i="25"/>
  <c r="R13" i="25"/>
  <c r="R12" i="25"/>
  <c r="R10" i="25"/>
  <c r="R9" i="25" s="1"/>
  <c r="Q9" i="25"/>
  <c r="P9" i="25"/>
  <c r="P8" i="25" s="1"/>
  <c r="P38" i="25" s="1"/>
  <c r="O9" i="25"/>
  <c r="N9" i="25"/>
  <c r="M9" i="25"/>
  <c r="L9" i="25"/>
  <c r="K9" i="25"/>
  <c r="K8" i="25" s="1"/>
  <c r="K38" i="25" s="1"/>
  <c r="J9" i="25"/>
  <c r="I9" i="25"/>
  <c r="H9" i="25"/>
  <c r="H8" i="25" s="1"/>
  <c r="H38" i="25" s="1"/>
  <c r="G9" i="25"/>
  <c r="F9" i="25"/>
  <c r="N8" i="25"/>
  <c r="N38" i="25" s="1"/>
  <c r="M8" i="25"/>
  <c r="M38" i="25" s="1"/>
  <c r="J8" i="25"/>
  <c r="J38" i="25" s="1"/>
  <c r="R36" i="24"/>
  <c r="R35" i="24"/>
  <c r="R34" i="24"/>
  <c r="R33" i="24"/>
  <c r="R32" i="24"/>
  <c r="R31" i="24"/>
  <c r="R30" i="24"/>
  <c r="Q28" i="24"/>
  <c r="P28" i="24"/>
  <c r="O28" i="24"/>
  <c r="N28" i="24"/>
  <c r="M28" i="24"/>
  <c r="L28" i="24"/>
  <c r="K28" i="24"/>
  <c r="J28" i="24"/>
  <c r="I28" i="24"/>
  <c r="H28" i="24"/>
  <c r="G28" i="24"/>
  <c r="G38" i="24" s="1"/>
  <c r="F28" i="24"/>
  <c r="Q24" i="24"/>
  <c r="P24" i="24"/>
  <c r="P19" i="24" s="1"/>
  <c r="P8" i="24" s="1"/>
  <c r="P38" i="24" s="1"/>
  <c r="O24" i="24"/>
  <c r="N24" i="24"/>
  <c r="N19" i="24" s="1"/>
  <c r="M24" i="24"/>
  <c r="L24" i="24"/>
  <c r="L19" i="24" s="1"/>
  <c r="K24" i="24"/>
  <c r="K19" i="24" s="1"/>
  <c r="K8" i="24" s="1"/>
  <c r="K38" i="24" s="1"/>
  <c r="J24" i="24"/>
  <c r="I24" i="24"/>
  <c r="H24" i="24"/>
  <c r="H19" i="24" s="1"/>
  <c r="H8" i="24" s="1"/>
  <c r="H38" i="24" s="1"/>
  <c r="G24" i="24"/>
  <c r="F24" i="24"/>
  <c r="F19" i="24" s="1"/>
  <c r="R23" i="24"/>
  <c r="R22" i="24"/>
  <c r="R21" i="24"/>
  <c r="R20" i="24"/>
  <c r="Q19" i="24"/>
  <c r="O19" i="24"/>
  <c r="M19" i="24"/>
  <c r="M8" i="24" s="1"/>
  <c r="M38" i="24" s="1"/>
  <c r="J19" i="24"/>
  <c r="I19" i="24"/>
  <c r="G19" i="24"/>
  <c r="R9" i="24"/>
  <c r="Q9" i="24"/>
  <c r="Q8" i="24" s="1"/>
  <c r="Q38" i="24" s="1"/>
  <c r="P9" i="24"/>
  <c r="O9" i="24"/>
  <c r="N9" i="24"/>
  <c r="M9" i="24"/>
  <c r="L9" i="24"/>
  <c r="L8" i="24" s="1"/>
  <c r="L38" i="24" s="1"/>
  <c r="K9" i="24"/>
  <c r="J9" i="24"/>
  <c r="J8" i="24" s="1"/>
  <c r="J38" i="24" s="1"/>
  <c r="I9" i="24"/>
  <c r="H9" i="24"/>
  <c r="G9" i="24"/>
  <c r="F9" i="24"/>
  <c r="O8" i="24"/>
  <c r="O38" i="24" s="1"/>
  <c r="N8" i="24"/>
  <c r="N38" i="24" s="1"/>
  <c r="G8" i="24"/>
  <c r="F8" i="24"/>
  <c r="F38" i="24" s="1"/>
  <c r="R37" i="23"/>
  <c r="R36" i="23"/>
  <c r="R35" i="23"/>
  <c r="R34" i="23"/>
  <c r="R33" i="23"/>
  <c r="R32" i="23"/>
  <c r="R31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Q25" i="23"/>
  <c r="Q20" i="23" s="1"/>
  <c r="Q9" i="23" s="1"/>
  <c r="Q39" i="23" s="1"/>
  <c r="P25" i="23"/>
  <c r="O25" i="23"/>
  <c r="N25" i="23"/>
  <c r="M25" i="23"/>
  <c r="L25" i="23"/>
  <c r="L20" i="23" s="1"/>
  <c r="L9" i="23" s="1"/>
  <c r="L39" i="23" s="1"/>
  <c r="K25" i="23"/>
  <c r="J25" i="23"/>
  <c r="I25" i="23"/>
  <c r="I20" i="23" s="1"/>
  <c r="I9" i="23" s="1"/>
  <c r="I39" i="23" s="1"/>
  <c r="H25" i="23"/>
  <c r="G25" i="23"/>
  <c r="F25" i="23"/>
  <c r="R24" i="23"/>
  <c r="R23" i="23"/>
  <c r="R22" i="23"/>
  <c r="R21" i="23"/>
  <c r="P20" i="23"/>
  <c r="P9" i="23" s="1"/>
  <c r="O20" i="23"/>
  <c r="N20" i="23"/>
  <c r="N9" i="23" s="1"/>
  <c r="N39" i="23" s="1"/>
  <c r="M20" i="23"/>
  <c r="M9" i="23" s="1"/>
  <c r="M39" i="23" s="1"/>
  <c r="K20" i="23"/>
  <c r="J20" i="23"/>
  <c r="J9" i="23" s="1"/>
  <c r="J39" i="23" s="1"/>
  <c r="H20" i="23"/>
  <c r="H9" i="23" s="1"/>
  <c r="H39" i="23" s="1"/>
  <c r="G20" i="23"/>
  <c r="F20" i="23"/>
  <c r="F9" i="23" s="1"/>
  <c r="F39" i="23" s="1"/>
  <c r="O9" i="23"/>
  <c r="K9" i="23"/>
  <c r="K39" i="23" s="1"/>
  <c r="G9" i="23"/>
  <c r="O38" i="22"/>
  <c r="G38" i="22"/>
  <c r="R36" i="22"/>
  <c r="R35" i="22"/>
  <c r="R34" i="22"/>
  <c r="R33" i="22"/>
  <c r="R32" i="22"/>
  <c r="R31" i="22"/>
  <c r="R30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Q24" i="22"/>
  <c r="P24" i="22"/>
  <c r="P19" i="22" s="1"/>
  <c r="P8" i="22" s="1"/>
  <c r="P38" i="22" s="1"/>
  <c r="O24" i="22"/>
  <c r="N24" i="22"/>
  <c r="M24" i="22"/>
  <c r="M19" i="22" s="1"/>
  <c r="L24" i="22"/>
  <c r="K24" i="22"/>
  <c r="J24" i="22"/>
  <c r="I24" i="22"/>
  <c r="H24" i="22"/>
  <c r="H19" i="22" s="1"/>
  <c r="H8" i="22" s="1"/>
  <c r="H38" i="22" s="1"/>
  <c r="G24" i="22"/>
  <c r="F24" i="22"/>
  <c r="R23" i="22"/>
  <c r="R22" i="22"/>
  <c r="R21" i="22"/>
  <c r="R20" i="22"/>
  <c r="Q19" i="22"/>
  <c r="Q8" i="22" s="1"/>
  <c r="Q38" i="22" s="1"/>
  <c r="O19" i="22"/>
  <c r="N19" i="22"/>
  <c r="L19" i="22"/>
  <c r="K19" i="22"/>
  <c r="J19" i="22"/>
  <c r="J8" i="22" s="1"/>
  <c r="J38" i="22" s="1"/>
  <c r="I19" i="22"/>
  <c r="I8" i="22" s="1"/>
  <c r="I38" i="22" s="1"/>
  <c r="G19" i="22"/>
  <c r="F19" i="22"/>
  <c r="F8" i="22" s="1"/>
  <c r="F38" i="22" s="1"/>
  <c r="R17" i="22"/>
  <c r="R16" i="22"/>
  <c r="R14" i="22"/>
  <c r="R13" i="22"/>
  <c r="R12" i="22"/>
  <c r="R10" i="22"/>
  <c r="R9" i="22" s="1"/>
  <c r="Q9" i="22"/>
  <c r="P9" i="22"/>
  <c r="O9" i="22"/>
  <c r="N9" i="22"/>
  <c r="M9" i="22"/>
  <c r="M8" i="22" s="1"/>
  <c r="M38" i="22" s="1"/>
  <c r="L9" i="22"/>
  <c r="L8" i="22" s="1"/>
  <c r="L38" i="22" s="1"/>
  <c r="K9" i="22"/>
  <c r="J9" i="22"/>
  <c r="I9" i="22"/>
  <c r="H9" i="22"/>
  <c r="G9" i="22"/>
  <c r="F9" i="22"/>
  <c r="O8" i="22"/>
  <c r="N8" i="22"/>
  <c r="N38" i="22" s="1"/>
  <c r="K8" i="22"/>
  <c r="G8" i="22"/>
  <c r="R37" i="21"/>
  <c r="R36" i="21"/>
  <c r="R35" i="21"/>
  <c r="R34" i="21"/>
  <c r="R33" i="21"/>
  <c r="R32" i="21"/>
  <c r="R29" i="21" s="1"/>
  <c r="R31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R27" i="21"/>
  <c r="Q25" i="21"/>
  <c r="P25" i="21"/>
  <c r="P20" i="21" s="1"/>
  <c r="P9" i="21" s="1"/>
  <c r="P39" i="21" s="1"/>
  <c r="O25" i="21"/>
  <c r="N25" i="21"/>
  <c r="M25" i="21"/>
  <c r="M20" i="21" s="1"/>
  <c r="M9" i="21" s="1"/>
  <c r="L25" i="21"/>
  <c r="K25" i="21"/>
  <c r="K20" i="21" s="1"/>
  <c r="K9" i="21" s="1"/>
  <c r="K39" i="21" s="1"/>
  <c r="J25" i="21"/>
  <c r="J20" i="21" s="1"/>
  <c r="J9" i="21" s="1"/>
  <c r="J39" i="21" s="1"/>
  <c r="I25" i="21"/>
  <c r="H25" i="21"/>
  <c r="H20" i="21" s="1"/>
  <c r="H9" i="21" s="1"/>
  <c r="H39" i="21" s="1"/>
  <c r="G25" i="21"/>
  <c r="F25" i="21"/>
  <c r="R24" i="21"/>
  <c r="R23" i="21"/>
  <c r="R22" i="21"/>
  <c r="R21" i="21"/>
  <c r="Q20" i="21"/>
  <c r="O20" i="21"/>
  <c r="N20" i="21"/>
  <c r="L20" i="21"/>
  <c r="I20" i="21"/>
  <c r="G20" i="21"/>
  <c r="F20" i="21"/>
  <c r="R18" i="21"/>
  <c r="R17" i="21"/>
  <c r="R15" i="21"/>
  <c r="R10" i="21" s="1"/>
  <c r="R14" i="21"/>
  <c r="R13" i="21"/>
  <c r="R11" i="21"/>
  <c r="Q10" i="21"/>
  <c r="P10" i="21"/>
  <c r="O10" i="21"/>
  <c r="O9" i="21" s="1"/>
  <c r="O39" i="21" s="1"/>
  <c r="N10" i="21"/>
  <c r="N9" i="21" s="1"/>
  <c r="N39" i="21" s="1"/>
  <c r="M10" i="21"/>
  <c r="L10" i="21"/>
  <c r="K10" i="21"/>
  <c r="J10" i="21"/>
  <c r="I10" i="21"/>
  <c r="H10" i="21"/>
  <c r="G10" i="21"/>
  <c r="G9" i="21" s="1"/>
  <c r="G39" i="21" s="1"/>
  <c r="F10" i="21"/>
  <c r="F9" i="21" s="1"/>
  <c r="F39" i="21" s="1"/>
  <c r="Q9" i="21"/>
  <c r="Q39" i="21" s="1"/>
  <c r="L9" i="21"/>
  <c r="L39" i="21" s="1"/>
  <c r="I9" i="21"/>
  <c r="I39" i="21" s="1"/>
  <c r="Q38" i="20"/>
  <c r="I38" i="20"/>
  <c r="R36" i="20"/>
  <c r="R35" i="20"/>
  <c r="R34" i="20"/>
  <c r="R33" i="20"/>
  <c r="R32" i="20"/>
  <c r="R31" i="20"/>
  <c r="R30" i="20"/>
  <c r="S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R24" i="20"/>
  <c r="R23" i="20"/>
  <c r="R22" i="20"/>
  <c r="R21" i="20"/>
  <c r="R20" i="20"/>
  <c r="Q19" i="20"/>
  <c r="P19" i="20"/>
  <c r="O19" i="20"/>
  <c r="N19" i="20"/>
  <c r="M19" i="20"/>
  <c r="M8" i="20" s="1"/>
  <c r="L19" i="20"/>
  <c r="K19" i="20"/>
  <c r="J19" i="20"/>
  <c r="I19" i="20"/>
  <c r="H19" i="20"/>
  <c r="G19" i="20"/>
  <c r="F19" i="20"/>
  <c r="R17" i="20"/>
  <c r="R16" i="20"/>
  <c r="R14" i="20"/>
  <c r="R13" i="20"/>
  <c r="R12" i="20"/>
  <c r="R10" i="20"/>
  <c r="R9" i="20"/>
  <c r="Q9" i="20"/>
  <c r="P9" i="20"/>
  <c r="O9" i="20"/>
  <c r="N9" i="20"/>
  <c r="M9" i="20"/>
  <c r="L9" i="20"/>
  <c r="K9" i="20"/>
  <c r="K8" i="20" s="1"/>
  <c r="K38" i="20" s="1"/>
  <c r="J9" i="20"/>
  <c r="J8" i="20" s="1"/>
  <c r="J38" i="20" s="1"/>
  <c r="I9" i="20"/>
  <c r="H9" i="20"/>
  <c r="G9" i="20"/>
  <c r="G8" i="20" s="1"/>
  <c r="G38" i="20" s="1"/>
  <c r="F9" i="20"/>
  <c r="S8" i="20"/>
  <c r="Q8" i="20"/>
  <c r="P8" i="20"/>
  <c r="P38" i="20" s="1"/>
  <c r="N8" i="20"/>
  <c r="N38" i="20" s="1"/>
  <c r="L8" i="20"/>
  <c r="L38" i="20" s="1"/>
  <c r="I8" i="20"/>
  <c r="H8" i="20"/>
  <c r="H38" i="20" s="1"/>
  <c r="F8" i="20"/>
  <c r="N38" i="19"/>
  <c r="M38" i="19"/>
  <c r="F38" i="19"/>
  <c r="R36" i="19"/>
  <c r="R28" i="19" s="1"/>
  <c r="R35" i="19"/>
  <c r="R34" i="19"/>
  <c r="R33" i="19"/>
  <c r="R32" i="19"/>
  <c r="R31" i="19"/>
  <c r="R30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R24" i="19"/>
  <c r="R23" i="19"/>
  <c r="R22" i="19"/>
  <c r="R21" i="19"/>
  <c r="R20" i="19"/>
  <c r="R19" i="19" s="1"/>
  <c r="R8" i="19" s="1"/>
  <c r="Q19" i="19"/>
  <c r="P19" i="19"/>
  <c r="O19" i="19"/>
  <c r="N19" i="19"/>
  <c r="M19" i="19"/>
  <c r="L19" i="19"/>
  <c r="L8" i="19" s="1"/>
  <c r="L38" i="19" s="1"/>
  <c r="K19" i="19"/>
  <c r="K8" i="19" s="1"/>
  <c r="K38" i="19" s="1"/>
  <c r="J19" i="19"/>
  <c r="I19" i="19"/>
  <c r="H19" i="19"/>
  <c r="G19" i="19"/>
  <c r="F19" i="19"/>
  <c r="Q8" i="19"/>
  <c r="P8" i="19"/>
  <c r="P38" i="19" s="1"/>
  <c r="O8" i="19"/>
  <c r="O38" i="19" s="1"/>
  <c r="N8" i="19"/>
  <c r="M8" i="19"/>
  <c r="J8" i="19"/>
  <c r="I8" i="19"/>
  <c r="H8" i="19"/>
  <c r="H38" i="19" s="1"/>
  <c r="G8" i="19"/>
  <c r="G38" i="19" s="1"/>
  <c r="F8" i="19"/>
  <c r="N38" i="18"/>
  <c r="F38" i="18"/>
  <c r="R36" i="18"/>
  <c r="R35" i="18"/>
  <c r="R34" i="18"/>
  <c r="R33" i="18"/>
  <c r="R32" i="18"/>
  <c r="R31" i="18"/>
  <c r="R30" i="18"/>
  <c r="Q28" i="18"/>
  <c r="P28" i="18"/>
  <c r="O28" i="18"/>
  <c r="N28" i="18"/>
  <c r="M28" i="18"/>
  <c r="L28" i="18"/>
  <c r="K28" i="18"/>
  <c r="J28" i="18"/>
  <c r="R28" i="18" s="1"/>
  <c r="I28" i="18"/>
  <c r="H28" i="18"/>
  <c r="G28" i="18"/>
  <c r="F28" i="18"/>
  <c r="R26" i="18"/>
  <c r="Q24" i="18"/>
  <c r="P24" i="18"/>
  <c r="O24" i="18"/>
  <c r="O19" i="18" s="1"/>
  <c r="N24" i="18"/>
  <c r="M24" i="18"/>
  <c r="M19" i="18" s="1"/>
  <c r="L24" i="18"/>
  <c r="K24" i="18"/>
  <c r="K19" i="18" s="1"/>
  <c r="J24" i="18"/>
  <c r="I24" i="18"/>
  <c r="H24" i="18"/>
  <c r="H19" i="18" s="1"/>
  <c r="H8" i="18" s="1"/>
  <c r="H38" i="18" s="1"/>
  <c r="G24" i="18"/>
  <c r="G19" i="18" s="1"/>
  <c r="F24" i="18"/>
  <c r="R23" i="18"/>
  <c r="R22" i="18"/>
  <c r="R21" i="18"/>
  <c r="R20" i="18"/>
  <c r="Q19" i="18"/>
  <c r="P19" i="18"/>
  <c r="P8" i="18" s="1"/>
  <c r="P38" i="18" s="1"/>
  <c r="N19" i="18"/>
  <c r="L19" i="18"/>
  <c r="J19" i="18"/>
  <c r="I19" i="18"/>
  <c r="I8" i="18" s="1"/>
  <c r="I38" i="18" s="1"/>
  <c r="F19" i="18"/>
  <c r="R17" i="18"/>
  <c r="R16" i="18"/>
  <c r="R14" i="18"/>
  <c r="R13" i="18"/>
  <c r="R12" i="18"/>
  <c r="R10" i="18"/>
  <c r="R9" i="18" s="1"/>
  <c r="Q9" i="18"/>
  <c r="P9" i="18"/>
  <c r="O9" i="18"/>
  <c r="N9" i="18"/>
  <c r="M9" i="18"/>
  <c r="M8" i="18" s="1"/>
  <c r="M38" i="18" s="1"/>
  <c r="L9" i="18"/>
  <c r="L8" i="18" s="1"/>
  <c r="L38" i="18" s="1"/>
  <c r="K9" i="18"/>
  <c r="K8" i="18" s="1"/>
  <c r="K38" i="18" s="1"/>
  <c r="J9" i="18"/>
  <c r="I9" i="18"/>
  <c r="H9" i="18"/>
  <c r="G9" i="18"/>
  <c r="F9" i="18"/>
  <c r="Q8" i="18"/>
  <c r="Q38" i="18" s="1"/>
  <c r="N8" i="18"/>
  <c r="J8" i="18"/>
  <c r="F8" i="18"/>
  <c r="N38" i="17"/>
  <c r="M38" i="17"/>
  <c r="F38" i="17"/>
  <c r="R36" i="17"/>
  <c r="R35" i="17"/>
  <c r="R34" i="17"/>
  <c r="R33" i="17"/>
  <c r="R32" i="17"/>
  <c r="R31" i="17"/>
  <c r="R30" i="17"/>
  <c r="Q28" i="17"/>
  <c r="P28" i="17"/>
  <c r="O28" i="17"/>
  <c r="N28" i="17"/>
  <c r="M28" i="17"/>
  <c r="L28" i="17"/>
  <c r="K28" i="17"/>
  <c r="J28" i="17"/>
  <c r="S28" i="17" s="1"/>
  <c r="I28" i="17"/>
  <c r="H28" i="17"/>
  <c r="G28" i="17"/>
  <c r="F28" i="17"/>
  <c r="Q24" i="17"/>
  <c r="P24" i="17"/>
  <c r="O24" i="17"/>
  <c r="O19" i="17" s="1"/>
  <c r="O8" i="17" s="1"/>
  <c r="O38" i="17" s="1"/>
  <c r="N24" i="17"/>
  <c r="M24" i="17"/>
  <c r="L24" i="17"/>
  <c r="K24" i="17"/>
  <c r="J24" i="17"/>
  <c r="I24" i="17"/>
  <c r="H24" i="17"/>
  <c r="H19" i="17" s="1"/>
  <c r="G24" i="17"/>
  <c r="G19" i="17" s="1"/>
  <c r="G8" i="17" s="1"/>
  <c r="G38" i="17" s="1"/>
  <c r="F24" i="17"/>
  <c r="R23" i="17"/>
  <c r="R22" i="17"/>
  <c r="R21" i="17"/>
  <c r="R20" i="17"/>
  <c r="Q19" i="17"/>
  <c r="Q8" i="17" s="1"/>
  <c r="Q38" i="17" s="1"/>
  <c r="P19" i="17"/>
  <c r="N19" i="17"/>
  <c r="M19" i="17"/>
  <c r="L19" i="17"/>
  <c r="K19" i="17"/>
  <c r="J19" i="17"/>
  <c r="I19" i="17"/>
  <c r="F19" i="17"/>
  <c r="Q9" i="17"/>
  <c r="P9" i="17"/>
  <c r="O9" i="17"/>
  <c r="N9" i="17"/>
  <c r="M9" i="17"/>
  <c r="M8" i="17" s="1"/>
  <c r="L9" i="17"/>
  <c r="L8" i="17" s="1"/>
  <c r="L38" i="17" s="1"/>
  <c r="K9" i="17"/>
  <c r="J9" i="17"/>
  <c r="I9" i="17"/>
  <c r="H9" i="17"/>
  <c r="G9" i="17"/>
  <c r="F9" i="17"/>
  <c r="N8" i="17"/>
  <c r="K8" i="17"/>
  <c r="K38" i="17" s="1"/>
  <c r="J8" i="17"/>
  <c r="I8" i="17"/>
  <c r="I38" i="17" s="1"/>
  <c r="F8" i="17"/>
  <c r="O38" i="16"/>
  <c r="N38" i="16"/>
  <c r="G38" i="16"/>
  <c r="F38" i="16"/>
  <c r="R36" i="16"/>
  <c r="R35" i="16"/>
  <c r="R34" i="16"/>
  <c r="R33" i="16"/>
  <c r="R32" i="16"/>
  <c r="R31" i="16"/>
  <c r="R30" i="16"/>
  <c r="Q28" i="16"/>
  <c r="P28" i="16"/>
  <c r="O28" i="16"/>
  <c r="N28" i="16"/>
  <c r="M28" i="16"/>
  <c r="L28" i="16"/>
  <c r="K28" i="16"/>
  <c r="J28" i="16"/>
  <c r="R28" i="16" s="1"/>
  <c r="I28" i="16"/>
  <c r="H28" i="16"/>
  <c r="G28" i="16"/>
  <c r="F28" i="16"/>
  <c r="R26" i="16"/>
  <c r="Q24" i="16"/>
  <c r="Q19" i="16" s="1"/>
  <c r="Q8" i="16" s="1"/>
  <c r="Q38" i="16" s="1"/>
  <c r="P24" i="16"/>
  <c r="P19" i="16" s="1"/>
  <c r="O24" i="16"/>
  <c r="N24" i="16"/>
  <c r="M24" i="16"/>
  <c r="L24" i="16"/>
  <c r="K24" i="16"/>
  <c r="J24" i="16"/>
  <c r="I24" i="16"/>
  <c r="H24" i="16"/>
  <c r="H19" i="16" s="1"/>
  <c r="G24" i="16"/>
  <c r="F24" i="16"/>
  <c r="R24" i="16" s="1"/>
  <c r="R19" i="16" s="1"/>
  <c r="R8" i="16" s="1"/>
  <c r="R23" i="16"/>
  <c r="R22" i="16"/>
  <c r="R21" i="16"/>
  <c r="R20" i="16"/>
  <c r="O19" i="16"/>
  <c r="N19" i="16"/>
  <c r="M19" i="16"/>
  <c r="L19" i="16"/>
  <c r="K19" i="16"/>
  <c r="J19" i="16"/>
  <c r="I19" i="16"/>
  <c r="G19" i="16"/>
  <c r="F19" i="16"/>
  <c r="R17" i="16"/>
  <c r="R16" i="16"/>
  <c r="R14" i="16"/>
  <c r="R9" i="16" s="1"/>
  <c r="R13" i="16"/>
  <c r="R12" i="16"/>
  <c r="R10" i="16"/>
  <c r="Q9" i="16"/>
  <c r="P9" i="16"/>
  <c r="P8" i="16" s="1"/>
  <c r="P38" i="16" s="1"/>
  <c r="O9" i="16"/>
  <c r="N9" i="16"/>
  <c r="M9" i="16"/>
  <c r="M8" i="16" s="1"/>
  <c r="M38" i="16" s="1"/>
  <c r="L9" i="16"/>
  <c r="L8" i="16" s="1"/>
  <c r="L38" i="16" s="1"/>
  <c r="K9" i="16"/>
  <c r="J9" i="16"/>
  <c r="I9" i="16"/>
  <c r="H9" i="16"/>
  <c r="H8" i="16" s="1"/>
  <c r="H38" i="16" s="1"/>
  <c r="G9" i="16"/>
  <c r="F9" i="16"/>
  <c r="O8" i="16"/>
  <c r="N8" i="16"/>
  <c r="K8" i="16"/>
  <c r="K38" i="16" s="1"/>
  <c r="J8" i="16"/>
  <c r="J38" i="16" s="1"/>
  <c r="I8" i="16"/>
  <c r="I38" i="16" s="1"/>
  <c r="G8" i="16"/>
  <c r="F8" i="16"/>
  <c r="R36" i="15"/>
  <c r="R35" i="15"/>
  <c r="R34" i="15"/>
  <c r="R33" i="15"/>
  <c r="R32" i="15"/>
  <c r="R31" i="15"/>
  <c r="R30" i="15"/>
  <c r="Q28" i="15"/>
  <c r="P28" i="15"/>
  <c r="O28" i="15"/>
  <c r="N28" i="15"/>
  <c r="M28" i="15"/>
  <c r="L28" i="15"/>
  <c r="K28" i="15"/>
  <c r="J28" i="15"/>
  <c r="R28" i="15" s="1"/>
  <c r="I28" i="15"/>
  <c r="H28" i="15"/>
  <c r="G28" i="15"/>
  <c r="F28" i="15"/>
  <c r="Q24" i="15"/>
  <c r="P24" i="15"/>
  <c r="O24" i="15"/>
  <c r="O19" i="15" s="1"/>
  <c r="O8" i="15" s="1"/>
  <c r="O38" i="15" s="1"/>
  <c r="N24" i="15"/>
  <c r="M24" i="15"/>
  <c r="L24" i="15"/>
  <c r="K24" i="15"/>
  <c r="J24" i="15"/>
  <c r="I24" i="15"/>
  <c r="H24" i="15"/>
  <c r="G24" i="15"/>
  <c r="G19" i="15" s="1"/>
  <c r="F24" i="15"/>
  <c r="R23" i="15"/>
  <c r="R22" i="15"/>
  <c r="R21" i="15"/>
  <c r="R20" i="15"/>
  <c r="Q19" i="15"/>
  <c r="Q8" i="15" s="1"/>
  <c r="Q38" i="15" s="1"/>
  <c r="P19" i="15"/>
  <c r="P8" i="15" s="1"/>
  <c r="P38" i="15" s="1"/>
  <c r="N19" i="15"/>
  <c r="M19" i="15"/>
  <c r="L19" i="15"/>
  <c r="K19" i="15"/>
  <c r="J19" i="15"/>
  <c r="I19" i="15"/>
  <c r="I8" i="15" s="1"/>
  <c r="I38" i="15" s="1"/>
  <c r="H19" i="15"/>
  <c r="H8" i="15" s="1"/>
  <c r="H38" i="15" s="1"/>
  <c r="F19" i="15"/>
  <c r="R9" i="15"/>
  <c r="Q9" i="15"/>
  <c r="P9" i="15"/>
  <c r="O9" i="15"/>
  <c r="N9" i="15"/>
  <c r="N8" i="15" s="1"/>
  <c r="N38" i="15" s="1"/>
  <c r="M9" i="15"/>
  <c r="M8" i="15" s="1"/>
  <c r="M38" i="15" s="1"/>
  <c r="L9" i="15"/>
  <c r="K9" i="15"/>
  <c r="J9" i="15"/>
  <c r="J8" i="15" s="1"/>
  <c r="J38" i="15" s="1"/>
  <c r="I9" i="15"/>
  <c r="H9" i="15"/>
  <c r="G9" i="15"/>
  <c r="F9" i="15"/>
  <c r="F8" i="15" s="1"/>
  <c r="F38" i="15" s="1"/>
  <c r="R38" i="15" s="1"/>
  <c r="L8" i="15"/>
  <c r="L38" i="15" s="1"/>
  <c r="K8" i="15"/>
  <c r="K38" i="15" s="1"/>
  <c r="G8" i="15"/>
  <c r="G38" i="15" s="1"/>
  <c r="L39" i="14"/>
  <c r="R37" i="14"/>
  <c r="R36" i="14"/>
  <c r="R35" i="14"/>
  <c r="R34" i="14"/>
  <c r="R33" i="14"/>
  <c r="R32" i="14"/>
  <c r="R31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R27" i="14"/>
  <c r="R25" i="14"/>
  <c r="R24" i="14"/>
  <c r="R23" i="14"/>
  <c r="R22" i="14"/>
  <c r="R21" i="14"/>
  <c r="R20" i="14"/>
  <c r="Q19" i="14"/>
  <c r="P19" i="14"/>
  <c r="P8" i="14" s="1"/>
  <c r="P39" i="14" s="1"/>
  <c r="O19" i="14"/>
  <c r="N19" i="14"/>
  <c r="M19" i="14"/>
  <c r="L19" i="14"/>
  <c r="K19" i="14"/>
  <c r="J19" i="14"/>
  <c r="I19" i="14"/>
  <c r="H19" i="14"/>
  <c r="H8" i="14" s="1"/>
  <c r="H39" i="14" s="1"/>
  <c r="G19" i="14"/>
  <c r="G8" i="14" s="1"/>
  <c r="G39" i="14" s="1"/>
  <c r="F19" i="14"/>
  <c r="R17" i="14"/>
  <c r="R16" i="14"/>
  <c r="R14" i="14"/>
  <c r="R13" i="14"/>
  <c r="R12" i="14"/>
  <c r="R10" i="14"/>
  <c r="R9" i="14" s="1"/>
  <c r="Q9" i="14"/>
  <c r="P9" i="14"/>
  <c r="O9" i="14"/>
  <c r="N9" i="14"/>
  <c r="M9" i="14"/>
  <c r="L9" i="14"/>
  <c r="K9" i="14"/>
  <c r="K8" i="14" s="1"/>
  <c r="K39" i="14" s="1"/>
  <c r="J9" i="14"/>
  <c r="J8" i="14" s="1"/>
  <c r="J39" i="14" s="1"/>
  <c r="I9" i="14"/>
  <c r="H9" i="14"/>
  <c r="G9" i="14"/>
  <c r="F9" i="14"/>
  <c r="F8" i="14" s="1"/>
  <c r="F39" i="14" s="1"/>
  <c r="Q8" i="14"/>
  <c r="Q39" i="14" s="1"/>
  <c r="O8" i="14"/>
  <c r="O39" i="14" s="1"/>
  <c r="N8" i="14"/>
  <c r="N39" i="14" s="1"/>
  <c r="M8" i="14"/>
  <c r="M39" i="14" s="1"/>
  <c r="L8" i="14"/>
  <c r="I8" i="14"/>
  <c r="I39" i="14" s="1"/>
  <c r="M38" i="13"/>
  <c r="R36" i="13"/>
  <c r="R35" i="13"/>
  <c r="R34" i="13"/>
  <c r="R33" i="13"/>
  <c r="R32" i="13"/>
  <c r="R31" i="13"/>
  <c r="R30" i="13"/>
  <c r="Q28" i="13"/>
  <c r="Q38" i="13" s="1"/>
  <c r="P28" i="13"/>
  <c r="O28" i="13"/>
  <c r="N28" i="13"/>
  <c r="M28" i="13"/>
  <c r="L28" i="13"/>
  <c r="K28" i="13"/>
  <c r="J28" i="13"/>
  <c r="I28" i="13"/>
  <c r="I38" i="13" s="1"/>
  <c r="H28" i="13"/>
  <c r="G28" i="13"/>
  <c r="F28" i="13"/>
  <c r="R24" i="13"/>
  <c r="R23" i="13"/>
  <c r="R22" i="13"/>
  <c r="R21" i="13"/>
  <c r="R20" i="13"/>
  <c r="R19" i="13" s="1"/>
  <c r="R8" i="13" s="1"/>
  <c r="Q19" i="13"/>
  <c r="P19" i="13"/>
  <c r="O19" i="13"/>
  <c r="N19" i="13"/>
  <c r="M19" i="13"/>
  <c r="L19" i="13"/>
  <c r="K19" i="13"/>
  <c r="K8" i="13" s="1"/>
  <c r="K38" i="13" s="1"/>
  <c r="J19" i="13"/>
  <c r="J8" i="13" s="1"/>
  <c r="J38" i="13" s="1"/>
  <c r="I19" i="13"/>
  <c r="H19" i="13"/>
  <c r="G19" i="13"/>
  <c r="F19" i="13"/>
  <c r="R9" i="13"/>
  <c r="Q9" i="13"/>
  <c r="P9" i="13"/>
  <c r="P8" i="13" s="1"/>
  <c r="P38" i="13" s="1"/>
  <c r="O9" i="13"/>
  <c r="O8" i="13" s="1"/>
  <c r="O38" i="13" s="1"/>
  <c r="N9" i="13"/>
  <c r="M9" i="13"/>
  <c r="L9" i="13"/>
  <c r="K9" i="13"/>
  <c r="J9" i="13"/>
  <c r="I9" i="13"/>
  <c r="H9" i="13"/>
  <c r="H8" i="13" s="1"/>
  <c r="H38" i="13" s="1"/>
  <c r="G9" i="13"/>
  <c r="G8" i="13" s="1"/>
  <c r="G38" i="13" s="1"/>
  <c r="F9" i="13"/>
  <c r="Q8" i="13"/>
  <c r="N8" i="13"/>
  <c r="N38" i="13" s="1"/>
  <c r="M8" i="13"/>
  <c r="L8" i="13"/>
  <c r="L38" i="13" s="1"/>
  <c r="I8" i="13"/>
  <c r="F8" i="13"/>
  <c r="F38" i="13" s="1"/>
  <c r="N37" i="12"/>
  <c r="F37" i="12"/>
  <c r="R35" i="12"/>
  <c r="R34" i="12"/>
  <c r="R33" i="12"/>
  <c r="R32" i="12"/>
  <c r="R31" i="12"/>
  <c r="R30" i="12"/>
  <c r="R29" i="12"/>
  <c r="Q28" i="12"/>
  <c r="P28" i="12"/>
  <c r="O28" i="12"/>
  <c r="N28" i="12"/>
  <c r="M28" i="12"/>
  <c r="L28" i="12"/>
  <c r="K28" i="12"/>
  <c r="J28" i="12"/>
  <c r="J37" i="12" s="1"/>
  <c r="I28" i="12"/>
  <c r="H28" i="12"/>
  <c r="G28" i="12"/>
  <c r="F28" i="12"/>
  <c r="R26" i="12"/>
  <c r="R24" i="12"/>
  <c r="R23" i="12"/>
  <c r="R22" i="12"/>
  <c r="R21" i="12"/>
  <c r="R20" i="12"/>
  <c r="Q19" i="12"/>
  <c r="Q8" i="12" s="1"/>
  <c r="Q37" i="12" s="1"/>
  <c r="P19" i="12"/>
  <c r="O19" i="12"/>
  <c r="N19" i="12"/>
  <c r="M19" i="12"/>
  <c r="M8" i="12" s="1"/>
  <c r="M37" i="12" s="1"/>
  <c r="L19" i="12"/>
  <c r="K19" i="12"/>
  <c r="J19" i="12"/>
  <c r="I19" i="12"/>
  <c r="I8" i="12" s="1"/>
  <c r="I37" i="12" s="1"/>
  <c r="H19" i="12"/>
  <c r="G19" i="12"/>
  <c r="F19" i="12"/>
  <c r="R17" i="12"/>
  <c r="R16" i="12"/>
  <c r="R14" i="12"/>
  <c r="R13" i="12"/>
  <c r="R12" i="12"/>
  <c r="R10" i="12"/>
  <c r="Q9" i="12"/>
  <c r="P9" i="12"/>
  <c r="O9" i="12"/>
  <c r="O8" i="12" s="1"/>
  <c r="O37" i="12" s="1"/>
  <c r="N9" i="12"/>
  <c r="M9" i="12"/>
  <c r="L9" i="12"/>
  <c r="L8" i="12" s="1"/>
  <c r="L37" i="12" s="1"/>
  <c r="K9" i="12"/>
  <c r="K8" i="12" s="1"/>
  <c r="K37" i="12" s="1"/>
  <c r="J9" i="12"/>
  <c r="I9" i="12"/>
  <c r="H9" i="12"/>
  <c r="G9" i="12"/>
  <c r="G8" i="12" s="1"/>
  <c r="G37" i="12" s="1"/>
  <c r="F9" i="12"/>
  <c r="P8" i="12"/>
  <c r="P37" i="12" s="1"/>
  <c r="N8" i="12"/>
  <c r="J8" i="12"/>
  <c r="H8" i="12"/>
  <c r="H37" i="12" s="1"/>
  <c r="F8" i="12"/>
  <c r="F38" i="11"/>
  <c r="R36" i="11"/>
  <c r="R35" i="11"/>
  <c r="R34" i="11"/>
  <c r="R33" i="11"/>
  <c r="R32" i="11"/>
  <c r="R31" i="11"/>
  <c r="R30" i="11"/>
  <c r="Q28" i="11"/>
  <c r="P28" i="11"/>
  <c r="O28" i="11"/>
  <c r="N28" i="11"/>
  <c r="M28" i="11"/>
  <c r="L28" i="11"/>
  <c r="K28" i="11"/>
  <c r="J28" i="11"/>
  <c r="R28" i="11" s="1"/>
  <c r="I28" i="11"/>
  <c r="H28" i="11"/>
  <c r="G28" i="11"/>
  <c r="F28" i="11"/>
  <c r="R24" i="11"/>
  <c r="R23" i="11"/>
  <c r="R22" i="11"/>
  <c r="R21" i="11"/>
  <c r="R20" i="11"/>
  <c r="Q19" i="11"/>
  <c r="P19" i="11"/>
  <c r="O19" i="11"/>
  <c r="N19" i="11"/>
  <c r="M19" i="11"/>
  <c r="L19" i="11"/>
  <c r="L8" i="11" s="1"/>
  <c r="L38" i="11" s="1"/>
  <c r="K19" i="11"/>
  <c r="K8" i="11" s="1"/>
  <c r="K38" i="11" s="1"/>
  <c r="J19" i="11"/>
  <c r="I19" i="11"/>
  <c r="H19" i="11"/>
  <c r="G19" i="11"/>
  <c r="F19" i="11"/>
  <c r="R9" i="11"/>
  <c r="Q9" i="11"/>
  <c r="Q8" i="11" s="1"/>
  <c r="P9" i="11"/>
  <c r="O9" i="11"/>
  <c r="N9" i="11"/>
  <c r="M9" i="11"/>
  <c r="M8" i="11" s="1"/>
  <c r="M38" i="11" s="1"/>
  <c r="L9" i="11"/>
  <c r="K9" i="11"/>
  <c r="J9" i="11"/>
  <c r="I9" i="11"/>
  <c r="I8" i="11" s="1"/>
  <c r="H9" i="11"/>
  <c r="G9" i="11"/>
  <c r="F9" i="11"/>
  <c r="O8" i="11"/>
  <c r="O38" i="11" s="1"/>
  <c r="N8" i="11"/>
  <c r="N38" i="11" s="1"/>
  <c r="J8" i="11"/>
  <c r="J38" i="11" s="1"/>
  <c r="G8" i="11"/>
  <c r="G38" i="11" s="1"/>
  <c r="F8" i="11"/>
  <c r="O38" i="10"/>
  <c r="R36" i="10"/>
  <c r="R35" i="10"/>
  <c r="R34" i="10"/>
  <c r="R33" i="10"/>
  <c r="R32" i="10"/>
  <c r="R31" i="10"/>
  <c r="R30" i="10"/>
  <c r="Q28" i="10"/>
  <c r="P28" i="10"/>
  <c r="O28" i="10"/>
  <c r="N28" i="10"/>
  <c r="M28" i="10"/>
  <c r="L28" i="10"/>
  <c r="K28" i="10"/>
  <c r="K38" i="10" s="1"/>
  <c r="J28" i="10"/>
  <c r="I28" i="10"/>
  <c r="H28" i="10"/>
  <c r="G28" i="10"/>
  <c r="G38" i="10" s="1"/>
  <c r="F28" i="10"/>
  <c r="R26" i="10"/>
  <c r="R24" i="10"/>
  <c r="R23" i="10"/>
  <c r="R22" i="10"/>
  <c r="R21" i="10"/>
  <c r="R20" i="10"/>
  <c r="Q19" i="10"/>
  <c r="P19" i="10"/>
  <c r="O19" i="10"/>
  <c r="N19" i="10"/>
  <c r="M19" i="10"/>
  <c r="L19" i="10"/>
  <c r="K19" i="10"/>
  <c r="J19" i="10"/>
  <c r="J8" i="10" s="1"/>
  <c r="J38" i="10" s="1"/>
  <c r="I19" i="10"/>
  <c r="H19" i="10"/>
  <c r="G19" i="10"/>
  <c r="F19" i="10"/>
  <c r="R17" i="10"/>
  <c r="R16" i="10"/>
  <c r="R14" i="10"/>
  <c r="R13" i="10"/>
  <c r="R12" i="10"/>
  <c r="R10" i="10"/>
  <c r="R9" i="10"/>
  <c r="Q9" i="10"/>
  <c r="P9" i="10"/>
  <c r="O9" i="10"/>
  <c r="N9" i="10"/>
  <c r="M9" i="10"/>
  <c r="M8" i="10" s="1"/>
  <c r="M38" i="10" s="1"/>
  <c r="L9" i="10"/>
  <c r="L8" i="10" s="1"/>
  <c r="L38" i="10" s="1"/>
  <c r="K9" i="10"/>
  <c r="J9" i="10"/>
  <c r="I9" i="10"/>
  <c r="I8" i="10" s="1"/>
  <c r="I38" i="10" s="1"/>
  <c r="H9" i="10"/>
  <c r="G9" i="10"/>
  <c r="F9" i="10"/>
  <c r="Q8" i="10"/>
  <c r="Q38" i="10" s="1"/>
  <c r="P8" i="10"/>
  <c r="P38" i="10" s="1"/>
  <c r="O8" i="10"/>
  <c r="N8" i="10"/>
  <c r="N38" i="10" s="1"/>
  <c r="K8" i="10"/>
  <c r="H8" i="10"/>
  <c r="H38" i="10" s="1"/>
  <c r="G8" i="10"/>
  <c r="F8" i="10"/>
  <c r="F38" i="10" s="1"/>
  <c r="R36" i="9"/>
  <c r="R35" i="9"/>
  <c r="R34" i="9"/>
  <c r="R33" i="9"/>
  <c r="R32" i="9"/>
  <c r="R31" i="9"/>
  <c r="R30" i="9"/>
  <c r="Q28" i="9"/>
  <c r="P28" i="9"/>
  <c r="O28" i="9"/>
  <c r="N28" i="9"/>
  <c r="M28" i="9"/>
  <c r="L28" i="9"/>
  <c r="K28" i="9"/>
  <c r="J28" i="9"/>
  <c r="I28" i="9"/>
  <c r="H28" i="9"/>
  <c r="G28" i="9"/>
  <c r="F28" i="9"/>
  <c r="Q24" i="9"/>
  <c r="Q19" i="9" s="1"/>
  <c r="Q8" i="9" s="1"/>
  <c r="P24" i="9"/>
  <c r="O24" i="9"/>
  <c r="N24" i="9"/>
  <c r="M24" i="9"/>
  <c r="L24" i="9"/>
  <c r="L19" i="9" s="1"/>
  <c r="L8" i="9" s="1"/>
  <c r="K24" i="9"/>
  <c r="J24" i="9"/>
  <c r="I24" i="9"/>
  <c r="I19" i="9" s="1"/>
  <c r="I8" i="9" s="1"/>
  <c r="H24" i="9"/>
  <c r="G24" i="9"/>
  <c r="F24" i="9"/>
  <c r="R23" i="9"/>
  <c r="R22" i="9"/>
  <c r="R21" i="9"/>
  <c r="R20" i="9"/>
  <c r="P19" i="9"/>
  <c r="O19" i="9"/>
  <c r="N19" i="9"/>
  <c r="N8" i="9" s="1"/>
  <c r="M19" i="9"/>
  <c r="M8" i="9" s="1"/>
  <c r="K19" i="9"/>
  <c r="J19" i="9"/>
  <c r="H19" i="9"/>
  <c r="G19" i="9"/>
  <c r="F19" i="9"/>
  <c r="F8" i="9" s="1"/>
  <c r="R9" i="9"/>
  <c r="Q9" i="9"/>
  <c r="P9" i="9"/>
  <c r="O9" i="9"/>
  <c r="O8" i="9" s="1"/>
  <c r="N9" i="9"/>
  <c r="M9" i="9"/>
  <c r="L9" i="9"/>
  <c r="K9" i="9"/>
  <c r="K8" i="9" s="1"/>
  <c r="J9" i="9"/>
  <c r="J8" i="9" s="1"/>
  <c r="I9" i="9"/>
  <c r="H9" i="9"/>
  <c r="G9" i="9"/>
  <c r="G8" i="9" s="1"/>
  <c r="F9" i="9"/>
  <c r="P8" i="9"/>
  <c r="H8" i="9"/>
  <c r="M38" i="8"/>
  <c r="R36" i="8"/>
  <c r="P36" i="8"/>
  <c r="P28" i="8" s="1"/>
  <c r="R35" i="8"/>
  <c r="R34" i="8"/>
  <c r="R33" i="8"/>
  <c r="R28" i="8" s="1"/>
  <c r="R32" i="8"/>
  <c r="R31" i="8"/>
  <c r="R30" i="8"/>
  <c r="Q28" i="8"/>
  <c r="O28" i="8"/>
  <c r="N28" i="8"/>
  <c r="M28" i="8"/>
  <c r="L28" i="8"/>
  <c r="K28" i="8"/>
  <c r="J28" i="8"/>
  <c r="I28" i="8"/>
  <c r="H28" i="8"/>
  <c r="G28" i="8"/>
  <c r="F28" i="8"/>
  <c r="R26" i="8"/>
  <c r="R24" i="8"/>
  <c r="R23" i="8"/>
  <c r="R22" i="8"/>
  <c r="R21" i="8"/>
  <c r="R20" i="8"/>
  <c r="Q19" i="8"/>
  <c r="Q8" i="8" s="1"/>
  <c r="Q38" i="8" s="1"/>
  <c r="P19" i="8"/>
  <c r="O19" i="8"/>
  <c r="N19" i="8"/>
  <c r="M19" i="8"/>
  <c r="L19" i="8"/>
  <c r="L8" i="8" s="1"/>
  <c r="L38" i="8" s="1"/>
  <c r="K19" i="8"/>
  <c r="J19" i="8"/>
  <c r="I19" i="8"/>
  <c r="H19" i="8"/>
  <c r="G19" i="8"/>
  <c r="F19" i="8"/>
  <c r="R17" i="8"/>
  <c r="R16" i="8"/>
  <c r="R14" i="8"/>
  <c r="R13" i="8"/>
  <c r="R12" i="8"/>
  <c r="R10" i="8"/>
  <c r="Q9" i="8"/>
  <c r="P9" i="8"/>
  <c r="P8" i="8" s="1"/>
  <c r="P38" i="8" s="1"/>
  <c r="O9" i="8"/>
  <c r="O8" i="8" s="1"/>
  <c r="O38" i="8" s="1"/>
  <c r="N9" i="8"/>
  <c r="M9" i="8"/>
  <c r="L9" i="8"/>
  <c r="K9" i="8"/>
  <c r="K8" i="8" s="1"/>
  <c r="K38" i="8" s="1"/>
  <c r="J9" i="8"/>
  <c r="I9" i="8"/>
  <c r="H9" i="8"/>
  <c r="H8" i="8" s="1"/>
  <c r="H38" i="8" s="1"/>
  <c r="G9" i="8"/>
  <c r="G8" i="8" s="1"/>
  <c r="G38" i="8" s="1"/>
  <c r="F9" i="8"/>
  <c r="N8" i="8"/>
  <c r="M8" i="8"/>
  <c r="J8" i="8"/>
  <c r="I8" i="8"/>
  <c r="I38" i="8" s="1"/>
  <c r="F8" i="8"/>
  <c r="F38" i="8" s="1"/>
  <c r="F38" i="7"/>
  <c r="R35" i="7"/>
  <c r="R34" i="7"/>
  <c r="R33" i="7"/>
  <c r="Q32" i="7"/>
  <c r="Q28" i="7" s="1"/>
  <c r="P32" i="7"/>
  <c r="O32" i="7"/>
  <c r="N32" i="7"/>
  <c r="M32" i="7"/>
  <c r="L32" i="7"/>
  <c r="L28" i="7" s="1"/>
  <c r="K32" i="7"/>
  <c r="J32" i="7"/>
  <c r="I32" i="7"/>
  <c r="I28" i="7" s="1"/>
  <c r="H32" i="7"/>
  <c r="H28" i="7" s="1"/>
  <c r="G32" i="7"/>
  <c r="F32" i="7"/>
  <c r="R31" i="7"/>
  <c r="R30" i="7"/>
  <c r="O28" i="7"/>
  <c r="N28" i="7"/>
  <c r="M28" i="7"/>
  <c r="K28" i="7"/>
  <c r="J28" i="7"/>
  <c r="G28" i="7"/>
  <c r="F28" i="7"/>
  <c r="R24" i="7"/>
  <c r="R23" i="7"/>
  <c r="R22" i="7"/>
  <c r="R21" i="7"/>
  <c r="R20" i="7"/>
  <c r="Q19" i="7"/>
  <c r="P19" i="7"/>
  <c r="O19" i="7"/>
  <c r="N19" i="7"/>
  <c r="M19" i="7"/>
  <c r="M8" i="7" s="1"/>
  <c r="M38" i="7" s="1"/>
  <c r="L19" i="7"/>
  <c r="L8" i="7" s="1"/>
  <c r="K19" i="7"/>
  <c r="J19" i="7"/>
  <c r="I19" i="7"/>
  <c r="H19" i="7"/>
  <c r="G19" i="7"/>
  <c r="F19" i="7"/>
  <c r="Q8" i="7"/>
  <c r="Q38" i="7" s="1"/>
  <c r="P8" i="7"/>
  <c r="O8" i="7"/>
  <c r="N8" i="7"/>
  <c r="N38" i="7" s="1"/>
  <c r="K8" i="7"/>
  <c r="K38" i="7" s="1"/>
  <c r="J8" i="7"/>
  <c r="J38" i="7" s="1"/>
  <c r="I8" i="7"/>
  <c r="I38" i="7" s="1"/>
  <c r="H8" i="7"/>
  <c r="H38" i="7" s="1"/>
  <c r="G8" i="7"/>
  <c r="F8" i="7"/>
  <c r="R51" i="6"/>
  <c r="R49" i="6"/>
  <c r="R48" i="6"/>
  <c r="Q47" i="6"/>
  <c r="Q45" i="6" s="1"/>
  <c r="Q40" i="6" s="1"/>
  <c r="P47" i="6"/>
  <c r="O47" i="6"/>
  <c r="N47" i="6"/>
  <c r="N45" i="6" s="1"/>
  <c r="M47" i="6"/>
  <c r="L47" i="6"/>
  <c r="K47" i="6"/>
  <c r="J47" i="6"/>
  <c r="J45" i="6" s="1"/>
  <c r="I47" i="6"/>
  <c r="I45" i="6" s="1"/>
  <c r="H47" i="6"/>
  <c r="G47" i="6"/>
  <c r="F47" i="6"/>
  <c r="F45" i="6" s="1"/>
  <c r="R46" i="6"/>
  <c r="P45" i="6"/>
  <c r="O45" i="6"/>
  <c r="M45" i="6"/>
  <c r="L45" i="6"/>
  <c r="L40" i="6" s="1"/>
  <c r="K45" i="6"/>
  <c r="H45" i="6"/>
  <c r="H40" i="6" s="1"/>
  <c r="G45" i="6"/>
  <c r="R43" i="6"/>
  <c r="R42" i="6"/>
  <c r="R41" i="6" s="1"/>
  <c r="Q41" i="6"/>
  <c r="P41" i="6"/>
  <c r="O41" i="6"/>
  <c r="O40" i="6" s="1"/>
  <c r="N41" i="6"/>
  <c r="N40" i="6" s="1"/>
  <c r="M41" i="6"/>
  <c r="L41" i="6"/>
  <c r="K41" i="6"/>
  <c r="J41" i="6"/>
  <c r="I41" i="6"/>
  <c r="H41" i="6"/>
  <c r="G41" i="6"/>
  <c r="F41" i="6"/>
  <c r="F40" i="6" s="1"/>
  <c r="P40" i="6"/>
  <c r="M40" i="6"/>
  <c r="K40" i="6"/>
  <c r="I40" i="6"/>
  <c r="G40" i="6"/>
  <c r="Q36" i="6"/>
  <c r="P36" i="6"/>
  <c r="O36" i="6"/>
  <c r="N36" i="6"/>
  <c r="N28" i="6" s="1"/>
  <c r="M36" i="6"/>
  <c r="M28" i="6" s="1"/>
  <c r="L36" i="6"/>
  <c r="L28" i="6" s="1"/>
  <c r="L38" i="6" s="1"/>
  <c r="K36" i="6"/>
  <c r="K28" i="6" s="1"/>
  <c r="J36" i="6"/>
  <c r="I36" i="6"/>
  <c r="H36" i="6"/>
  <c r="G36" i="6"/>
  <c r="F36" i="6"/>
  <c r="R35" i="6"/>
  <c r="R34" i="6"/>
  <c r="R33" i="6"/>
  <c r="R32" i="6"/>
  <c r="R31" i="6"/>
  <c r="R30" i="6"/>
  <c r="Q28" i="6"/>
  <c r="P28" i="6"/>
  <c r="O28" i="6"/>
  <c r="J28" i="6"/>
  <c r="I28" i="6"/>
  <c r="I38" i="6" s="1"/>
  <c r="H28" i="6"/>
  <c r="G28" i="6"/>
  <c r="G38" i="6" s="1"/>
  <c r="R26" i="6"/>
  <c r="R22" i="6"/>
  <c r="R21" i="6"/>
  <c r="R20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R17" i="6"/>
  <c r="R16" i="6"/>
  <c r="R14" i="6"/>
  <c r="R13" i="6"/>
  <c r="R12" i="6"/>
  <c r="R10" i="6"/>
  <c r="R9" i="6" s="1"/>
  <c r="Q9" i="6"/>
  <c r="P9" i="6"/>
  <c r="O9" i="6"/>
  <c r="N9" i="6"/>
  <c r="N8" i="6" s="1"/>
  <c r="N38" i="6" s="1"/>
  <c r="M9" i="6"/>
  <c r="M8" i="6" s="1"/>
  <c r="M38" i="6" s="1"/>
  <c r="L9" i="6"/>
  <c r="K9" i="6"/>
  <c r="K8" i="6" s="1"/>
  <c r="K38" i="6" s="1"/>
  <c r="J9" i="6"/>
  <c r="I9" i="6"/>
  <c r="H9" i="6"/>
  <c r="G9" i="6"/>
  <c r="F9" i="6"/>
  <c r="F8" i="6" s="1"/>
  <c r="R8" i="6"/>
  <c r="Q8" i="6"/>
  <c r="P8" i="6"/>
  <c r="P38" i="6" s="1"/>
  <c r="O8" i="6"/>
  <c r="L8" i="6"/>
  <c r="J8" i="6"/>
  <c r="J38" i="6" s="1"/>
  <c r="I8" i="6"/>
  <c r="H8" i="6"/>
  <c r="H38" i="6" s="1"/>
  <c r="G8" i="6"/>
  <c r="R51" i="5"/>
  <c r="R49" i="5"/>
  <c r="R48" i="5"/>
  <c r="Q47" i="5"/>
  <c r="P47" i="5"/>
  <c r="P45" i="5" s="1"/>
  <c r="O47" i="5"/>
  <c r="O45" i="5" s="1"/>
  <c r="N47" i="5"/>
  <c r="M47" i="5"/>
  <c r="M45" i="5" s="1"/>
  <c r="L47" i="5"/>
  <c r="L45" i="5" s="1"/>
  <c r="L40" i="5" s="1"/>
  <c r="K47" i="5"/>
  <c r="K45" i="5" s="1"/>
  <c r="K40" i="5" s="1"/>
  <c r="J47" i="5"/>
  <c r="J45" i="5" s="1"/>
  <c r="J40" i="5" s="1"/>
  <c r="I47" i="5"/>
  <c r="H47" i="5"/>
  <c r="R47" i="5" s="1"/>
  <c r="G47" i="5"/>
  <c r="G45" i="5" s="1"/>
  <c r="F47" i="5"/>
  <c r="R46" i="5"/>
  <c r="Q45" i="5"/>
  <c r="Q40" i="5" s="1"/>
  <c r="N45" i="5"/>
  <c r="N40" i="5" s="1"/>
  <c r="I45" i="5"/>
  <c r="I40" i="5" s="1"/>
  <c r="H45" i="5"/>
  <c r="F45" i="5"/>
  <c r="F40" i="5" s="1"/>
  <c r="R43" i="5"/>
  <c r="R42" i="5"/>
  <c r="R41" i="5"/>
  <c r="Q41" i="5"/>
  <c r="P41" i="5"/>
  <c r="O41" i="5"/>
  <c r="N41" i="5"/>
  <c r="M41" i="5"/>
  <c r="M40" i="5" s="1"/>
  <c r="L41" i="5"/>
  <c r="K41" i="5"/>
  <c r="J41" i="5"/>
  <c r="I41" i="5"/>
  <c r="H41" i="5"/>
  <c r="G41" i="5"/>
  <c r="F41" i="5"/>
  <c r="Q38" i="5"/>
  <c r="Q36" i="5"/>
  <c r="P36" i="5"/>
  <c r="O36" i="5"/>
  <c r="N36" i="5"/>
  <c r="N28" i="5" s="1"/>
  <c r="M36" i="5"/>
  <c r="M28" i="5" s="1"/>
  <c r="L36" i="5"/>
  <c r="L28" i="5" s="1"/>
  <c r="K36" i="5"/>
  <c r="K28" i="5" s="1"/>
  <c r="J36" i="5"/>
  <c r="I36" i="5"/>
  <c r="H36" i="5"/>
  <c r="G36" i="5"/>
  <c r="F36" i="5"/>
  <c r="R35" i="5"/>
  <c r="R34" i="5"/>
  <c r="R33" i="5"/>
  <c r="R32" i="5"/>
  <c r="R31" i="5"/>
  <c r="R30" i="5"/>
  <c r="Q28" i="5"/>
  <c r="P28" i="5"/>
  <c r="O28" i="5"/>
  <c r="J28" i="5"/>
  <c r="I28" i="5"/>
  <c r="I38" i="5" s="1"/>
  <c r="H28" i="5"/>
  <c r="G28" i="5"/>
  <c r="G38" i="5" s="1"/>
  <c r="R26" i="5"/>
  <c r="R24" i="5"/>
  <c r="R23" i="5"/>
  <c r="R22" i="5"/>
  <c r="R21" i="5"/>
  <c r="R20" i="5"/>
  <c r="R19" i="5"/>
  <c r="Q19" i="5"/>
  <c r="P19" i="5"/>
  <c r="O19" i="5"/>
  <c r="N19" i="5"/>
  <c r="M19" i="5"/>
  <c r="L19" i="5"/>
  <c r="K19" i="5"/>
  <c r="J19" i="5"/>
  <c r="J8" i="5" s="1"/>
  <c r="J38" i="5" s="1"/>
  <c r="I19" i="5"/>
  <c r="H19" i="5"/>
  <c r="G19" i="5"/>
  <c r="F19" i="5"/>
  <c r="R17" i="5"/>
  <c r="R9" i="5" s="1"/>
  <c r="R8" i="5" s="1"/>
  <c r="R16" i="5"/>
  <c r="R14" i="5"/>
  <c r="R13" i="5"/>
  <c r="R12" i="5"/>
  <c r="R10" i="5"/>
  <c r="Q9" i="5"/>
  <c r="P9" i="5"/>
  <c r="P8" i="5" s="1"/>
  <c r="P38" i="5" s="1"/>
  <c r="O9" i="5"/>
  <c r="O8" i="5" s="1"/>
  <c r="O38" i="5" s="1"/>
  <c r="N9" i="5"/>
  <c r="N8" i="5" s="1"/>
  <c r="N38" i="5" s="1"/>
  <c r="M9" i="5"/>
  <c r="M8" i="5" s="1"/>
  <c r="L9" i="5"/>
  <c r="K9" i="5"/>
  <c r="J9" i="5"/>
  <c r="I9" i="5"/>
  <c r="H9" i="5"/>
  <c r="H8" i="5" s="1"/>
  <c r="H38" i="5" s="1"/>
  <c r="G9" i="5"/>
  <c r="G8" i="5" s="1"/>
  <c r="F9" i="5"/>
  <c r="F8" i="5" s="1"/>
  <c r="Q8" i="5"/>
  <c r="L8" i="5"/>
  <c r="L38" i="5" s="1"/>
  <c r="K8" i="5"/>
  <c r="K38" i="5" s="1"/>
  <c r="I8" i="5"/>
  <c r="R51" i="4"/>
  <c r="R49" i="4"/>
  <c r="R48" i="4"/>
  <c r="R47" i="4"/>
  <c r="R45" i="4" s="1"/>
  <c r="R40" i="4" s="1"/>
  <c r="Q45" i="4"/>
  <c r="R43" i="4"/>
  <c r="R42" i="4"/>
  <c r="Q40" i="4"/>
  <c r="R26" i="4"/>
  <c r="R24" i="4"/>
  <c r="R19" i="4" s="1"/>
  <c r="R23" i="4"/>
  <c r="R22" i="4"/>
  <c r="R21" i="4"/>
  <c r="R20" i="4"/>
  <c r="Q19" i="4"/>
  <c r="P19" i="4"/>
  <c r="O19" i="4"/>
  <c r="O8" i="4" s="1"/>
  <c r="N19" i="4"/>
  <c r="M19" i="4"/>
  <c r="L19" i="4"/>
  <c r="K19" i="4"/>
  <c r="J19" i="4"/>
  <c r="I19" i="4"/>
  <c r="I8" i="4" s="1"/>
  <c r="H19" i="4"/>
  <c r="G19" i="4"/>
  <c r="F19" i="4"/>
  <c r="R17" i="4"/>
  <c r="R16" i="4"/>
  <c r="R14" i="4"/>
  <c r="R13" i="4"/>
  <c r="R12" i="4"/>
  <c r="R10" i="4"/>
  <c r="R9" i="4"/>
  <c r="R8" i="4" s="1"/>
  <c r="Q9" i="4"/>
  <c r="P9" i="4"/>
  <c r="O9" i="4"/>
  <c r="N9" i="4"/>
  <c r="M9" i="4"/>
  <c r="M8" i="4" s="1"/>
  <c r="L9" i="4"/>
  <c r="L8" i="4" s="1"/>
  <c r="K9" i="4"/>
  <c r="J9" i="4"/>
  <c r="J8" i="4" s="1"/>
  <c r="I9" i="4"/>
  <c r="H9" i="4"/>
  <c r="G9" i="4"/>
  <c r="F9" i="4"/>
  <c r="Q8" i="4"/>
  <c r="P8" i="4"/>
  <c r="N8" i="4"/>
  <c r="K8" i="4"/>
  <c r="H8" i="4"/>
  <c r="G8" i="4"/>
  <c r="F8" i="4"/>
  <c r="R53" i="3"/>
  <c r="R51" i="3"/>
  <c r="R50" i="3"/>
  <c r="Q49" i="3"/>
  <c r="Q47" i="3" s="1"/>
  <c r="P49" i="3"/>
  <c r="O49" i="3"/>
  <c r="O47" i="3" s="1"/>
  <c r="N49" i="3"/>
  <c r="N47" i="3" s="1"/>
  <c r="M49" i="3"/>
  <c r="L49" i="3"/>
  <c r="L47" i="3" s="1"/>
  <c r="L42" i="3" s="1"/>
  <c r="K49" i="3"/>
  <c r="K47" i="3" s="1"/>
  <c r="J49" i="3"/>
  <c r="J47" i="3" s="1"/>
  <c r="J42" i="3" s="1"/>
  <c r="I49" i="3"/>
  <c r="I47" i="3" s="1"/>
  <c r="H49" i="3"/>
  <c r="G49" i="3"/>
  <c r="R49" i="3" s="1"/>
  <c r="R47" i="3" s="1"/>
  <c r="F49" i="3"/>
  <c r="F47" i="3" s="1"/>
  <c r="R48" i="3"/>
  <c r="P47" i="3"/>
  <c r="P42" i="3" s="1"/>
  <c r="M47" i="3"/>
  <c r="M42" i="3" s="1"/>
  <c r="H47" i="3"/>
  <c r="H42" i="3" s="1"/>
  <c r="R45" i="3"/>
  <c r="R44" i="3"/>
  <c r="R43" i="3" s="1"/>
  <c r="R42" i="3" s="1"/>
  <c r="Q43" i="3"/>
  <c r="P43" i="3"/>
  <c r="O43" i="3"/>
  <c r="N43" i="3"/>
  <c r="M43" i="3"/>
  <c r="L43" i="3"/>
  <c r="K43" i="3"/>
  <c r="J43" i="3"/>
  <c r="I43" i="3"/>
  <c r="H43" i="3"/>
  <c r="G43" i="3"/>
  <c r="F43" i="3"/>
  <c r="Q42" i="3"/>
  <c r="K42" i="3"/>
  <c r="I42" i="3"/>
  <c r="Q38" i="3"/>
  <c r="P38" i="3"/>
  <c r="P30" i="3" s="1"/>
  <c r="P40" i="3" s="1"/>
  <c r="N38" i="3"/>
  <c r="N30" i="3" s="1"/>
  <c r="K38" i="3"/>
  <c r="H38" i="3"/>
  <c r="H30" i="3" s="1"/>
  <c r="F38" i="3"/>
  <c r="R37" i="3"/>
  <c r="R36" i="3"/>
  <c r="R35" i="3"/>
  <c r="P34" i="3"/>
  <c r="O34" i="3"/>
  <c r="N34" i="3"/>
  <c r="M34" i="3"/>
  <c r="L34" i="3"/>
  <c r="L38" i="3" s="1"/>
  <c r="K34" i="3"/>
  <c r="J34" i="3"/>
  <c r="I34" i="3"/>
  <c r="I38" i="3" s="1"/>
  <c r="H34" i="3"/>
  <c r="G34" i="3"/>
  <c r="F34" i="3"/>
  <c r="R33" i="3"/>
  <c r="R32" i="3"/>
  <c r="Q30" i="3"/>
  <c r="L30" i="3"/>
  <c r="K30" i="3"/>
  <c r="I30" i="3"/>
  <c r="R28" i="3"/>
  <c r="R26" i="3"/>
  <c r="R25" i="3"/>
  <c r="R24" i="3"/>
  <c r="R23" i="3"/>
  <c r="R22" i="3"/>
  <c r="R21" i="3" s="1"/>
  <c r="Q21" i="3"/>
  <c r="P21" i="3"/>
  <c r="O21" i="3"/>
  <c r="N21" i="3"/>
  <c r="N9" i="3" s="1"/>
  <c r="N40" i="3" s="1"/>
  <c r="M21" i="3"/>
  <c r="L21" i="3"/>
  <c r="L9" i="3" s="1"/>
  <c r="K21" i="3"/>
  <c r="J21" i="3"/>
  <c r="I21" i="3"/>
  <c r="I9" i="3" s="1"/>
  <c r="I40" i="3" s="1"/>
  <c r="H21" i="3"/>
  <c r="G21" i="3"/>
  <c r="F21" i="3"/>
  <c r="F9" i="3" s="1"/>
  <c r="R19" i="3"/>
  <c r="R18" i="3"/>
  <c r="R16" i="3"/>
  <c r="R14" i="3"/>
  <c r="R13" i="3"/>
  <c r="Q11" i="3"/>
  <c r="P10" i="3"/>
  <c r="O10" i="3"/>
  <c r="N10" i="3"/>
  <c r="M10" i="3"/>
  <c r="L10" i="3"/>
  <c r="K10" i="3"/>
  <c r="K9" i="3" s="1"/>
  <c r="K40" i="3" s="1"/>
  <c r="J10" i="3"/>
  <c r="J9" i="3" s="1"/>
  <c r="I10" i="3"/>
  <c r="H10" i="3"/>
  <c r="G10" i="3"/>
  <c r="F10" i="3"/>
  <c r="P9" i="3"/>
  <c r="O9" i="3"/>
  <c r="M9" i="3"/>
  <c r="H9" i="3"/>
  <c r="H40" i="3" s="1"/>
  <c r="G9" i="3"/>
  <c r="A64" i="2"/>
  <c r="R53" i="2"/>
  <c r="R51" i="2"/>
  <c r="R50" i="2"/>
  <c r="R49" i="2" s="1"/>
  <c r="Q49" i="2"/>
  <c r="Q47" i="2" s="1"/>
  <c r="Q42" i="2" s="1"/>
  <c r="P49" i="2"/>
  <c r="P47" i="2" s="1"/>
  <c r="O49" i="2"/>
  <c r="N49" i="2"/>
  <c r="N47" i="2" s="1"/>
  <c r="M49" i="2"/>
  <c r="M47" i="2" s="1"/>
  <c r="L49" i="2"/>
  <c r="K49" i="2"/>
  <c r="K47" i="2" s="1"/>
  <c r="J49" i="2"/>
  <c r="I49" i="2"/>
  <c r="I47" i="2" s="1"/>
  <c r="I42" i="2" s="1"/>
  <c r="H49" i="2"/>
  <c r="H47" i="2" s="1"/>
  <c r="H42" i="2" s="1"/>
  <c r="G49" i="2"/>
  <c r="F49" i="2"/>
  <c r="R48" i="2"/>
  <c r="O47" i="2"/>
  <c r="O42" i="2" s="1"/>
  <c r="L47" i="2"/>
  <c r="L42" i="2" s="1"/>
  <c r="J47" i="2"/>
  <c r="G47" i="2"/>
  <c r="G42" i="2" s="1"/>
  <c r="F47" i="2"/>
  <c r="R45" i="2"/>
  <c r="R44" i="2"/>
  <c r="R43" i="2" s="1"/>
  <c r="Q43" i="2"/>
  <c r="P43" i="2"/>
  <c r="O43" i="2"/>
  <c r="N43" i="2"/>
  <c r="M43" i="2"/>
  <c r="M42" i="2" s="1"/>
  <c r="L43" i="2"/>
  <c r="K43" i="2"/>
  <c r="J43" i="2"/>
  <c r="I43" i="2"/>
  <c r="H43" i="2"/>
  <c r="G43" i="2"/>
  <c r="F43" i="2"/>
  <c r="P42" i="2"/>
  <c r="K42" i="2"/>
  <c r="J42" i="2"/>
  <c r="P40" i="2"/>
  <c r="H40" i="2"/>
  <c r="R37" i="2"/>
  <c r="R36" i="2"/>
  <c r="R35" i="2"/>
  <c r="Q34" i="2"/>
  <c r="Q38" i="2" s="1"/>
  <c r="P34" i="2"/>
  <c r="P38" i="2" s="1"/>
  <c r="P30" i="2" s="1"/>
  <c r="O34" i="2"/>
  <c r="N34" i="2"/>
  <c r="N38" i="2" s="1"/>
  <c r="N30" i="2" s="1"/>
  <c r="M34" i="2"/>
  <c r="L34" i="2"/>
  <c r="L38" i="2" s="1"/>
  <c r="L30" i="2" s="1"/>
  <c r="K34" i="2"/>
  <c r="K38" i="2" s="1"/>
  <c r="K30" i="2" s="1"/>
  <c r="J34" i="2"/>
  <c r="I34" i="2"/>
  <c r="I38" i="2" s="1"/>
  <c r="I30" i="2" s="1"/>
  <c r="H34" i="2"/>
  <c r="H38" i="2" s="1"/>
  <c r="H30" i="2" s="1"/>
  <c r="G34" i="2"/>
  <c r="F34" i="2"/>
  <c r="F38" i="2" s="1"/>
  <c r="F30" i="2" s="1"/>
  <c r="R33" i="2"/>
  <c r="R32" i="2"/>
  <c r="Q30" i="2"/>
  <c r="R28" i="2"/>
  <c r="R26" i="2"/>
  <c r="R25" i="2"/>
  <c r="R24" i="2"/>
  <c r="R23" i="2"/>
  <c r="R22" i="2"/>
  <c r="R21" i="2" s="1"/>
  <c r="Q21" i="2"/>
  <c r="P21" i="2"/>
  <c r="O21" i="2"/>
  <c r="N21" i="2"/>
  <c r="N9" i="2" s="1"/>
  <c r="N40" i="2" s="1"/>
  <c r="M21" i="2"/>
  <c r="L21" i="2"/>
  <c r="L9" i="2" s="1"/>
  <c r="K21" i="2"/>
  <c r="J21" i="2"/>
  <c r="I21" i="2"/>
  <c r="H21" i="2"/>
  <c r="G21" i="2"/>
  <c r="F21" i="2"/>
  <c r="R19" i="2"/>
  <c r="R18" i="2"/>
  <c r="R16" i="2"/>
  <c r="R14" i="2"/>
  <c r="R13" i="2"/>
  <c r="R11" i="2"/>
  <c r="R10" i="2"/>
  <c r="Q10" i="2"/>
  <c r="Q9" i="2" s="1"/>
  <c r="P10" i="2"/>
  <c r="O10" i="2"/>
  <c r="O9" i="2" s="1"/>
  <c r="N10" i="2"/>
  <c r="M10" i="2"/>
  <c r="L10" i="2"/>
  <c r="K10" i="2"/>
  <c r="J10" i="2"/>
  <c r="J9" i="2" s="1"/>
  <c r="I10" i="2"/>
  <c r="I9" i="2" s="1"/>
  <c r="H10" i="2"/>
  <c r="G10" i="2"/>
  <c r="F10" i="2"/>
  <c r="P9" i="2"/>
  <c r="M9" i="2"/>
  <c r="K9" i="2"/>
  <c r="H9" i="2"/>
  <c r="G9" i="2"/>
  <c r="F9" i="2"/>
  <c r="F40" i="2" s="1"/>
  <c r="L40" i="2" l="1"/>
  <c r="G40" i="5"/>
  <c r="P7" i="37"/>
  <c r="K40" i="2"/>
  <c r="G47" i="3"/>
  <c r="M38" i="5"/>
  <c r="H40" i="5"/>
  <c r="P40" i="5"/>
  <c r="R28" i="12"/>
  <c r="R37" i="12"/>
  <c r="J38" i="3"/>
  <c r="J30" i="3" s="1"/>
  <c r="J40" i="3" s="1"/>
  <c r="O40" i="5"/>
  <c r="I40" i="2"/>
  <c r="Q40" i="2"/>
  <c r="J38" i="2"/>
  <c r="J30" i="2" s="1"/>
  <c r="J40" i="2" s="1"/>
  <c r="L40" i="3"/>
  <c r="F30" i="3"/>
  <c r="F40" i="3" s="1"/>
  <c r="R19" i="9"/>
  <c r="R11" i="3"/>
  <c r="R10" i="3" s="1"/>
  <c r="R9" i="3" s="1"/>
  <c r="Q10" i="3"/>
  <c r="Q9" i="3" s="1"/>
  <c r="Q40" i="3" s="1"/>
  <c r="F42" i="2"/>
  <c r="R9" i="2"/>
  <c r="R34" i="2"/>
  <c r="F28" i="6"/>
  <c r="F38" i="6" s="1"/>
  <c r="R38" i="6" s="1"/>
  <c r="R36" i="6"/>
  <c r="R28" i="6" s="1"/>
  <c r="F42" i="3"/>
  <c r="N42" i="3"/>
  <c r="R47" i="6"/>
  <c r="R38" i="10"/>
  <c r="M38" i="2"/>
  <c r="M30" i="2" s="1"/>
  <c r="M40" i="2" s="1"/>
  <c r="R47" i="2"/>
  <c r="R42" i="2" s="1"/>
  <c r="G42" i="3"/>
  <c r="O42" i="3"/>
  <c r="F28" i="5"/>
  <c r="F38" i="5" s="1"/>
  <c r="R36" i="5"/>
  <c r="R28" i="5" s="1"/>
  <c r="R38" i="5" s="1"/>
  <c r="R45" i="5"/>
  <c r="R40" i="5" s="1"/>
  <c r="Q38" i="6"/>
  <c r="N42" i="2"/>
  <c r="R34" i="3"/>
  <c r="M38" i="3"/>
  <c r="M30" i="3" s="1"/>
  <c r="M40" i="3" s="1"/>
  <c r="R28" i="9"/>
  <c r="R38" i="13"/>
  <c r="H8" i="17"/>
  <c r="H38" i="17" s="1"/>
  <c r="P8" i="17"/>
  <c r="P38" i="17" s="1"/>
  <c r="R38" i="17" s="1"/>
  <c r="R24" i="17"/>
  <c r="R19" i="17" s="1"/>
  <c r="R8" i="17" s="1"/>
  <c r="R28" i="17"/>
  <c r="I38" i="19"/>
  <c r="O8" i="20"/>
  <c r="O38" i="20" s="1"/>
  <c r="P39" i="23"/>
  <c r="R9" i="26"/>
  <c r="F20" i="34"/>
  <c r="F9" i="34" s="1"/>
  <c r="F40" i="34" s="1"/>
  <c r="R40" i="34" s="1"/>
  <c r="R26" i="34"/>
  <c r="R20" i="34" s="1"/>
  <c r="R9" i="34" s="1"/>
  <c r="R19" i="12"/>
  <c r="J38" i="17"/>
  <c r="R24" i="18"/>
  <c r="R19" i="18" s="1"/>
  <c r="R8" i="18" s="1"/>
  <c r="J38" i="19"/>
  <c r="R38" i="19" s="1"/>
  <c r="M38" i="20"/>
  <c r="R28" i="20"/>
  <c r="R25" i="21"/>
  <c r="R20" i="21" s="1"/>
  <c r="R9" i="21" s="1"/>
  <c r="R30" i="33"/>
  <c r="R38" i="16"/>
  <c r="P30" i="39"/>
  <c r="G38" i="3"/>
  <c r="R38" i="3" s="1"/>
  <c r="O38" i="3"/>
  <c r="O30" i="3" s="1"/>
  <c r="O40" i="3" s="1"/>
  <c r="J40" i="6"/>
  <c r="R40" i="6"/>
  <c r="R32" i="7"/>
  <c r="R28" i="7" s="1"/>
  <c r="R9" i="8"/>
  <c r="R24" i="9"/>
  <c r="R28" i="10"/>
  <c r="R19" i="11"/>
  <c r="R8" i="11" s="1"/>
  <c r="R19" i="14"/>
  <c r="R8" i="14" s="1"/>
  <c r="R24" i="15"/>
  <c r="G8" i="18"/>
  <c r="G38" i="18" s="1"/>
  <c r="R38" i="18" s="1"/>
  <c r="O8" i="18"/>
  <c r="O38" i="18" s="1"/>
  <c r="M39" i="21"/>
  <c r="G39" i="23"/>
  <c r="R38" i="25"/>
  <c r="G38" i="27"/>
  <c r="R26" i="30"/>
  <c r="R20" i="30" s="1"/>
  <c r="R9" i="30" s="1"/>
  <c r="F20" i="30"/>
  <c r="F9" i="30" s="1"/>
  <c r="F40" i="30" s="1"/>
  <c r="R40" i="30" s="1"/>
  <c r="R29" i="14"/>
  <c r="G38" i="2"/>
  <c r="O38" i="2"/>
  <c r="O30" i="2" s="1"/>
  <c r="O40" i="2" s="1"/>
  <c r="R45" i="6"/>
  <c r="O38" i="7"/>
  <c r="R19" i="10"/>
  <c r="R8" i="10" s="1"/>
  <c r="H8" i="11"/>
  <c r="H38" i="11" s="1"/>
  <c r="R38" i="11" s="1"/>
  <c r="P8" i="11"/>
  <c r="P38" i="11" s="1"/>
  <c r="R28" i="13"/>
  <c r="R39" i="14"/>
  <c r="J38" i="8"/>
  <c r="R38" i="8" s="1"/>
  <c r="R19" i="15"/>
  <c r="R8" i="15" s="1"/>
  <c r="G30" i="3"/>
  <c r="G40" i="3" s="1"/>
  <c r="R19" i="7"/>
  <c r="R8" i="7" s="1"/>
  <c r="P36" i="7"/>
  <c r="R36" i="7" s="1"/>
  <c r="P28" i="7"/>
  <c r="P38" i="7" s="1"/>
  <c r="N38" i="8"/>
  <c r="F38" i="9"/>
  <c r="R38" i="9" s="1"/>
  <c r="R8" i="9"/>
  <c r="I38" i="11"/>
  <c r="Q38" i="11"/>
  <c r="R9" i="12"/>
  <c r="R8" i="12" s="1"/>
  <c r="Q38" i="19"/>
  <c r="R19" i="20"/>
  <c r="R8" i="20" s="1"/>
  <c r="R38" i="22"/>
  <c r="I20" i="26"/>
  <c r="I9" i="26" s="1"/>
  <c r="I39" i="26" s="1"/>
  <c r="R39" i="26" s="1"/>
  <c r="R25" i="26"/>
  <c r="R20" i="26" s="1"/>
  <c r="F39" i="32"/>
  <c r="O40" i="33"/>
  <c r="O38" i="6"/>
  <c r="G38" i="7"/>
  <c r="L38" i="7"/>
  <c r="R19" i="8"/>
  <c r="J38" i="18"/>
  <c r="F38" i="20"/>
  <c r="R38" i="20" s="1"/>
  <c r="R39" i="21"/>
  <c r="I8" i="24"/>
  <c r="I38" i="24" s="1"/>
  <c r="R38" i="24" s="1"/>
  <c r="R20" i="29"/>
  <c r="R9" i="29" s="1"/>
  <c r="H40" i="33"/>
  <c r="P40" i="33"/>
  <c r="P21" i="37"/>
  <c r="K38" i="22"/>
  <c r="R29" i="23"/>
  <c r="R28" i="24"/>
  <c r="I8" i="25"/>
  <c r="I38" i="25" s="1"/>
  <c r="Q8" i="25"/>
  <c r="Q38" i="25" s="1"/>
  <c r="R28" i="25"/>
  <c r="I40" i="30"/>
  <c r="J40" i="30"/>
  <c r="R40" i="33"/>
  <c r="I33" i="36"/>
  <c r="R24" i="25"/>
  <c r="R19" i="25" s="1"/>
  <c r="R8" i="25" s="1"/>
  <c r="Q40" i="30"/>
  <c r="O39" i="23"/>
  <c r="R39" i="23" s="1"/>
  <c r="R25" i="23"/>
  <c r="R20" i="23" s="1"/>
  <c r="R9" i="23" s="1"/>
  <c r="R37" i="26"/>
  <c r="N38" i="28"/>
  <c r="R38" i="28" s="1"/>
  <c r="R26" i="29"/>
  <c r="F20" i="29"/>
  <c r="F9" i="29" s="1"/>
  <c r="F40" i="29" s="1"/>
  <c r="I9" i="32"/>
  <c r="I39" i="32" s="1"/>
  <c r="Q9" i="32"/>
  <c r="Q39" i="32" s="1"/>
  <c r="I7" i="35"/>
  <c r="I33" i="35" s="1"/>
  <c r="Q33" i="35" s="1"/>
  <c r="Q17" i="36"/>
  <c r="Q15" i="36" s="1"/>
  <c r="Q7" i="36" s="1"/>
  <c r="H15" i="36"/>
  <c r="H7" i="36" s="1"/>
  <c r="H33" i="36" s="1"/>
  <c r="Q33" i="36" s="1"/>
  <c r="P33" i="36"/>
  <c r="R24" i="22"/>
  <c r="R19" i="22" s="1"/>
  <c r="R8" i="22" s="1"/>
  <c r="R28" i="22"/>
  <c r="R29" i="26"/>
  <c r="R19" i="28"/>
  <c r="R8" i="28" s="1"/>
  <c r="R20" i="32"/>
  <c r="R26" i="33"/>
  <c r="R20" i="33" s="1"/>
  <c r="R9" i="33" s="1"/>
  <c r="P9" i="34"/>
  <c r="P40" i="34" s="1"/>
  <c r="Q17" i="35"/>
  <c r="Q15" i="35" s="1"/>
  <c r="Q7" i="35" s="1"/>
  <c r="O7" i="36"/>
  <c r="O33" i="36" s="1"/>
  <c r="R36" i="25"/>
  <c r="J38" i="27"/>
  <c r="Q40" i="29"/>
  <c r="J8" i="31"/>
  <c r="J38" i="31" s="1"/>
  <c r="R24" i="31"/>
  <c r="R19" i="31" s="1"/>
  <c r="R8" i="31" s="1"/>
  <c r="R38" i="31" s="1"/>
  <c r="I40" i="34"/>
  <c r="Q40" i="34"/>
  <c r="R30" i="34"/>
  <c r="F19" i="27"/>
  <c r="F8" i="27" s="1"/>
  <c r="F38" i="27" s="1"/>
  <c r="R38" i="27" s="1"/>
  <c r="F19" i="31"/>
  <c r="F8" i="31" s="1"/>
  <c r="F38" i="31" s="1"/>
  <c r="R24" i="24"/>
  <c r="R19" i="24" s="1"/>
  <c r="R8" i="24" s="1"/>
  <c r="R24" i="28"/>
  <c r="R36" i="31"/>
  <c r="R28" i="31" s="1"/>
  <c r="R30" i="3" l="1"/>
  <c r="R40" i="3" s="1"/>
  <c r="R38" i="7"/>
  <c r="R40" i="29"/>
  <c r="R9" i="32"/>
  <c r="R38" i="2"/>
  <c r="R30" i="2" s="1"/>
  <c r="R40" i="2" s="1"/>
  <c r="R39" i="32"/>
  <c r="R8" i="8"/>
  <c r="G30" i="2"/>
  <c r="G40" i="2" s="1"/>
</calcChain>
</file>

<file path=xl/sharedStrings.xml><?xml version="1.0" encoding="utf-8"?>
<sst xmlns="http://schemas.openxmlformats.org/spreadsheetml/2006/main" count="3044" uniqueCount="201">
  <si>
    <t>National Government Cash Operations Report</t>
  </si>
  <si>
    <t>CY 2023</t>
  </si>
  <si>
    <t>(In Million Pesos)</t>
  </si>
  <si>
    <t>Particulars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</si>
  <si>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</si>
  <si>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</si>
  <si>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</si>
  <si>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</si>
  <si>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</si>
  <si>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</si>
  <si>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</si>
  <si>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</si>
  <si>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</si>
  <si>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</si>
  <si>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</t>
  </si>
  <si>
    <t>Revenues</t>
  </si>
  <si>
    <t>Tax Revenues</t>
  </si>
  <si>
    <t>BIR</t>
  </si>
  <si>
    <t>of which:</t>
  </si>
  <si>
    <t xml:space="preserve">   Documentary Stamp</t>
  </si>
  <si>
    <t xml:space="preserve">   Tax Expenditures</t>
  </si>
  <si>
    <t>BOC</t>
  </si>
  <si>
    <t xml:space="preserve">Other Offices </t>
  </si>
  <si>
    <t>Non-tax Revenues</t>
  </si>
  <si>
    <t>BTr Income</t>
  </si>
  <si>
    <t xml:space="preserve">Fees and Charges  </t>
  </si>
  <si>
    <t>Privatization</t>
  </si>
  <si>
    <t>Income from Malampaya</t>
  </si>
  <si>
    <t>Other non-tax</t>
  </si>
  <si>
    <t>Grants</t>
  </si>
  <si>
    <t>Expenditures</t>
  </si>
  <si>
    <t>Allotment to LGUs</t>
  </si>
  <si>
    <t>Interest Payments</t>
  </si>
  <si>
    <t>Tax Expenditures</t>
  </si>
  <si>
    <r>
      <rPr>
        <sz val="11"/>
        <rFont val="Arial"/>
        <family val="2"/>
        <charset val="1"/>
      </rPr>
      <t xml:space="preserve">Subsidy </t>
    </r>
    <r>
      <rPr>
        <i/>
        <vertAlign val="superscript"/>
        <sz val="11"/>
        <rFont val="Arial"/>
        <family val="2"/>
        <charset val="1"/>
      </rPr>
      <t xml:space="preserve"> </t>
    </r>
  </si>
  <si>
    <t>Equity</t>
  </si>
  <si>
    <t xml:space="preserve">Net Lending </t>
  </si>
  <si>
    <r>
      <rPr>
        <sz val="11"/>
        <rFont val="Arial"/>
        <family val="2"/>
        <charset val="1"/>
      </rPr>
      <t xml:space="preserve">NG Disbursements </t>
    </r>
    <r>
      <rPr>
        <i/>
        <vertAlign val="superscript"/>
        <sz val="11"/>
        <rFont val="Arial"/>
        <family val="2"/>
        <charset val="1"/>
      </rPr>
      <t xml:space="preserve"> </t>
    </r>
  </si>
  <si>
    <t>Surplus/(-)Deficit</t>
  </si>
  <si>
    <t>Financing</t>
  </si>
  <si>
    <t>External (Net)</t>
  </si>
  <si>
    <t>External (Gross)</t>
  </si>
  <si>
    <t>Less: Amortization</t>
  </si>
  <si>
    <t>Domestic (Net)</t>
  </si>
  <si>
    <t>Domestic (Gross)</t>
  </si>
  <si>
    <t>Less: Net Amortization</t>
  </si>
  <si>
    <t xml:space="preserve">Amortization    </t>
  </si>
  <si>
    <t>Change-In-Cash</t>
  </si>
  <si>
    <t>Notes:</t>
  </si>
  <si>
    <r>
      <rPr>
        <i/>
        <sz val="10"/>
        <rFont val="Arial"/>
        <family val="2"/>
        <charset val="1"/>
      </rPr>
      <t>This version follows the GFSM 2014 concept wherein reporting of debt amortization reflect the actual principal repayments to creditor including those serviced by the BSF;</t>
    </r>
    <r>
      <rPr>
        <i/>
        <sz val="10"/>
        <color rgb="FFFFFFFF"/>
        <rFont val="Arial"/>
        <family val="2"/>
        <charset val="1"/>
      </rPr>
      <t xml:space="preserve"> </t>
    </r>
    <r>
      <rPr>
        <i/>
        <sz val="10"/>
        <rFont val="Arial"/>
        <family val="2"/>
        <charset val="1"/>
      </rPr>
      <t>while financing includes gross proceeds of liability management transactions such as bond exchange.</t>
    </r>
  </si>
  <si>
    <t>1/</t>
  </si>
  <si>
    <t>The amount was sourced from the Bond Sinking Fund.</t>
  </si>
  <si>
    <t>Source: COR(FPAD-RS)</t>
  </si>
  <si>
    <t>National Government Cash Operation Report</t>
  </si>
  <si>
    <t>CY 2022</t>
  </si>
  <si>
    <t>(Version 2)</t>
  </si>
  <si>
    <t>Nov</t>
  </si>
  <si>
    <t>Dec</t>
  </si>
  <si>
    <t xml:space="preserve"> </t>
  </si>
  <si>
    <r>
      <rPr>
        <sz val="11"/>
        <rFont val="Arial"/>
        <family val="2"/>
        <charset val="1"/>
      </rPr>
      <t xml:space="preserve">Amortization    </t>
    </r>
    <r>
      <rPr>
        <vertAlign val="superscript"/>
        <sz val="11"/>
        <rFont val="Arial"/>
        <family val="2"/>
        <charset val="1"/>
      </rPr>
      <t xml:space="preserve"> 2/</t>
    </r>
  </si>
  <si>
    <r>
      <rPr>
        <i/>
        <sz val="11"/>
        <rFont val="Arial"/>
        <family val="2"/>
        <charset val="1"/>
      </rPr>
      <t>of which: Redemption from BSF</t>
    </r>
    <r>
      <rPr>
        <i/>
        <vertAlign val="superscript"/>
        <sz val="11"/>
        <rFont val="Arial"/>
        <family val="2"/>
        <charset val="1"/>
      </rPr>
      <t xml:space="preserve">  1/</t>
    </r>
  </si>
  <si>
    <t xml:space="preserve">Excludes actual disbursement from MDS Trust Accounts amounting to P17,370 Million. </t>
  </si>
  <si>
    <t>2/</t>
  </si>
  <si>
    <t>RTB issuance in September is net of the exchange amounting to 43,769 million (as part of the Liability mnagement exercise of NG) in which maturity is on Feb. 2023.</t>
  </si>
  <si>
    <t>CY 2021</t>
  </si>
  <si>
    <t>Sept</t>
  </si>
  <si>
    <r>
      <rPr>
        <sz val="11"/>
        <rFont val="Arial"/>
        <family val="2"/>
        <charset val="1"/>
      </rPr>
      <t xml:space="preserve">Subsidy </t>
    </r>
    <r>
      <rPr>
        <i/>
        <vertAlign val="superscript"/>
        <sz val="11"/>
        <rFont val="Arial"/>
        <family val="2"/>
        <charset val="1"/>
      </rPr>
      <t xml:space="preserve"> 1/</t>
    </r>
  </si>
  <si>
    <r>
      <rPr>
        <sz val="11"/>
        <rFont val="Arial"/>
        <family val="2"/>
        <charset val="1"/>
      </rPr>
      <t xml:space="preserve">NG Disbursements </t>
    </r>
    <r>
      <rPr>
        <i/>
        <vertAlign val="superscript"/>
        <sz val="11"/>
        <rFont val="Arial"/>
        <family val="2"/>
        <charset val="1"/>
      </rPr>
      <t xml:space="preserve"> 2/</t>
    </r>
  </si>
  <si>
    <t>Amortization</t>
  </si>
  <si>
    <r>
      <rPr>
        <i/>
        <sz val="11"/>
        <rFont val="Arial"/>
        <family val="2"/>
        <charset val="1"/>
      </rPr>
      <t>of which: Redemption from BSF</t>
    </r>
    <r>
      <rPr>
        <i/>
        <vertAlign val="superscript"/>
        <sz val="11"/>
        <rFont val="Arial"/>
        <family val="2"/>
        <charset val="1"/>
      </rPr>
      <t xml:space="preserve">  3/</t>
    </r>
  </si>
  <si>
    <r>
      <rPr>
        <i/>
        <sz val="10"/>
        <rFont val="Arial Narrow"/>
        <family val="2"/>
        <charset val="1"/>
      </rPr>
      <t>This version follows the GFSM 2014 concept wherein reporting of debt amortization reflect the actual principal repayments to creditor including those serviced by the BSF;</t>
    </r>
    <r>
      <rPr>
        <i/>
        <sz val="10"/>
        <color rgb="FFFFFFFF"/>
        <rFont val="Arial Narrow"/>
        <family val="2"/>
        <charset val="1"/>
      </rPr>
      <t xml:space="preserve"> </t>
    </r>
    <r>
      <rPr>
        <i/>
        <sz val="10"/>
        <rFont val="Arial Narrow"/>
        <family val="2"/>
        <charset val="1"/>
      </rPr>
      <t>while financing includes gross proceeds of liability management transactions such as bond exchange.</t>
    </r>
  </si>
  <si>
    <t>Excludes repayment on advances from the Conversion into Subsidy of NFA pere SARO-BMB-C-21-0000447 dated per Jev # 01-2021-02-01569 dated Feb. 26, 2021</t>
  </si>
  <si>
    <t>Excludes actual disbursement from MDS Trust Accounts amounting to P60,511 Million. Recognized transfer/disb for the Coconut Farmers &amp; Industry Development Plan in September amounting to P10.0 billion.</t>
  </si>
  <si>
    <t>3/</t>
  </si>
  <si>
    <t>CY 2020</t>
  </si>
  <si>
    <t>Mar *</t>
  </si>
  <si>
    <t>Other Offices **</t>
  </si>
  <si>
    <t>Fees and Charges  **</t>
  </si>
  <si>
    <t>Subsidy</t>
  </si>
  <si>
    <t>Net Lending</t>
  </si>
  <si>
    <t>NG Disbursements</t>
  </si>
  <si>
    <t>of which: Redemption from BSF</t>
  </si>
  <si>
    <t xml:space="preserve"> *</t>
  </si>
  <si>
    <t xml:space="preserve">Adjusted fiscal balance due to reclassification of collections from the Bayanihan to Heal as One Act </t>
  </si>
  <si>
    <t xml:space="preserve">and  net financing to include the REPO transaction with BSP amounting to P300 Billion </t>
  </si>
  <si>
    <t>**</t>
  </si>
  <si>
    <t>No reported collections for the month of May due to the imposition of ECQ nationwide.</t>
  </si>
  <si>
    <t>CY 2019</t>
  </si>
  <si>
    <t>Other Offices</t>
  </si>
  <si>
    <t>Fees and Charges</t>
  </si>
  <si>
    <t>1/ BIR and BOC collections are Net of Tax Refund</t>
  </si>
  <si>
    <t xml:space="preserve">2/ </t>
  </si>
  <si>
    <t>No actual releases in January due to delay in the issuance of NCA due to deffered passage of 2019 GAA</t>
  </si>
  <si>
    <t>CY 2018</t>
  </si>
  <si>
    <t>Prepared by: BTr/SDAD</t>
  </si>
  <si>
    <t>CY 2017</t>
  </si>
  <si>
    <t>(Version 1)</t>
  </si>
  <si>
    <t>Less: Payments</t>
  </si>
  <si>
    <t xml:space="preserve">Less: Payments </t>
  </si>
  <si>
    <t>Financing reporting reflect the net proceeds of liability management transactions such as bond exchange</t>
  </si>
  <si>
    <t>Domestic Amortization includes contribution to BSF and repayments/redemptions other than BSF.</t>
  </si>
  <si>
    <t>CY 2016</t>
  </si>
  <si>
    <t>June</t>
  </si>
  <si>
    <t>July</t>
  </si>
  <si>
    <t>CY 2015</t>
  </si>
  <si>
    <t>CY 2014</t>
  </si>
  <si>
    <t>Others</t>
  </si>
  <si>
    <t>Prepared by: SDAD-BTr</t>
  </si>
  <si>
    <t xml:space="preserve"> Jan</t>
  </si>
  <si>
    <t>Marcos Wealth</t>
  </si>
  <si>
    <t>CY 2013</t>
  </si>
  <si>
    <r>
      <rPr>
        <i/>
        <sz val="11"/>
        <rFont val="Arial"/>
        <family val="2"/>
        <charset val="1"/>
      </rPr>
      <t>This version follows the GFSM 2014 concept wherein reporting of debt amortization reflect the actual principal repayments to creditor including those serviced by the BSF;</t>
    </r>
    <r>
      <rPr>
        <i/>
        <sz val="11"/>
        <color rgb="FFFFFFFF"/>
        <rFont val="Arial"/>
        <family val="2"/>
        <charset val="1"/>
      </rPr>
      <t xml:space="preserve"> </t>
    </r>
    <r>
      <rPr>
        <i/>
        <sz val="11"/>
        <rFont val="Arial"/>
        <family val="2"/>
        <charset val="1"/>
      </rPr>
      <t>while financing includes gross proceeds of liability management transactions such as bond exchange.</t>
    </r>
  </si>
  <si>
    <t>CY 2012</t>
  </si>
  <si>
    <t>Fees and Other Charges</t>
  </si>
  <si>
    <t>CY 2011</t>
  </si>
  <si>
    <t>CY 2010</t>
  </si>
  <si>
    <t xml:space="preserve">       Jan</t>
  </si>
  <si>
    <t>CY 2009</t>
  </si>
  <si>
    <t>CY 2008</t>
  </si>
  <si>
    <t xml:space="preserve"> Mar</t>
  </si>
  <si>
    <t>CY 2007</t>
  </si>
  <si>
    <t xml:space="preserve"> Apr</t>
  </si>
  <si>
    <t xml:space="preserve"> May</t>
  </si>
  <si>
    <t xml:space="preserve"> Jun</t>
  </si>
  <si>
    <t xml:space="preserve"> Jul</t>
  </si>
  <si>
    <t xml:space="preserve"> Aug</t>
  </si>
  <si>
    <t xml:space="preserve"> Sep</t>
  </si>
  <si>
    <t xml:space="preserve"> Oct</t>
  </si>
  <si>
    <t xml:space="preserve"> Nov</t>
  </si>
  <si>
    <t xml:space="preserve"> Dec</t>
  </si>
  <si>
    <t>CY 2006</t>
  </si>
  <si>
    <t>CY 2005</t>
  </si>
  <si>
    <t>CY 2004</t>
  </si>
  <si>
    <t xml:space="preserve">CY 2003 </t>
  </si>
  <si>
    <t>TOTAL</t>
  </si>
  <si>
    <r>
      <rPr>
        <sz val="11"/>
        <rFont val="Arial"/>
        <family val="2"/>
        <charset val="1"/>
      </rPr>
      <t xml:space="preserve"> </t>
    </r>
    <r>
      <rPr>
        <b/>
        <i/>
        <sz val="11"/>
        <rFont val="Arial"/>
        <family val="2"/>
        <charset val="1"/>
      </rPr>
      <t xml:space="preserve"> o.w.</t>
    </r>
    <r>
      <rPr>
        <sz val="11"/>
        <rFont val="Arial"/>
        <family val="2"/>
        <charset val="1"/>
      </rPr>
      <t xml:space="preserve">  Doc. Stamp Tax</t>
    </r>
  </si>
  <si>
    <r>
      <rPr>
        <sz val="11"/>
        <rFont val="Arial"/>
        <family val="2"/>
        <charset val="1"/>
      </rPr>
      <t xml:space="preserve"> </t>
    </r>
    <r>
      <rPr>
        <b/>
        <i/>
        <sz val="11"/>
        <rFont val="Arial"/>
        <family val="2"/>
        <charset val="1"/>
      </rPr>
      <t xml:space="preserve"> o.w.</t>
    </r>
    <r>
      <rPr>
        <sz val="11"/>
        <rFont val="Arial"/>
        <family val="2"/>
        <charset val="1"/>
      </rPr>
      <t xml:space="preserve">  Tax Expenditures</t>
    </r>
  </si>
  <si>
    <t>Surplus/(Deficit)</t>
  </si>
  <si>
    <t>p/ - preliminary</t>
  </si>
  <si>
    <t>Source: COR(FPAD-BTr)</t>
  </si>
  <si>
    <t>Prepared by: SDAD</t>
  </si>
  <si>
    <t xml:space="preserve">CY 2002 </t>
  </si>
  <si>
    <r>
      <rPr>
        <sz val="11"/>
        <rFont val="Arial"/>
        <family val="2"/>
        <charset val="1"/>
      </rPr>
      <t xml:space="preserve">  </t>
    </r>
    <r>
      <rPr>
        <b/>
        <i/>
        <sz val="11"/>
        <rFont val="Arial"/>
        <family val="2"/>
        <charset val="1"/>
      </rPr>
      <t xml:space="preserve">o.w. </t>
    </r>
    <r>
      <rPr>
        <sz val="11"/>
        <rFont val="Arial"/>
        <family val="2"/>
        <charset val="1"/>
      </rPr>
      <t>Doc. Stamp Tax</t>
    </r>
  </si>
  <si>
    <r>
      <rPr>
        <sz val="11"/>
        <rFont val="Arial"/>
        <family val="2"/>
        <charset val="1"/>
      </rPr>
      <t xml:space="preserve">  </t>
    </r>
    <r>
      <rPr>
        <b/>
        <i/>
        <sz val="11"/>
        <rFont val="Arial"/>
        <family val="2"/>
        <charset val="1"/>
      </rPr>
      <t xml:space="preserve">o.w. </t>
    </r>
    <r>
      <rPr>
        <sz val="11"/>
        <rFont val="Arial"/>
        <family val="2"/>
        <charset val="1"/>
      </rPr>
      <t>Tax Expenditures</t>
    </r>
  </si>
  <si>
    <t xml:space="preserve">CY 2001 </t>
  </si>
  <si>
    <r>
      <rPr>
        <sz val="11"/>
        <rFont val="Arial"/>
        <family val="2"/>
        <charset val="1"/>
      </rPr>
      <t xml:space="preserve">  </t>
    </r>
    <r>
      <rPr>
        <b/>
        <i/>
        <sz val="11"/>
        <rFont val="Arial"/>
        <family val="2"/>
        <charset val="1"/>
      </rPr>
      <t>o.w.</t>
    </r>
    <r>
      <rPr>
        <sz val="11"/>
        <rFont val="Arial"/>
        <family val="2"/>
        <charset val="1"/>
      </rPr>
      <t xml:space="preserve"> Tax Expenditures</t>
    </r>
  </si>
  <si>
    <t xml:space="preserve">CY 2000 </t>
  </si>
  <si>
    <t>CARP</t>
  </si>
  <si>
    <t>Tax  Expenditures</t>
  </si>
  <si>
    <t>CY 1999</t>
  </si>
  <si>
    <t>Fees &amp; Other Charges</t>
  </si>
  <si>
    <t xml:space="preserve">SDAD/RS/BTr  </t>
  </si>
  <si>
    <t xml:space="preserve">CY 1998 </t>
  </si>
  <si>
    <t>National Government Cash Operations</t>
  </si>
  <si>
    <t>CY 1997</t>
  </si>
  <si>
    <t>CY 1996</t>
  </si>
  <si>
    <t>CY 1995</t>
  </si>
  <si>
    <t>Change in Cash</t>
  </si>
  <si>
    <t>CY 1994</t>
  </si>
  <si>
    <t>CY 1993</t>
  </si>
  <si>
    <t>Economic Support Fund</t>
  </si>
  <si>
    <t>Change-in-cash</t>
  </si>
  <si>
    <t>CY 1992</t>
  </si>
  <si>
    <t>Change-in-Cash</t>
  </si>
  <si>
    <t>CY 1991</t>
  </si>
  <si>
    <t>CY 1990</t>
  </si>
  <si>
    <t>CY 1989</t>
  </si>
  <si>
    <t>Sale of Assets</t>
  </si>
  <si>
    <t>CY 1988</t>
  </si>
  <si>
    <t>CY 1987</t>
  </si>
  <si>
    <t>CY 1986</t>
  </si>
  <si>
    <r>
      <t xml:space="preserve">Subsidy </t>
    </r>
    <r>
      <rPr>
        <i/>
        <vertAlign val="superscript"/>
        <sz val="11"/>
        <rFont val="Arial"/>
        <family val="2"/>
      </rPr>
      <t xml:space="preserve"> </t>
    </r>
  </si>
  <si>
    <r>
      <t xml:space="preserve">NG Disbursements </t>
    </r>
    <r>
      <rPr>
        <i/>
        <vertAlign val="superscript"/>
        <sz val="11"/>
        <rFont val="Arial"/>
        <family val="2"/>
      </rPr>
      <t xml:space="preserve"> </t>
    </r>
  </si>
  <si>
    <r>
      <t>of which: Redemption from BSF</t>
    </r>
    <r>
      <rPr>
        <i/>
        <vertAlign val="superscript"/>
        <sz val="10"/>
        <rFont val="Arial"/>
        <family val="2"/>
      </rPr>
      <t xml:space="preserve">  1/</t>
    </r>
  </si>
  <si>
    <r>
      <t>This version follows the GFSM 2014 concept wherein reporting of debt amortization reflect the actual principal repayments to creditor including those serviced by the BSF;</t>
    </r>
    <r>
      <rPr>
        <i/>
        <sz val="10"/>
        <color indexed="9"/>
        <rFont val="Arial"/>
        <family val="2"/>
      </rPr>
      <t xml:space="preserve"> </t>
    </r>
    <r>
      <rPr>
        <i/>
        <sz val="10"/>
        <rFont val="Arial"/>
        <family val="2"/>
      </rPr>
      <t>while financing includes gross proceeds of liability management transactions such as bond exchange.</t>
    </r>
  </si>
  <si>
    <t>CY 2024</t>
  </si>
  <si>
    <t>Fees and Charges*</t>
  </si>
  <si>
    <t>Other non-tax**</t>
  </si>
  <si>
    <t>*</t>
  </si>
  <si>
    <t>Less: Amortization***</t>
  </si>
  <si>
    <t>Change-In-Cash****</t>
  </si>
  <si>
    <t>This version recognizes the actual domestic amortization including those serviced by the BSF to reflect the actual net borrowings of NG, consistent with BESF format.</t>
  </si>
  <si>
    <t>Updated as of March 17, 2025. Fees and Charges collections not yet identfied are recorded under Other non-tax</t>
  </si>
  <si>
    <t>Includes the transfer of outstanding balance of DOH for the cancelled Domestic LCs in January per Jev #2024-01-00050 dated Jan. 2, 2024</t>
  </si>
  <si>
    <t>***</t>
  </si>
  <si>
    <t>Domestic amortization includes principal repayments to creditor including those serviced by the BSF</t>
  </si>
  <si>
    <t>****</t>
  </si>
  <si>
    <t>Includes non-budgetary cash transactions</t>
  </si>
  <si>
    <t>/p - preliminary</t>
  </si>
  <si>
    <t>Other non-tax*</t>
  </si>
  <si>
    <t>For updating. Fees and charges are based on NGAs' submission, and those not yet identified as such are recorded</t>
  </si>
  <si>
    <t>under Other non-tax</t>
  </si>
  <si>
    <t>CY 2025</t>
  </si>
  <si>
    <t>Less: Amortization**</t>
  </si>
  <si>
    <t>r/</t>
  </si>
  <si>
    <t>Amount was adjusted due to trust transactions</t>
  </si>
  <si>
    <t>Budgetary Change-In-Cash</t>
  </si>
  <si>
    <r>
      <rPr>
        <b/>
        <sz val="11"/>
        <color theme="1"/>
        <rFont val="Arial"/>
        <family val="2"/>
      </rPr>
      <t xml:space="preserve">National Government Cash Operations Report </t>
    </r>
    <r>
      <rPr>
        <b/>
        <vertAlign val="superscript"/>
        <sz val="11"/>
        <color theme="1"/>
        <rFont val="Arial"/>
        <family val="2"/>
      </rPr>
      <t>/p</t>
    </r>
  </si>
  <si>
    <r>
      <rPr>
        <sz val="11"/>
        <color theme="1"/>
        <rFont val="Arial"/>
        <family val="2"/>
      </rPr>
      <t xml:space="preserve">Subsidy </t>
    </r>
    <r>
      <rPr>
        <i/>
        <vertAlign val="superscript"/>
        <sz val="11"/>
        <color theme="1"/>
        <rFont val="Arial"/>
        <family val="2"/>
      </rPr>
      <t xml:space="preserve"> </t>
    </r>
  </si>
  <si>
    <r>
      <rPr>
        <sz val="11"/>
        <color theme="1"/>
        <rFont val="Arial"/>
        <family val="2"/>
      </rPr>
      <t xml:space="preserve">NG Disbursements </t>
    </r>
    <r>
      <rPr>
        <i/>
        <vertAlign val="superscript"/>
        <sz val="11"/>
        <color theme="1"/>
        <rFont val="Arial"/>
        <family val="2"/>
      </rPr>
      <t xml:space="preserve"> </t>
    </r>
  </si>
  <si>
    <t>last update: 03Mar2026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</si>
</sst>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\-??_);_(@_)"/>
    <numFmt numFmtId="165" formatCode="#,##0_ ;[Red]\-#,##0\ "/>
    <numFmt numFmtId="166" formatCode="#,##0_);\(#,##0\)"/>
    <numFmt numFmtId="167" formatCode="m/d/yyyy"/>
    <numFmt numFmtId="168" formatCode="#,##0;[Red]#,##0"/>
    <numFmt numFmtId="169" formatCode="_(* #,##0_);_(* \(#,##0\);_(* \-_);_(@_)"/>
    <numFmt numFmtId="170" formatCode="#,##0_);[Red]\(#,##0\)"/>
    <numFmt numFmtId="171" formatCode="_-* #,##0.00_-;\-* #,##0.00_-;_-* \-??_-;_-@_-"/>
    <numFmt numFmtId="172" formatCode="mm/dd/yyyy;@"/>
    <numFmt numFmtId="173" formatCode="_(* #,##0.00_);_(* \(#,##0.00\);_(* &quot;-&quot;??_);_(@_)"/>
  </numFmts>
  <fonts count="75" x14ac:knownFonts="1">
    <font>
      <sz val="10"/>
      <name val="Arial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11"/>
      <color rgb="FFFF0000"/>
      <name val="Arial"/>
      <family val="2"/>
      <charset val="1"/>
    </font>
    <font>
      <b/>
      <i/>
      <sz val="11"/>
      <color rgb="FFFFFFFF"/>
      <name val="Arial"/>
      <family val="2"/>
      <charset val="1"/>
    </font>
    <font>
      <i/>
      <sz val="11"/>
      <name val="Arial"/>
      <family val="2"/>
      <charset val="1"/>
    </font>
    <font>
      <b/>
      <u/>
      <sz val="11"/>
      <name val="Arial"/>
      <family val="2"/>
      <charset val="1"/>
    </font>
    <font>
      <i/>
      <vertAlign val="superscript"/>
      <sz val="11"/>
      <name val="Arial"/>
      <family val="2"/>
      <charset val="1"/>
    </font>
    <font>
      <u/>
      <sz val="11"/>
      <name val="Arial"/>
      <family val="2"/>
      <charset val="1"/>
    </font>
    <font>
      <i/>
      <sz val="10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i/>
      <vertAlign val="superscript"/>
      <sz val="10"/>
      <name val="Arial"/>
      <family val="2"/>
      <charset val="1"/>
    </font>
    <font>
      <b/>
      <i/>
      <sz val="10"/>
      <name val="Arial"/>
      <family val="2"/>
      <charset val="1"/>
    </font>
    <font>
      <vertAlign val="superscript"/>
      <sz val="11"/>
      <name val="Arial"/>
      <family val="2"/>
      <charset val="1"/>
    </font>
    <font>
      <i/>
      <sz val="9"/>
      <name val="Arial"/>
      <family val="2"/>
      <charset val="1"/>
    </font>
    <font>
      <i/>
      <sz val="10"/>
      <name val="Arial Narrow"/>
      <family val="2"/>
      <charset val="1"/>
    </font>
    <font>
      <i/>
      <sz val="10"/>
      <color rgb="FFFF0000"/>
      <name val="Arial Narrow"/>
      <family val="2"/>
      <charset val="1"/>
    </font>
    <font>
      <i/>
      <sz val="10"/>
      <color rgb="FFFFFFFF"/>
      <name val="Arial Narrow"/>
      <family val="2"/>
      <charset val="1"/>
    </font>
    <font>
      <b/>
      <i/>
      <sz val="10"/>
      <name val="Arial Narrow"/>
      <family val="2"/>
      <charset val="1"/>
    </font>
    <font>
      <i/>
      <sz val="10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FFFFFF"/>
      <name val="Arial"/>
      <family val="2"/>
      <charset val="1"/>
    </font>
    <font>
      <i/>
      <sz val="11"/>
      <color rgb="FFFFFFFF"/>
      <name val="Arial"/>
      <family val="2"/>
      <charset val="1"/>
    </font>
    <font>
      <i/>
      <sz val="11"/>
      <color rgb="FFFF0000"/>
      <name val="Arial"/>
      <family val="2"/>
      <charset val="1"/>
    </font>
    <font>
      <b/>
      <i/>
      <sz val="11"/>
      <name val="Arial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i/>
      <sz val="11"/>
      <color theme="0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i/>
      <vertAlign val="superscript"/>
      <sz val="11"/>
      <name val="Arial"/>
      <family val="2"/>
    </font>
    <font>
      <u/>
      <sz val="11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i/>
      <sz val="10"/>
      <color indexed="9"/>
      <name val="Arial"/>
      <family val="2"/>
    </font>
    <font>
      <b/>
      <i/>
      <vertAlign val="superscript"/>
      <sz val="10"/>
      <name val="Arial"/>
      <family val="2"/>
    </font>
    <font>
      <i/>
      <sz val="10"/>
      <color theme="0"/>
      <name val="Arial"/>
      <family val="2"/>
    </font>
    <font>
      <sz val="9"/>
      <name val="Arial"/>
      <family val="2"/>
    </font>
    <font>
      <vertAlign val="superscript"/>
      <sz val="1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8"/>
      <color theme="0"/>
      <name val="Arial"/>
      <family val="2"/>
    </font>
    <font>
      <sz val="10"/>
      <name val="Arial"/>
      <family val="2"/>
    </font>
    <font>
      <i/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sz val="11"/>
      <name val="Calibri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vertAlign val="superscript"/>
      <sz val="14"/>
      <color theme="1"/>
      <name val="Arial"/>
      <family val="2"/>
    </font>
    <font>
      <sz val="11"/>
      <color theme="1"/>
      <name val="Calibri"/>
      <family val="2"/>
    </font>
    <font>
      <i/>
      <vertAlign val="superscript"/>
      <sz val="11"/>
      <color theme="1"/>
      <name val="Arial"/>
      <family val="2"/>
    </font>
    <font>
      <u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vertAlign val="superscript"/>
      <sz val="8"/>
      <color theme="1"/>
      <name val="Arial"/>
      <family val="2"/>
    </font>
    <font>
      <vertAlign val="superscript"/>
      <sz val="11"/>
      <color theme="1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2E75B5"/>
      </patternFill>
    </fill>
    <fill>
      <patternFill patternType="solid">
        <fgColor rgb="FF002060"/>
        <bgColor theme="8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2">
    <xf numFmtId="0" fontId="0" fillId="0" borderId="0"/>
    <xf numFmtId="171" fontId="36" fillId="0" borderId="0" applyBorder="0" applyProtection="0"/>
    <xf numFmtId="164" fontId="36" fillId="0" borderId="0" applyBorder="0" applyProtection="0"/>
    <xf numFmtId="3" fontId="36" fillId="0" borderId="0" applyBorder="0" applyProtection="0"/>
    <xf numFmtId="3" fontId="36" fillId="0" borderId="0" applyBorder="0" applyProtection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7" fillId="0" borderId="0"/>
    <xf numFmtId="3" fontId="37" fillId="0" borderId="0" applyFont="0" applyFill="0" applyBorder="0" applyAlignment="0" applyProtection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173" fontId="37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7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74" fillId="0" borderId="0"/>
  </cellStyleXfs>
  <cellXfs count="226">
    <xf numFmtId="0" fontId="0" fillId="0" borderId="0" xfId="0"/>
    <xf numFmtId="0" fontId="13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24" fillId="0" borderId="0" xfId="11" applyFont="1" applyAlignment="1">
      <alignment horizontal="left" wrapText="1"/>
    </xf>
    <xf numFmtId="0" fontId="18" fillId="0" borderId="0" xfId="13" applyFont="1" applyAlignment="1">
      <alignment horizontal="left" vertical="center" wrapText="1"/>
    </xf>
    <xf numFmtId="0" fontId="13" fillId="2" borderId="1" xfId="5" applyFont="1" applyFill="1" applyBorder="1" applyAlignment="1">
      <alignment horizontal="center" vertical="center"/>
    </xf>
    <xf numFmtId="0" fontId="10" fillId="0" borderId="0" xfId="5" applyFont="1"/>
    <xf numFmtId="17" fontId="11" fillId="0" borderId="0" xfId="5" applyNumberFormat="1" applyFont="1"/>
    <xf numFmtId="17" fontId="10" fillId="0" borderId="0" xfId="5" applyNumberFormat="1" applyFont="1"/>
    <xf numFmtId="17" fontId="12" fillId="0" borderId="0" xfId="5" applyNumberFormat="1" applyFont="1"/>
    <xf numFmtId="0" fontId="14" fillId="0" borderId="0" xfId="5" applyFont="1"/>
    <xf numFmtId="0" fontId="11" fillId="0" borderId="0" xfId="5" applyFont="1"/>
    <xf numFmtId="0" fontId="10" fillId="0" borderId="2" xfId="5" applyFont="1" applyBorder="1"/>
    <xf numFmtId="166" fontId="10" fillId="0" borderId="0" xfId="5" applyNumberFormat="1" applyFont="1"/>
    <xf numFmtId="0" fontId="8" fillId="0" borderId="0" xfId="5"/>
    <xf numFmtId="0" fontId="18" fillId="0" borderId="0" xfId="0" applyFont="1"/>
    <xf numFmtId="0" fontId="10" fillId="0" borderId="0" xfId="5" applyFont="1" applyAlignment="1">
      <alignment horizontal="right"/>
    </xf>
    <xf numFmtId="166" fontId="15" fillId="0" borderId="0" xfId="5" applyNumberFormat="1" applyFont="1"/>
    <xf numFmtId="166" fontId="10" fillId="0" borderId="0" xfId="3" applyNumberFormat="1" applyFont="1" applyBorder="1" applyProtection="1"/>
    <xf numFmtId="165" fontId="10" fillId="0" borderId="0" xfId="13" applyNumberFormat="1" applyFont="1"/>
    <xf numFmtId="166" fontId="11" fillId="0" borderId="0" xfId="5" applyNumberFormat="1" applyFont="1"/>
    <xf numFmtId="166" fontId="17" fillId="0" borderId="0" xfId="5" applyNumberFormat="1" applyFont="1"/>
    <xf numFmtId="0" fontId="14" fillId="0" borderId="0" xfId="5" applyFont="1" applyAlignment="1">
      <alignment horizontal="left" indent="1"/>
    </xf>
    <xf numFmtId="17" fontId="18" fillId="0" borderId="0" xfId="5" applyNumberFormat="1" applyFont="1"/>
    <xf numFmtId="0" fontId="18" fillId="0" borderId="0" xfId="5" applyFont="1"/>
    <xf numFmtId="0" fontId="18" fillId="0" borderId="0" xfId="13" applyFont="1" applyAlignment="1">
      <alignment horizontal="right" vertical="top"/>
    </xf>
    <xf numFmtId="0" fontId="20" fillId="0" borderId="0" xfId="13" applyFont="1" applyAlignment="1">
      <alignment horizontal="right" vertical="top"/>
    </xf>
    <xf numFmtId="0" fontId="18" fillId="0" borderId="0" xfId="13" applyFont="1" applyAlignment="1">
      <alignment vertical="top"/>
    </xf>
    <xf numFmtId="0" fontId="18" fillId="0" borderId="0" xfId="13" applyFont="1"/>
    <xf numFmtId="0" fontId="19" fillId="0" borderId="0" xfId="13" applyFont="1"/>
    <xf numFmtId="0" fontId="20" fillId="0" borderId="0" xfId="13" applyFont="1" applyAlignment="1">
      <alignment horizontal="center" vertical="center"/>
    </xf>
    <xf numFmtId="15" fontId="10" fillId="0" borderId="0" xfId="5" applyNumberFormat="1" applyFont="1" applyAlignment="1">
      <alignment horizontal="left"/>
    </xf>
    <xf numFmtId="0" fontId="14" fillId="0" borderId="0" xfId="13" applyFont="1"/>
    <xf numFmtId="0" fontId="11" fillId="0" borderId="0" xfId="5" applyFont="1" applyAlignment="1">
      <alignment horizontal="left" vertical="top" wrapText="1"/>
    </xf>
    <xf numFmtId="0" fontId="24" fillId="0" borderId="0" xfId="5" applyFont="1"/>
    <xf numFmtId="17" fontId="25" fillId="0" borderId="0" xfId="5" applyNumberFormat="1" applyFont="1"/>
    <xf numFmtId="0" fontId="24" fillId="0" borderId="0" xfId="11" applyFont="1" applyAlignment="1">
      <alignment horizontal="right"/>
    </xf>
    <xf numFmtId="0" fontId="24" fillId="0" borderId="0" xfId="5" applyFont="1" applyAlignment="1">
      <alignment horizontal="center" vertical="top"/>
    </xf>
    <xf numFmtId="0" fontId="24" fillId="0" borderId="0" xfId="11" applyFont="1" applyAlignment="1">
      <alignment wrapText="1"/>
    </xf>
    <xf numFmtId="0" fontId="24" fillId="0" borderId="0" xfId="11" applyFont="1"/>
    <xf numFmtId="0" fontId="26" fillId="0" borderId="0" xfId="11" applyFont="1"/>
    <xf numFmtId="0" fontId="24" fillId="0" borderId="0" xfId="11" applyFont="1" applyAlignment="1">
      <alignment horizontal="left" vertical="top" wrapText="1"/>
    </xf>
    <xf numFmtId="0" fontId="27" fillId="0" borderId="0" xfId="5" applyFont="1" applyAlignment="1">
      <alignment horizontal="left" vertical="top" wrapText="1"/>
    </xf>
    <xf numFmtId="0" fontId="24" fillId="0" borderId="0" xfId="11" applyFont="1" applyAlignment="1">
      <alignment vertical="center" wrapText="1"/>
    </xf>
    <xf numFmtId="15" fontId="24" fillId="0" borderId="0" xfId="5" applyNumberFormat="1" applyFont="1" applyAlignment="1">
      <alignment horizontal="left"/>
    </xf>
    <xf numFmtId="0" fontId="14" fillId="0" borderId="0" xfId="11" applyFont="1"/>
    <xf numFmtId="16" fontId="10" fillId="0" borderId="0" xfId="5" applyNumberFormat="1" applyFont="1"/>
    <xf numFmtId="168" fontId="11" fillId="0" borderId="0" xfId="5" applyNumberFormat="1" applyFont="1"/>
    <xf numFmtId="168" fontId="10" fillId="0" borderId="0" xfId="5" applyNumberFormat="1" applyFont="1"/>
    <xf numFmtId="165" fontId="10" fillId="0" borderId="0" xfId="8" applyNumberFormat="1" applyFont="1"/>
    <xf numFmtId="166" fontId="10" fillId="0" borderId="0" xfId="8" applyNumberFormat="1" applyFont="1"/>
    <xf numFmtId="166" fontId="11" fillId="0" borderId="0" xfId="3" applyNumberFormat="1" applyFont="1" applyBorder="1" applyProtection="1"/>
    <xf numFmtId="169" fontId="11" fillId="0" borderId="0" xfId="3" applyNumberFormat="1" applyFont="1" applyBorder="1" applyProtection="1"/>
    <xf numFmtId="170" fontId="10" fillId="0" borderId="2" xfId="5" applyNumberFormat="1" applyFont="1" applyBorder="1"/>
    <xf numFmtId="170" fontId="10" fillId="0" borderId="0" xfId="5" applyNumberFormat="1" applyFont="1"/>
    <xf numFmtId="17" fontId="28" fillId="0" borderId="0" xfId="5" applyNumberFormat="1" applyFont="1"/>
    <xf numFmtId="0" fontId="21" fillId="0" borderId="0" xfId="5" applyFont="1" applyAlignment="1">
      <alignment vertical="top" wrapText="1"/>
    </xf>
    <xf numFmtId="0" fontId="21" fillId="0" borderId="0" xfId="5" applyFont="1" applyAlignment="1">
      <alignment horizontal="left" vertical="top" wrapText="1"/>
    </xf>
    <xf numFmtId="0" fontId="18" fillId="0" borderId="0" xfId="8" applyFont="1" applyAlignment="1">
      <alignment horizontal="right"/>
    </xf>
    <xf numFmtId="0" fontId="18" fillId="0" borderId="0" xfId="8" applyFont="1"/>
    <xf numFmtId="0" fontId="19" fillId="0" borderId="0" xfId="8" applyFont="1"/>
    <xf numFmtId="3" fontId="18" fillId="0" borderId="0" xfId="3" applyFont="1" applyBorder="1" applyProtection="1"/>
    <xf numFmtId="165" fontId="18" fillId="0" borderId="0" xfId="8" applyNumberFormat="1" applyFont="1"/>
    <xf numFmtId="0" fontId="13" fillId="2" borderId="4" xfId="5" applyFont="1" applyFill="1" applyBorder="1" applyAlignment="1">
      <alignment horizontal="center" vertical="center"/>
    </xf>
    <xf numFmtId="0" fontId="13" fillId="2" borderId="5" xfId="5" applyFont="1" applyFill="1" applyBorder="1" applyAlignment="1">
      <alignment horizontal="center" vertical="center"/>
    </xf>
    <xf numFmtId="166" fontId="29" fillId="0" borderId="0" xfId="7" applyNumberFormat="1" applyFont="1"/>
    <xf numFmtId="170" fontId="10" fillId="0" borderId="0" xfId="7" applyNumberFormat="1" applyFont="1"/>
    <xf numFmtId="166" fontId="10" fillId="0" borderId="2" xfId="5" applyNumberFormat="1" applyFont="1" applyBorder="1"/>
    <xf numFmtId="0" fontId="18" fillId="0" borderId="0" xfId="7" applyFont="1"/>
    <xf numFmtId="0" fontId="18" fillId="0" borderId="0" xfId="7" applyFont="1" applyAlignment="1">
      <alignment horizontal="left" vertical="top" wrapText="1"/>
    </xf>
    <xf numFmtId="166" fontId="14" fillId="0" borderId="0" xfId="5" applyNumberFormat="1" applyFont="1"/>
    <xf numFmtId="3" fontId="10" fillId="0" borderId="0" xfId="5" applyNumberFormat="1" applyFont="1"/>
    <xf numFmtId="166" fontId="18" fillId="0" borderId="0" xfId="5" applyNumberFormat="1" applyFont="1"/>
    <xf numFmtId="0" fontId="30" fillId="2" borderId="1" xfId="5" applyFont="1" applyFill="1" applyBorder="1"/>
    <xf numFmtId="0" fontId="10" fillId="0" borderId="0" xfId="5" applyFont="1" applyAlignment="1">
      <alignment horizontal="left" indent="1"/>
    </xf>
    <xf numFmtId="17" fontId="31" fillId="0" borderId="0" xfId="5" applyNumberFormat="1" applyFont="1"/>
    <xf numFmtId="0" fontId="10" fillId="0" borderId="0" xfId="0" applyFont="1"/>
    <xf numFmtId="17" fontId="11" fillId="0" borderId="0" xfId="0" applyNumberFormat="1" applyFont="1"/>
    <xf numFmtId="17" fontId="10" fillId="0" borderId="0" xfId="0" applyNumberFormat="1" applyFont="1"/>
    <xf numFmtId="17" fontId="12" fillId="0" borderId="0" xfId="0" applyNumberFormat="1" applyFont="1"/>
    <xf numFmtId="0" fontId="30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1" fillId="0" borderId="0" xfId="0" applyFont="1"/>
    <xf numFmtId="166" fontId="15" fillId="0" borderId="0" xfId="0" applyNumberFormat="1" applyFont="1"/>
    <xf numFmtId="166" fontId="17" fillId="0" borderId="0" xfId="0" applyNumberFormat="1" applyFont="1"/>
    <xf numFmtId="166" fontId="10" fillId="0" borderId="0" xfId="0" applyNumberFormat="1" applyFont="1"/>
    <xf numFmtId="0" fontId="14" fillId="0" borderId="0" xfId="0" applyFont="1"/>
    <xf numFmtId="166" fontId="10" fillId="0" borderId="0" xfId="2" applyNumberFormat="1" applyFont="1" applyBorder="1" applyProtection="1"/>
    <xf numFmtId="166" fontId="11" fillId="0" borderId="0" xfId="0" applyNumberFormat="1" applyFont="1"/>
    <xf numFmtId="0" fontId="10" fillId="0" borderId="2" xfId="0" applyFont="1" applyBorder="1"/>
    <xf numFmtId="17" fontId="28" fillId="0" borderId="0" xfId="0" applyNumberFormat="1" applyFont="1"/>
    <xf numFmtId="0" fontId="8" fillId="0" borderId="0" xfId="0" applyFont="1"/>
    <xf numFmtId="17" fontId="31" fillId="0" borderId="0" xfId="0" applyNumberFormat="1" applyFont="1"/>
    <xf numFmtId="0" fontId="12" fillId="0" borderId="0" xfId="0" applyFont="1"/>
    <xf numFmtId="0" fontId="30" fillId="2" borderId="1" xfId="0" applyFont="1" applyFill="1" applyBorder="1" applyAlignment="1">
      <alignment horizontal="center" vertical="center"/>
    </xf>
    <xf numFmtId="0" fontId="30" fillId="2" borderId="3" xfId="0" applyFont="1" applyFill="1" applyBorder="1"/>
    <xf numFmtId="0" fontId="30" fillId="2" borderId="5" xfId="0" applyFont="1" applyFill="1" applyBorder="1"/>
    <xf numFmtId="0" fontId="10" fillId="0" borderId="0" xfId="0" applyFont="1" applyAlignment="1">
      <alignment horizontal="center"/>
    </xf>
    <xf numFmtId="166" fontId="8" fillId="0" borderId="0" xfId="0" applyNumberFormat="1" applyFont="1"/>
    <xf numFmtId="3" fontId="10" fillId="0" borderId="0" xfId="1" applyNumberFormat="1" applyFont="1" applyBorder="1" applyProtection="1"/>
    <xf numFmtId="3" fontId="10" fillId="0" borderId="0" xfId="0" applyNumberFormat="1" applyFont="1"/>
    <xf numFmtId="0" fontId="32" fillId="2" borderId="5" xfId="0" applyFont="1" applyFill="1" applyBorder="1"/>
    <xf numFmtId="17" fontId="11" fillId="0" borderId="0" xfId="0" applyNumberFormat="1" applyFont="1" applyAlignment="1">
      <alignment horizontal="left"/>
    </xf>
    <xf numFmtId="17" fontId="10" fillId="0" borderId="0" xfId="0" applyNumberFormat="1" applyFont="1" applyAlignment="1">
      <alignment horizontal="left"/>
    </xf>
    <xf numFmtId="168" fontId="12" fillId="0" borderId="0" xfId="0" applyNumberFormat="1" applyFont="1"/>
    <xf numFmtId="17" fontId="34" fillId="0" borderId="0" xfId="0" applyNumberFormat="1" applyFont="1"/>
    <xf numFmtId="0" fontId="13" fillId="2" borderId="4" xfId="0" applyFont="1" applyFill="1" applyBorder="1" applyAlignment="1">
      <alignment vertical="center"/>
    </xf>
    <xf numFmtId="17" fontId="11" fillId="0" borderId="0" xfId="0" applyNumberFormat="1" applyFont="1" applyAlignment="1">
      <alignment horizontal="center"/>
    </xf>
    <xf numFmtId="0" fontId="13" fillId="2" borderId="5" xfId="0" applyFont="1" applyFill="1" applyBorder="1"/>
    <xf numFmtId="166" fontId="12" fillId="0" borderId="0" xfId="0" applyNumberFormat="1" applyFont="1"/>
    <xf numFmtId="0" fontId="30" fillId="2" borderId="5" xfId="0" applyFont="1" applyFill="1" applyBorder="1" applyAlignment="1">
      <alignment horizontal="center"/>
    </xf>
    <xf numFmtId="0" fontId="3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2" borderId="3" xfId="0" applyFont="1" applyFill="1" applyBorder="1" applyAlignment="1">
      <alignment vertical="center"/>
    </xf>
    <xf numFmtId="0" fontId="30" fillId="0" borderId="0" xfId="0" applyFont="1"/>
    <xf numFmtId="166" fontId="30" fillId="0" borderId="0" xfId="0" applyNumberFormat="1" applyFont="1"/>
    <xf numFmtId="0" fontId="32" fillId="0" borderId="0" xfId="0" applyFont="1"/>
    <xf numFmtId="166" fontId="13" fillId="2" borderId="4" xfId="0" applyNumberFormat="1" applyFont="1" applyFill="1" applyBorder="1" applyAlignment="1">
      <alignment horizontal="center" vertical="center"/>
    </xf>
    <xf numFmtId="166" fontId="13" fillId="2" borderId="5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/>
    </xf>
    <xf numFmtId="166" fontId="14" fillId="0" borderId="0" xfId="0" applyNumberFormat="1" applyFont="1"/>
    <xf numFmtId="0" fontId="10" fillId="0" borderId="1" xfId="0" applyFont="1" applyBorder="1"/>
    <xf numFmtId="166" fontId="10" fillId="0" borderId="2" xfId="0" applyNumberFormat="1" applyFont="1" applyBorder="1"/>
    <xf numFmtId="0" fontId="10" fillId="0" borderId="6" xfId="0" applyFont="1" applyBorder="1"/>
    <xf numFmtId="166" fontId="10" fillId="0" borderId="6" xfId="0" applyNumberFormat="1" applyFont="1" applyBorder="1"/>
    <xf numFmtId="166" fontId="13" fillId="2" borderId="2" xfId="0" applyNumberFormat="1" applyFont="1" applyFill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/>
    </xf>
    <xf numFmtId="166" fontId="13" fillId="2" borderId="8" xfId="0" applyNumberFormat="1" applyFont="1" applyFill="1" applyBorder="1" applyAlignment="1">
      <alignment horizontal="center" vertical="center"/>
    </xf>
    <xf numFmtId="0" fontId="17" fillId="0" borderId="0" xfId="0" applyFont="1"/>
    <xf numFmtId="2" fontId="10" fillId="0" borderId="0" xfId="0" applyNumberFormat="1" applyFont="1"/>
    <xf numFmtId="0" fontId="15" fillId="0" borderId="0" xfId="0" applyFont="1"/>
    <xf numFmtId="3" fontId="38" fillId="0" borderId="0" xfId="14" applyNumberFormat="1" applyFont="1"/>
    <xf numFmtId="0" fontId="7" fillId="0" borderId="0" xfId="15"/>
    <xf numFmtId="3" fontId="39" fillId="0" borderId="0" xfId="14" applyNumberFormat="1" applyFont="1"/>
    <xf numFmtId="3" fontId="40" fillId="0" borderId="0" xfId="14" applyNumberFormat="1" applyFont="1"/>
    <xf numFmtId="3" fontId="41" fillId="3" borderId="1" xfId="14" applyNumberFormat="1" applyFont="1" applyFill="1" applyBorder="1" applyAlignment="1">
      <alignment horizontal="center" vertical="center"/>
    </xf>
    <xf numFmtId="3" fontId="42" fillId="0" borderId="0" xfId="14" applyNumberFormat="1" applyFont="1"/>
    <xf numFmtId="3" fontId="43" fillId="0" borderId="0" xfId="14" applyNumberFormat="1" applyFont="1"/>
    <xf numFmtId="3" fontId="38" fillId="0" borderId="0" xfId="16" applyFont="1"/>
    <xf numFmtId="3" fontId="38" fillId="0" borderId="0" xfId="15" applyNumberFormat="1" applyFont="1"/>
    <xf numFmtId="3" fontId="45" fillId="0" borderId="0" xfId="14" applyNumberFormat="1" applyFont="1"/>
    <xf numFmtId="3" fontId="39" fillId="0" borderId="0" xfId="16" applyFont="1" applyFill="1"/>
    <xf numFmtId="3" fontId="46" fillId="0" borderId="0" xfId="14" applyNumberFormat="1" applyFont="1" applyAlignment="1">
      <alignment horizontal="left" indent="1"/>
    </xf>
    <xf numFmtId="3" fontId="38" fillId="0" borderId="2" xfId="14" applyNumberFormat="1" applyFont="1" applyBorder="1"/>
    <xf numFmtId="3" fontId="37" fillId="0" borderId="0" xfId="14" applyNumberFormat="1"/>
    <xf numFmtId="3" fontId="49" fillId="0" borderId="0" xfId="15" applyNumberFormat="1" applyFont="1" applyAlignment="1">
      <alignment horizontal="right" vertical="top"/>
    </xf>
    <xf numFmtId="3" fontId="46" fillId="0" borderId="0" xfId="15" applyNumberFormat="1" applyFont="1" applyAlignment="1">
      <alignment vertical="top"/>
    </xf>
    <xf numFmtId="3" fontId="46" fillId="0" borderId="0" xfId="15" applyNumberFormat="1" applyFont="1"/>
    <xf numFmtId="3" fontId="50" fillId="0" borderId="0" xfId="15" applyNumberFormat="1" applyFont="1"/>
    <xf numFmtId="3" fontId="49" fillId="0" borderId="0" xfId="15" applyNumberFormat="1" applyFont="1" applyAlignment="1">
      <alignment horizontal="center" vertical="center"/>
    </xf>
    <xf numFmtId="3" fontId="46" fillId="0" borderId="0" xfId="15" applyNumberFormat="1" applyFont="1" applyAlignment="1">
      <alignment horizontal="left" vertical="center" wrapText="1"/>
    </xf>
    <xf numFmtId="3" fontId="52" fillId="0" borderId="0" xfId="14" applyNumberFormat="1" applyFont="1"/>
    <xf numFmtId="3" fontId="38" fillId="0" borderId="0" xfId="14" applyNumberFormat="1" applyFont="1" applyAlignment="1">
      <alignment horizontal="right"/>
    </xf>
    <xf numFmtId="3" fontId="53" fillId="0" borderId="0" xfId="14" applyNumberFormat="1" applyFont="1"/>
    <xf numFmtId="3" fontId="54" fillId="0" borderId="0" xfId="14" applyNumberFormat="1" applyFont="1" applyAlignment="1">
      <alignment horizontal="left" vertical="top" wrapText="1"/>
    </xf>
    <xf numFmtId="0" fontId="46" fillId="0" borderId="0" xfId="14" applyFont="1" applyAlignment="1">
      <alignment horizontal="right"/>
    </xf>
    <xf numFmtId="0" fontId="46" fillId="0" borderId="0" xfId="14" applyFont="1" applyAlignment="1">
      <alignment horizontal="right" vertical="center"/>
    </xf>
    <xf numFmtId="0" fontId="54" fillId="0" borderId="0" xfId="14" applyFont="1"/>
    <xf numFmtId="0" fontId="56" fillId="0" borderId="0" xfId="20"/>
    <xf numFmtId="10" fontId="38" fillId="0" borderId="0" xfId="21" applyNumberFormat="1" applyFont="1"/>
    <xf numFmtId="3" fontId="38" fillId="0" borderId="0" xfId="20" applyNumberFormat="1" applyFont="1"/>
    <xf numFmtId="37" fontId="38" fillId="0" borderId="0" xfId="14" applyNumberFormat="1" applyFont="1"/>
    <xf numFmtId="3" fontId="56" fillId="0" borderId="0" xfId="20" applyNumberFormat="1"/>
    <xf numFmtId="3" fontId="38" fillId="0" borderId="0" xfId="16" applyFont="1" applyFill="1"/>
    <xf numFmtId="0" fontId="54" fillId="0" borderId="0" xfId="20" applyFont="1"/>
    <xf numFmtId="3" fontId="54" fillId="0" borderId="0" xfId="20" applyNumberFormat="1" applyFont="1" applyAlignment="1">
      <alignment vertical="top"/>
    </xf>
    <xf numFmtId="3" fontId="54" fillId="0" borderId="0" xfId="20" applyNumberFormat="1" applyFont="1"/>
    <xf numFmtId="3" fontId="55" fillId="0" borderId="0" xfId="20" applyNumberFormat="1" applyFont="1"/>
    <xf numFmtId="3" fontId="49" fillId="0" borderId="0" xfId="20" applyNumberFormat="1" applyFont="1" applyAlignment="1">
      <alignment horizontal="left" vertical="center"/>
    </xf>
    <xf numFmtId="3" fontId="54" fillId="0" borderId="0" xfId="20" applyNumberFormat="1" applyFont="1" applyAlignment="1">
      <alignment horizontal="left" vertical="center" wrapText="1"/>
    </xf>
    <xf numFmtId="3" fontId="41" fillId="3" borderId="1" xfId="14" applyNumberFormat="1" applyFont="1" applyFill="1" applyBorder="1" applyAlignment="1">
      <alignment horizontal="center" vertical="center"/>
    </xf>
    <xf numFmtId="3" fontId="54" fillId="0" borderId="0" xfId="14" applyNumberFormat="1" applyFont="1" applyAlignment="1">
      <alignment horizontal="left" vertical="top" wrapText="1"/>
    </xf>
    <xf numFmtId="3" fontId="46" fillId="0" borderId="0" xfId="14" applyNumberFormat="1" applyFont="1" applyAlignment="1">
      <alignment horizontal="left" vertical="top" wrapText="1"/>
    </xf>
    <xf numFmtId="172" fontId="51" fillId="0" borderId="0" xfId="14" quotePrefix="1" applyNumberFormat="1" applyFont="1" applyAlignment="1">
      <alignment horizontal="left"/>
    </xf>
    <xf numFmtId="0" fontId="13" fillId="2" borderId="1" xfId="5" applyFont="1" applyFill="1" applyBorder="1" applyAlignment="1">
      <alignment horizontal="center" vertical="center"/>
    </xf>
    <xf numFmtId="0" fontId="18" fillId="0" borderId="0" xfId="5" applyFont="1" applyAlignment="1">
      <alignment horizontal="left" vertical="top" wrapText="1"/>
    </xf>
    <xf numFmtId="0" fontId="18" fillId="0" borderId="0" xfId="13" applyFont="1" applyAlignment="1">
      <alignment horizontal="left" vertical="top" wrapText="1"/>
    </xf>
    <xf numFmtId="0" fontId="18" fillId="0" borderId="0" xfId="13" applyFont="1" applyAlignment="1">
      <alignment horizontal="left" vertical="center" wrapText="1"/>
    </xf>
    <xf numFmtId="167" fontId="23" fillId="0" borderId="0" xfId="5" applyNumberFormat="1" applyFont="1" applyAlignment="1">
      <alignment horizontal="left" wrapText="1"/>
    </xf>
    <xf numFmtId="0" fontId="24" fillId="0" borderId="0" xfId="5" applyFont="1" applyAlignment="1">
      <alignment horizontal="left" vertical="top" wrapText="1"/>
    </xf>
    <xf numFmtId="0" fontId="24" fillId="0" borderId="0" xfId="11" applyFont="1" applyAlignment="1">
      <alignment horizontal="left" wrapText="1"/>
    </xf>
    <xf numFmtId="0" fontId="18" fillId="0" borderId="0" xfId="8" applyFont="1" applyAlignment="1">
      <alignment horizontal="left" vertical="center" wrapText="1"/>
    </xf>
    <xf numFmtId="0" fontId="13" fillId="2" borderId="3" xfId="5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14" fillId="0" borderId="0" xfId="5" applyFont="1" applyAlignment="1">
      <alignment horizontal="left" vertical="top" wrapText="1"/>
    </xf>
    <xf numFmtId="0" fontId="13" fillId="2" borderId="7" xfId="0" applyFont="1" applyFill="1" applyBorder="1" applyAlignment="1">
      <alignment horizontal="center" vertical="center"/>
    </xf>
    <xf numFmtId="3" fontId="58" fillId="0" borderId="0" xfId="31" applyNumberFormat="1" applyFont="1"/>
    <xf numFmtId="0" fontId="74" fillId="0" borderId="0" xfId="31"/>
    <xf numFmtId="3" fontId="59" fillId="0" borderId="0" xfId="31" applyNumberFormat="1" applyFont="1"/>
    <xf numFmtId="3" fontId="40" fillId="0" borderId="0" xfId="31" applyNumberFormat="1" applyFont="1"/>
    <xf numFmtId="4" fontId="58" fillId="0" borderId="0" xfId="31" applyNumberFormat="1" applyFont="1"/>
    <xf numFmtId="10" fontId="58" fillId="0" borderId="0" xfId="31" applyNumberFormat="1" applyFont="1"/>
    <xf numFmtId="3" fontId="41" fillId="4" borderId="9" xfId="31" applyNumberFormat="1" applyFont="1" applyFill="1" applyBorder="1" applyAlignment="1">
      <alignment horizontal="center" vertical="center"/>
    </xf>
    <xf numFmtId="0" fontId="61" fillId="3" borderId="10" xfId="31" applyFont="1" applyFill="1" applyBorder="1"/>
    <xf numFmtId="3" fontId="41" fillId="4" borderId="10" xfId="31" applyNumberFormat="1" applyFont="1" applyFill="1" applyBorder="1" applyAlignment="1">
      <alignment horizontal="center" vertical="center"/>
    </xf>
    <xf numFmtId="3" fontId="41" fillId="5" borderId="10" xfId="31" applyNumberFormat="1" applyFont="1" applyFill="1" applyBorder="1" applyAlignment="1">
      <alignment horizontal="center" vertical="center"/>
    </xf>
    <xf numFmtId="3" fontId="41" fillId="4" borderId="11" xfId="31" applyNumberFormat="1" applyFont="1" applyFill="1" applyBorder="1" applyAlignment="1">
      <alignment horizontal="center" vertical="center"/>
    </xf>
    <xf numFmtId="3" fontId="62" fillId="0" borderId="0" xfId="31" applyNumberFormat="1" applyFont="1"/>
    <xf numFmtId="3" fontId="63" fillId="0" borderId="0" xfId="31" applyNumberFormat="1" applyFont="1"/>
    <xf numFmtId="37" fontId="58" fillId="0" borderId="0" xfId="31" applyNumberFormat="1" applyFont="1"/>
    <xf numFmtId="3" fontId="58" fillId="0" borderId="0" xfId="31" applyNumberFormat="1" applyFont="1" applyAlignment="1">
      <alignment horizontal="right"/>
    </xf>
    <xf numFmtId="3" fontId="64" fillId="0" borderId="0" xfId="31" applyNumberFormat="1" applyFont="1"/>
    <xf numFmtId="3" fontId="65" fillId="0" borderId="0" xfId="31" applyNumberFormat="1" applyFont="1"/>
    <xf numFmtId="3" fontId="67" fillId="0" borderId="0" xfId="31" applyNumberFormat="1" applyFont="1"/>
    <xf numFmtId="3" fontId="58" fillId="0" borderId="12" xfId="31" applyNumberFormat="1" applyFont="1" applyBorder="1"/>
    <xf numFmtId="3" fontId="68" fillId="0" borderId="0" xfId="31" applyNumberFormat="1" applyFont="1"/>
    <xf numFmtId="3" fontId="69" fillId="0" borderId="0" xfId="31" applyNumberFormat="1" applyFont="1"/>
    <xf numFmtId="3" fontId="57" fillId="0" borderId="0" xfId="31" applyNumberFormat="1" applyFont="1" applyAlignment="1">
      <alignment horizontal="left" vertical="top" wrapText="1"/>
    </xf>
    <xf numFmtId="0" fontId="74" fillId="0" borderId="0" xfId="31"/>
    <xf numFmtId="3" fontId="57" fillId="0" borderId="0" xfId="31" applyNumberFormat="1" applyFont="1" applyAlignment="1">
      <alignment horizontal="left" vertical="top" wrapText="1"/>
    </xf>
    <xf numFmtId="0" fontId="70" fillId="0" borderId="0" xfId="31" applyFont="1" applyAlignment="1">
      <alignment horizontal="right"/>
    </xf>
    <xf numFmtId="0" fontId="57" fillId="0" borderId="0" xfId="31" applyFont="1"/>
    <xf numFmtId="0" fontId="70" fillId="0" borderId="0" xfId="31" applyFont="1" applyAlignment="1">
      <alignment horizontal="right" vertical="center"/>
    </xf>
    <xf numFmtId="3" fontId="71" fillId="0" borderId="0" xfId="31" applyNumberFormat="1" applyFont="1"/>
    <xf numFmtId="3" fontId="57" fillId="0" borderId="0" xfId="31" applyNumberFormat="1" applyFont="1" applyAlignment="1">
      <alignment vertical="top"/>
    </xf>
    <xf numFmtId="3" fontId="57" fillId="0" borderId="0" xfId="31" applyNumberFormat="1" applyFont="1"/>
    <xf numFmtId="3" fontId="55" fillId="0" borderId="0" xfId="31" applyNumberFormat="1" applyFont="1"/>
    <xf numFmtId="3" fontId="72" fillId="0" borderId="0" xfId="31" applyNumberFormat="1" applyFont="1" applyAlignment="1">
      <alignment horizontal="left" vertical="center"/>
    </xf>
    <xf numFmtId="3" fontId="57" fillId="0" borderId="0" xfId="31" applyNumberFormat="1" applyFont="1" applyAlignment="1">
      <alignment horizontal="left" vertical="center" wrapText="1"/>
    </xf>
    <xf numFmtId="0" fontId="57" fillId="0" borderId="0" xfId="31" quotePrefix="1" applyFont="1" applyAlignment="1">
      <alignment horizontal="left"/>
    </xf>
    <xf numFmtId="3" fontId="73" fillId="0" borderId="0" xfId="31" applyNumberFormat="1" applyFont="1"/>
  </cellXfs>
  <cellStyles count="32">
    <cellStyle name="Comma" xfId="1" builtinId="3"/>
    <cellStyle name="Comma 2" xfId="2" xr:uid="{00000000-0005-0000-0000-000006000000}"/>
    <cellStyle name="Comma 2 2" xfId="3" xr:uid="{00000000-0005-0000-0000-000007000000}"/>
    <cellStyle name="Comma 2 2 2" xfId="16" xr:uid="{A3E1D5BF-D658-44E3-B51F-F47D0064038E}"/>
    <cellStyle name="Comma 2 3" xfId="22" xr:uid="{6C56F8BD-6EBA-435D-9AA1-258576DDA1E2}"/>
    <cellStyle name="Comma 3" xfId="4" xr:uid="{00000000-0005-0000-0000-000008000000}"/>
    <cellStyle name="Normal" xfId="0" builtinId="0"/>
    <cellStyle name="Normal 10" xfId="17" xr:uid="{EB93AC29-3A66-452E-BDE7-E5D141277D41}"/>
    <cellStyle name="Normal 11" xfId="20" xr:uid="{14E8A4F0-4BCA-4DF5-9111-DFE8B2F6B49E}"/>
    <cellStyle name="Normal 11 2" xfId="31" xr:uid="{5F08EEE4-3CBC-40FB-886F-E4E475A4034B}"/>
    <cellStyle name="Normal 12" xfId="23" xr:uid="{C1DDEAE0-EDF1-4CF1-A691-AE34E93EF069}"/>
    <cellStyle name="Normal 13" xfId="25" xr:uid="{160B13B9-38EF-4A26-9E5C-995DE0BD5808}"/>
    <cellStyle name="Normal 14" xfId="28" xr:uid="{EE306858-9616-4AFE-B02D-4E6B4304A744}"/>
    <cellStyle name="Normal 2" xfId="5" xr:uid="{00000000-0005-0000-0000-000009000000}"/>
    <cellStyle name="Normal 2 2" xfId="14" xr:uid="{91F2EF60-98D1-4D65-83CA-03FE1100710E}"/>
    <cellStyle name="Normal 3" xfId="6" xr:uid="{00000000-0005-0000-0000-00000A000000}"/>
    <cellStyle name="Normal 4" xfId="7" xr:uid="{00000000-0005-0000-0000-00000B000000}"/>
    <cellStyle name="Normal 5" xfId="8" xr:uid="{00000000-0005-0000-0000-00000C000000}"/>
    <cellStyle name="Normal 5 2" xfId="18" xr:uid="{95A7D814-D732-4E37-B0B8-AF3E63B5D704}"/>
    <cellStyle name="Normal 5 2 2" xfId="27" xr:uid="{1C3467E6-5A81-43F8-82C5-3F9AF15A190E}"/>
    <cellStyle name="Normal 6" xfId="9" xr:uid="{00000000-0005-0000-0000-00000D000000}"/>
    <cellStyle name="Normal 6 2" xfId="10" xr:uid="{00000000-0005-0000-0000-00000E000000}"/>
    <cellStyle name="Normal 6 3" xfId="11" xr:uid="{00000000-0005-0000-0000-00000F000000}"/>
    <cellStyle name="Normal 7" xfId="12" xr:uid="{00000000-0005-0000-0000-000010000000}"/>
    <cellStyle name="Normal 8" xfId="13" xr:uid="{00000000-0005-0000-0000-000011000000}"/>
    <cellStyle name="Normal 9" xfId="15" xr:uid="{0358AA79-A24F-4C99-8835-D3A1F14ED4B5}"/>
    <cellStyle name="Normal 9 2" xfId="30" xr:uid="{028208EC-56FF-46F3-8B91-97E2B591FEE0}"/>
    <cellStyle name="Percent 2" xfId="19" xr:uid="{3527FEC9-39C6-4FC4-87A0-BEEC9BD4DA00}"/>
    <cellStyle name="Percent 3" xfId="21" xr:uid="{9AA6DC2E-502D-46BB-B1F5-535ADD5AAB57}"/>
    <cellStyle name="Percent 4" xfId="24" xr:uid="{665C8BA4-702D-42DB-8FE2-30D4B5D5108C}"/>
    <cellStyle name="Percent 5" xfId="26" xr:uid="{6C02FB75-0546-445F-90F1-189EAD8F1C77}"/>
    <cellStyle name="Percent 6" xfId="29" xr:uid="{25828723-0F18-44D8-A6F4-337E81D8E0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F9ED-164E-4B82-B624-3763F5C6DAF5}">
  <sheetPr>
    <pageSetUpPr fitToPage="1"/>
  </sheetPr>
  <dimension ref="A1:Z1000"/>
  <sheetViews>
    <sheetView tabSelected="1" zoomScaleNormal="100" workbookViewId="0">
      <selection activeCell="F3" sqref="F3"/>
    </sheetView>
  </sheetViews>
  <sheetFormatPr defaultColWidth="14.42578125" defaultRowHeight="12.75" x14ac:dyDescent="0.2"/>
  <cols>
    <col min="1" max="1" width="2.85546875" style="192" customWidth="1"/>
    <col min="2" max="2" width="1.42578125" style="192" customWidth="1"/>
    <col min="3" max="3" width="1.85546875" style="192" customWidth="1"/>
    <col min="4" max="4" width="2.140625" style="192" customWidth="1"/>
    <col min="5" max="5" width="33" style="192" customWidth="1"/>
    <col min="6" max="8" width="11.85546875" style="192" customWidth="1"/>
    <col min="9" max="9" width="2.140625" style="192" customWidth="1"/>
    <col min="10" max="20" width="11.85546875" style="192" customWidth="1"/>
    <col min="21" max="26" width="9.140625" style="192" customWidth="1"/>
    <col min="27" max="16384" width="14.42578125" style="192"/>
  </cols>
  <sheetData>
    <row r="1" spans="1:26" ht="6" customHeight="1" x14ac:dyDescent="0.2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U1" s="191"/>
      <c r="V1" s="191"/>
      <c r="W1" s="191"/>
      <c r="X1" s="191"/>
      <c r="Y1" s="191"/>
      <c r="Z1" s="191"/>
    </row>
    <row r="2" spans="1:26" ht="17.25" x14ac:dyDescent="0.25">
      <c r="A2" s="193" t="s">
        <v>197</v>
      </c>
      <c r="B2" s="193"/>
      <c r="C2" s="193"/>
      <c r="D2" s="193"/>
      <c r="E2" s="193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U2" s="191"/>
      <c r="V2" s="191"/>
      <c r="W2" s="191"/>
      <c r="X2" s="191"/>
      <c r="Y2" s="191"/>
      <c r="Z2" s="191"/>
    </row>
    <row r="3" spans="1:26" ht="15" x14ac:dyDescent="0.25">
      <c r="A3" s="193" t="s">
        <v>192</v>
      </c>
      <c r="B3" s="193"/>
      <c r="C3" s="193"/>
      <c r="D3" s="193"/>
      <c r="E3" s="193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U3" s="191"/>
      <c r="V3" s="191"/>
      <c r="W3" s="191"/>
      <c r="X3" s="191"/>
      <c r="Y3" s="191"/>
      <c r="Z3" s="191"/>
    </row>
    <row r="4" spans="1:26" ht="14.25" x14ac:dyDescent="0.2">
      <c r="A4" s="191" t="s">
        <v>2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U4" s="191"/>
      <c r="V4" s="191"/>
      <c r="W4" s="191"/>
      <c r="X4" s="191"/>
      <c r="Y4" s="191"/>
      <c r="Z4" s="191"/>
    </row>
    <row r="5" spans="1:26" ht="14.25" x14ac:dyDescent="0.2">
      <c r="A5" s="194"/>
      <c r="B5" s="191"/>
      <c r="C5" s="191"/>
      <c r="D5" s="191"/>
      <c r="E5" s="191"/>
      <c r="F5" s="191"/>
      <c r="G5" s="195"/>
      <c r="H5" s="196"/>
      <c r="I5" s="196"/>
      <c r="J5" s="196"/>
      <c r="K5" s="196"/>
      <c r="L5" s="191"/>
      <c r="M5" s="191"/>
      <c r="N5" s="191"/>
      <c r="O5" s="191"/>
      <c r="P5" s="191"/>
      <c r="Q5" s="191"/>
      <c r="R5" s="191"/>
      <c r="S5" s="191"/>
      <c r="U5" s="191"/>
      <c r="V5" s="191"/>
      <c r="W5" s="191"/>
      <c r="X5" s="191"/>
      <c r="Y5" s="191"/>
      <c r="Z5" s="191"/>
    </row>
    <row r="6" spans="1:26" ht="20.25" customHeight="1" x14ac:dyDescent="0.25">
      <c r="A6" s="197" t="s">
        <v>3</v>
      </c>
      <c r="B6" s="198"/>
      <c r="C6" s="198"/>
      <c r="D6" s="198"/>
      <c r="E6" s="198"/>
      <c r="F6" s="199" t="s">
        <v>4</v>
      </c>
      <c r="G6" s="199" t="s">
        <v>5</v>
      </c>
      <c r="H6" s="199" t="s">
        <v>6</v>
      </c>
      <c r="I6" s="200"/>
      <c r="J6" s="199" t="s">
        <v>7</v>
      </c>
      <c r="K6" s="199" t="s">
        <v>8</v>
      </c>
      <c r="L6" s="199" t="s">
        <v>9</v>
      </c>
      <c r="M6" s="199" t="s">
        <v>10</v>
      </c>
      <c r="N6" s="199" t="s">
        <v>11</v>
      </c>
      <c r="O6" s="199" t="s">
        <v>12</v>
      </c>
      <c r="P6" s="199" t="s">
        <v>13</v>
      </c>
      <c r="Q6" s="199" t="s">
        <v>56</v>
      </c>
      <c r="R6" s="199" t="s">
        <v>57</v>
      </c>
      <c r="S6" s="201" t="s">
        <v>14</v>
      </c>
      <c r="U6" s="202"/>
      <c r="V6" s="202"/>
      <c r="W6" s="202"/>
      <c r="X6" s="202"/>
      <c r="Y6" s="202"/>
      <c r="Z6" s="202"/>
    </row>
    <row r="7" spans="1:26" ht="6.75" customHeight="1" x14ac:dyDescent="0.2">
      <c r="A7" s="191"/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U7" s="191"/>
      <c r="V7" s="191"/>
      <c r="W7" s="191"/>
      <c r="X7" s="191"/>
      <c r="Y7" s="191"/>
      <c r="Z7" s="191"/>
    </row>
    <row r="8" spans="1:26" ht="15" x14ac:dyDescent="0.25">
      <c r="A8" s="191"/>
      <c r="B8" s="193" t="s">
        <v>15</v>
      </c>
      <c r="C8" s="193"/>
      <c r="D8" s="193"/>
      <c r="E8" s="193"/>
      <c r="F8" s="203">
        <v>467146.87</v>
      </c>
      <c r="G8" s="203">
        <v>251767.37000000002</v>
      </c>
      <c r="H8" s="203">
        <v>279252.58999999997</v>
      </c>
      <c r="I8" s="203"/>
      <c r="J8" s="203">
        <v>522055.11200000002</v>
      </c>
      <c r="K8" s="203">
        <v>433089.88444883999</v>
      </c>
      <c r="L8" s="203">
        <v>306906.3751533</v>
      </c>
      <c r="M8" s="203">
        <v>472276.04406167998</v>
      </c>
      <c r="N8" s="203">
        <v>352514.72500000009</v>
      </c>
      <c r="O8" s="203">
        <v>281715.815</v>
      </c>
      <c r="P8" s="203">
        <v>441714.25999999995</v>
      </c>
      <c r="Q8" s="203">
        <v>340740.04999999993</v>
      </c>
      <c r="R8" s="203">
        <v>304253</v>
      </c>
      <c r="S8" s="203">
        <v>4453432.0956638195</v>
      </c>
      <c r="U8" s="191"/>
      <c r="V8" s="191"/>
      <c r="W8" s="191"/>
      <c r="X8" s="191"/>
      <c r="Y8" s="191"/>
      <c r="Z8" s="191"/>
    </row>
    <row r="9" spans="1:26" ht="15" x14ac:dyDescent="0.25">
      <c r="A9" s="191"/>
      <c r="B9" s="191"/>
      <c r="C9" s="191" t="s">
        <v>16</v>
      </c>
      <c r="D9" s="191"/>
      <c r="E9" s="191"/>
      <c r="F9" s="203">
        <v>437537.87</v>
      </c>
      <c r="G9" s="203">
        <v>234345.37000000002</v>
      </c>
      <c r="H9" s="203">
        <v>259636.59</v>
      </c>
      <c r="I9" s="203"/>
      <c r="J9" s="203">
        <v>497983.11200000002</v>
      </c>
      <c r="K9" s="203">
        <v>322895.17444883997</v>
      </c>
      <c r="L9" s="203">
        <v>280115.3751533</v>
      </c>
      <c r="M9" s="203">
        <v>422996.04406167998</v>
      </c>
      <c r="N9" s="203">
        <v>331239.72500000009</v>
      </c>
      <c r="O9" s="203">
        <v>265903.815</v>
      </c>
      <c r="P9" s="203">
        <v>414501.35</v>
      </c>
      <c r="Q9" s="203">
        <v>331434.04999999993</v>
      </c>
      <c r="R9" s="203">
        <v>278582</v>
      </c>
      <c r="S9" s="203">
        <v>4077170.4756638198</v>
      </c>
      <c r="U9" s="191"/>
      <c r="V9" s="191"/>
      <c r="W9" s="191"/>
      <c r="X9" s="191"/>
      <c r="Y9" s="191"/>
      <c r="Z9" s="191"/>
    </row>
    <row r="10" spans="1:26" ht="14.25" x14ac:dyDescent="0.2">
      <c r="A10" s="191"/>
      <c r="B10" s="191"/>
      <c r="C10" s="191"/>
      <c r="D10" s="191" t="s">
        <v>17</v>
      </c>
      <c r="E10" s="191"/>
      <c r="F10" s="191">
        <v>355095.87</v>
      </c>
      <c r="G10" s="191">
        <v>159653.37000000002</v>
      </c>
      <c r="H10" s="191">
        <v>175659.59</v>
      </c>
      <c r="I10" s="191"/>
      <c r="J10" s="191">
        <v>420527.11200000002</v>
      </c>
      <c r="K10" s="191">
        <v>242704.17444884</v>
      </c>
      <c r="L10" s="191">
        <v>200524.37515329997</v>
      </c>
      <c r="M10" s="191">
        <v>335254.04406167998</v>
      </c>
      <c r="N10" s="191">
        <v>250111.72500000006</v>
      </c>
      <c r="O10" s="191">
        <v>182960.815</v>
      </c>
      <c r="P10" s="191">
        <v>328842.34999999998</v>
      </c>
      <c r="Q10" s="191">
        <v>254285.04999999996</v>
      </c>
      <c r="R10" s="191">
        <v>204210</v>
      </c>
      <c r="S10" s="191">
        <v>3109828.4756638198</v>
      </c>
      <c r="U10" s="191"/>
      <c r="V10" s="191"/>
      <c r="W10" s="191"/>
      <c r="X10" s="191"/>
      <c r="Y10" s="191"/>
      <c r="Z10" s="191"/>
    </row>
    <row r="11" spans="1:26" ht="14.25" x14ac:dyDescent="0.2">
      <c r="A11" s="191"/>
      <c r="B11" s="191"/>
      <c r="C11" s="191"/>
      <c r="D11" s="191"/>
      <c r="E11" s="202" t="s">
        <v>18</v>
      </c>
      <c r="F11" s="191"/>
      <c r="G11" s="196"/>
      <c r="H11" s="196"/>
      <c r="I11" s="196"/>
      <c r="J11" s="196"/>
      <c r="K11" s="196"/>
      <c r="L11" s="191"/>
      <c r="M11" s="191"/>
      <c r="N11" s="191"/>
      <c r="O11" s="191"/>
      <c r="P11" s="191"/>
      <c r="Q11" s="191"/>
      <c r="R11" s="191"/>
      <c r="S11" s="191"/>
      <c r="U11" s="191"/>
      <c r="V11" s="191"/>
      <c r="W11" s="191"/>
      <c r="X11" s="191"/>
      <c r="Y11" s="191"/>
      <c r="Z11" s="191"/>
    </row>
    <row r="12" spans="1:26" ht="14.25" x14ac:dyDescent="0.2">
      <c r="A12" s="191"/>
      <c r="B12" s="191"/>
      <c r="C12" s="191"/>
      <c r="D12" s="191"/>
      <c r="E12" s="191" t="s">
        <v>19</v>
      </c>
      <c r="F12" s="191">
        <v>0</v>
      </c>
      <c r="G12" s="191">
        <v>1212</v>
      </c>
      <c r="H12" s="191">
        <v>131</v>
      </c>
      <c r="I12" s="191"/>
      <c r="J12" s="191">
        <v>5885</v>
      </c>
      <c r="K12" s="191">
        <v>1764</v>
      </c>
      <c r="L12" s="191">
        <v>3433</v>
      </c>
      <c r="M12" s="191">
        <v>1757</v>
      </c>
      <c r="N12" s="191">
        <v>1687</v>
      </c>
      <c r="O12" s="191">
        <v>1624</v>
      </c>
      <c r="P12" s="191">
        <v>6414</v>
      </c>
      <c r="Q12" s="191">
        <v>0</v>
      </c>
      <c r="R12" s="191">
        <v>1130</v>
      </c>
      <c r="S12" s="191">
        <v>25037</v>
      </c>
      <c r="U12" s="191"/>
      <c r="V12" s="191"/>
      <c r="W12" s="191"/>
      <c r="X12" s="191"/>
      <c r="Y12" s="191"/>
      <c r="Z12" s="191"/>
    </row>
    <row r="13" spans="1:26" ht="14.25" x14ac:dyDescent="0.2">
      <c r="A13" s="191"/>
      <c r="B13" s="191"/>
      <c r="C13" s="191"/>
      <c r="D13" s="191"/>
      <c r="E13" s="191" t="s">
        <v>20</v>
      </c>
      <c r="F13" s="191">
        <v>0</v>
      </c>
      <c r="G13" s="191">
        <v>7930</v>
      </c>
      <c r="H13" s="191">
        <v>157</v>
      </c>
      <c r="I13" s="191"/>
      <c r="J13" s="191">
        <v>15</v>
      </c>
      <c r="K13" s="191">
        <v>63</v>
      </c>
      <c r="L13" s="191">
        <v>2815</v>
      </c>
      <c r="M13" s="191">
        <v>287</v>
      </c>
      <c r="N13" s="191">
        <v>19</v>
      </c>
      <c r="O13" s="191">
        <v>44</v>
      </c>
      <c r="P13" s="191">
        <v>1383</v>
      </c>
      <c r="Q13" s="191">
        <v>104</v>
      </c>
      <c r="R13" s="191">
        <v>2776</v>
      </c>
      <c r="S13" s="191">
        <v>15593</v>
      </c>
      <c r="U13" s="191"/>
      <c r="V13" s="191"/>
      <c r="W13" s="191"/>
      <c r="X13" s="191"/>
      <c r="Y13" s="191"/>
      <c r="Z13" s="191"/>
    </row>
    <row r="14" spans="1:26" ht="6" customHeight="1" x14ac:dyDescent="0.2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U14" s="191"/>
      <c r="V14" s="191"/>
      <c r="W14" s="191"/>
      <c r="X14" s="191"/>
      <c r="Y14" s="191"/>
      <c r="Z14" s="191"/>
    </row>
    <row r="15" spans="1:26" ht="14.25" x14ac:dyDescent="0.2">
      <c r="A15" s="191"/>
      <c r="B15" s="191"/>
      <c r="C15" s="191"/>
      <c r="D15" s="191" t="s">
        <v>21</v>
      </c>
      <c r="E15" s="191"/>
      <c r="F15" s="191">
        <v>79254</v>
      </c>
      <c r="G15" s="191">
        <v>71765</v>
      </c>
      <c r="H15" s="191">
        <v>80359</v>
      </c>
      <c r="I15" s="191"/>
      <c r="J15" s="191">
        <v>74701</v>
      </c>
      <c r="K15" s="191">
        <v>75657</v>
      </c>
      <c r="L15" s="191">
        <v>77035</v>
      </c>
      <c r="M15" s="191">
        <v>85180</v>
      </c>
      <c r="N15" s="191">
        <v>77436</v>
      </c>
      <c r="O15" s="191">
        <v>80284</v>
      </c>
      <c r="P15" s="191">
        <v>82962</v>
      </c>
      <c r="Q15" s="191">
        <v>74867</v>
      </c>
      <c r="R15" s="191">
        <v>73172</v>
      </c>
      <c r="S15" s="191">
        <v>932672</v>
      </c>
      <c r="U15" s="191"/>
      <c r="V15" s="191"/>
      <c r="W15" s="191"/>
      <c r="X15" s="191"/>
      <c r="Y15" s="191"/>
      <c r="Z15" s="191"/>
    </row>
    <row r="16" spans="1:26" ht="14.25" x14ac:dyDescent="0.2">
      <c r="A16" s="191"/>
      <c r="B16" s="191"/>
      <c r="C16" s="191"/>
      <c r="D16" s="191"/>
      <c r="E16" s="202" t="s">
        <v>18</v>
      </c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U16" s="191"/>
      <c r="V16" s="191"/>
      <c r="W16" s="191"/>
      <c r="X16" s="191"/>
      <c r="Y16" s="191"/>
      <c r="Z16" s="191"/>
    </row>
    <row r="17" spans="1:26" ht="14.25" x14ac:dyDescent="0.2">
      <c r="A17" s="191"/>
      <c r="B17" s="191"/>
      <c r="C17" s="191"/>
      <c r="D17" s="191"/>
      <c r="E17" s="191" t="s">
        <v>20</v>
      </c>
      <c r="F17" s="191">
        <v>0</v>
      </c>
      <c r="G17" s="191">
        <v>29</v>
      </c>
      <c r="H17" s="191">
        <v>1800</v>
      </c>
      <c r="I17" s="191"/>
      <c r="J17" s="191">
        <v>298</v>
      </c>
      <c r="K17" s="191">
        <v>267</v>
      </c>
      <c r="L17" s="191">
        <v>231</v>
      </c>
      <c r="M17" s="191">
        <v>3103</v>
      </c>
      <c r="N17" s="191">
        <v>1842</v>
      </c>
      <c r="O17" s="191">
        <v>507</v>
      </c>
      <c r="P17" s="191">
        <v>92</v>
      </c>
      <c r="Q17" s="191">
        <v>1028</v>
      </c>
      <c r="R17" s="191">
        <v>622</v>
      </c>
      <c r="S17" s="191">
        <v>9819</v>
      </c>
      <c r="U17" s="191"/>
      <c r="V17" s="191"/>
      <c r="W17" s="191"/>
      <c r="X17" s="191"/>
      <c r="Y17" s="191"/>
      <c r="Z17" s="191"/>
    </row>
    <row r="18" spans="1:26" ht="14.25" x14ac:dyDescent="0.2">
      <c r="A18" s="191"/>
      <c r="B18" s="191"/>
      <c r="C18" s="191"/>
      <c r="D18" s="191" t="s">
        <v>22</v>
      </c>
      <c r="E18" s="191"/>
      <c r="F18" s="191">
        <v>3188</v>
      </c>
      <c r="G18" s="191">
        <v>2927</v>
      </c>
      <c r="H18" s="191">
        <v>3618</v>
      </c>
      <c r="I18" s="191"/>
      <c r="J18" s="191">
        <v>2755</v>
      </c>
      <c r="K18" s="191">
        <v>4534</v>
      </c>
      <c r="L18" s="191">
        <v>2556</v>
      </c>
      <c r="M18" s="191">
        <v>2562</v>
      </c>
      <c r="N18" s="191">
        <v>3692</v>
      </c>
      <c r="O18" s="191">
        <v>2659</v>
      </c>
      <c r="P18" s="191">
        <v>2697</v>
      </c>
      <c r="Q18" s="191">
        <v>2282</v>
      </c>
      <c r="R18" s="191">
        <v>1200</v>
      </c>
      <c r="S18" s="191">
        <v>34670</v>
      </c>
      <c r="U18" s="191"/>
      <c r="V18" s="191"/>
      <c r="W18" s="191"/>
      <c r="X18" s="191"/>
      <c r="Y18" s="191"/>
      <c r="Z18" s="191"/>
    </row>
    <row r="19" spans="1:26" ht="14.25" x14ac:dyDescent="0.2">
      <c r="A19" s="191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U19" s="191"/>
      <c r="V19" s="191"/>
      <c r="W19" s="191"/>
      <c r="X19" s="191"/>
      <c r="Y19" s="191"/>
      <c r="Z19" s="191"/>
    </row>
    <row r="20" spans="1:26" ht="15" x14ac:dyDescent="0.25">
      <c r="A20" s="191"/>
      <c r="B20" s="191"/>
      <c r="C20" s="191" t="s">
        <v>23</v>
      </c>
      <c r="D20" s="191"/>
      <c r="E20" s="191"/>
      <c r="F20" s="203">
        <v>29609</v>
      </c>
      <c r="G20" s="203">
        <v>17422</v>
      </c>
      <c r="H20" s="203">
        <v>19616</v>
      </c>
      <c r="I20" s="203"/>
      <c r="J20" s="203">
        <v>24072</v>
      </c>
      <c r="K20" s="203">
        <v>110194.71</v>
      </c>
      <c r="L20" s="203">
        <v>26791</v>
      </c>
      <c r="M20" s="203">
        <v>49280</v>
      </c>
      <c r="N20" s="203">
        <v>21275</v>
      </c>
      <c r="O20" s="203">
        <v>15812</v>
      </c>
      <c r="P20" s="203">
        <v>27212.91</v>
      </c>
      <c r="Q20" s="203">
        <v>9306</v>
      </c>
      <c r="R20" s="203">
        <v>25671</v>
      </c>
      <c r="S20" s="203">
        <v>376261.62</v>
      </c>
      <c r="U20" s="191"/>
      <c r="V20" s="191"/>
      <c r="W20" s="191"/>
      <c r="X20" s="191"/>
      <c r="Y20" s="191"/>
      <c r="Z20" s="191"/>
    </row>
    <row r="21" spans="1:26" ht="15.75" customHeight="1" x14ac:dyDescent="0.2">
      <c r="A21" s="191"/>
      <c r="B21" s="191"/>
      <c r="C21" s="191"/>
      <c r="D21" s="191" t="s">
        <v>24</v>
      </c>
      <c r="E21" s="191"/>
      <c r="F21" s="204">
        <v>15744</v>
      </c>
      <c r="G21" s="204">
        <v>7921</v>
      </c>
      <c r="H21" s="204">
        <v>8676</v>
      </c>
      <c r="I21" s="204"/>
      <c r="J21" s="204">
        <v>13837</v>
      </c>
      <c r="K21" s="204">
        <v>83022</v>
      </c>
      <c r="L21" s="204">
        <v>16066</v>
      </c>
      <c r="M21" s="204">
        <v>36328</v>
      </c>
      <c r="N21" s="204">
        <v>7692</v>
      </c>
      <c r="O21" s="204">
        <v>7765</v>
      </c>
      <c r="P21" s="204">
        <v>12513</v>
      </c>
      <c r="Q21" s="204">
        <v>5615</v>
      </c>
      <c r="R21" s="204">
        <v>18030</v>
      </c>
      <c r="S21" s="191">
        <v>233209</v>
      </c>
      <c r="U21" s="191"/>
      <c r="V21" s="191"/>
      <c r="W21" s="191"/>
      <c r="X21" s="191"/>
      <c r="Y21" s="191"/>
      <c r="Z21" s="191"/>
    </row>
    <row r="22" spans="1:26" ht="15.75" customHeight="1" x14ac:dyDescent="0.2">
      <c r="A22" s="191"/>
      <c r="B22" s="191"/>
      <c r="C22" s="191"/>
      <c r="D22" s="191" t="s">
        <v>176</v>
      </c>
      <c r="E22" s="191"/>
      <c r="F22" s="204">
        <v>4693</v>
      </c>
      <c r="G22" s="204">
        <v>3664</v>
      </c>
      <c r="H22" s="204">
        <v>4636</v>
      </c>
      <c r="I22" s="204"/>
      <c r="J22" s="204">
        <v>4829</v>
      </c>
      <c r="K22" s="204">
        <v>3951</v>
      </c>
      <c r="L22" s="204">
        <v>4837</v>
      </c>
      <c r="M22" s="204">
        <v>6041</v>
      </c>
      <c r="N22" s="204">
        <v>4261</v>
      </c>
      <c r="O22" s="204">
        <v>7181</v>
      </c>
      <c r="P22" s="204">
        <v>4356</v>
      </c>
      <c r="Q22" s="204">
        <v>3689</v>
      </c>
      <c r="R22" s="204">
        <v>4326</v>
      </c>
      <c r="S22" s="205">
        <v>56464</v>
      </c>
      <c r="U22" s="191"/>
      <c r="V22" s="191"/>
      <c r="W22" s="191"/>
      <c r="X22" s="191"/>
      <c r="Y22" s="191"/>
      <c r="Z22" s="191"/>
    </row>
    <row r="23" spans="1:26" ht="15.75" customHeight="1" x14ac:dyDescent="0.2">
      <c r="A23" s="191"/>
      <c r="B23" s="191"/>
      <c r="C23" s="191"/>
      <c r="D23" s="191" t="s">
        <v>26</v>
      </c>
      <c r="E23" s="191"/>
      <c r="F23" s="204">
        <v>0</v>
      </c>
      <c r="G23" s="204">
        <v>19</v>
      </c>
      <c r="H23" s="204">
        <v>302</v>
      </c>
      <c r="I23" s="204"/>
      <c r="J23" s="204">
        <v>155</v>
      </c>
      <c r="K23" s="204">
        <v>776.71</v>
      </c>
      <c r="L23" s="204">
        <v>13</v>
      </c>
      <c r="M23" s="204">
        <v>7</v>
      </c>
      <c r="N23" s="204">
        <v>73</v>
      </c>
      <c r="O23" s="204">
        <v>11</v>
      </c>
      <c r="P23" s="204">
        <v>604.91</v>
      </c>
      <c r="Q23" s="204">
        <v>21</v>
      </c>
      <c r="R23" s="204">
        <v>11</v>
      </c>
      <c r="S23" s="191">
        <v>1993.62</v>
      </c>
      <c r="U23" s="191"/>
      <c r="V23" s="191"/>
      <c r="W23" s="191"/>
      <c r="X23" s="191"/>
      <c r="Y23" s="191"/>
      <c r="Z23" s="191"/>
    </row>
    <row r="24" spans="1:26" ht="15.75" customHeight="1" x14ac:dyDescent="0.2">
      <c r="A24" s="191"/>
      <c r="B24" s="191"/>
      <c r="C24" s="191"/>
      <c r="D24" s="191" t="s">
        <v>27</v>
      </c>
      <c r="E24" s="191"/>
      <c r="F24" s="204">
        <v>433</v>
      </c>
      <c r="G24" s="204">
        <v>593</v>
      </c>
      <c r="H24" s="204">
        <v>986</v>
      </c>
      <c r="I24" s="204"/>
      <c r="J24" s="204">
        <v>932</v>
      </c>
      <c r="K24" s="204">
        <v>569</v>
      </c>
      <c r="L24" s="204">
        <v>537</v>
      </c>
      <c r="M24" s="204">
        <v>1054</v>
      </c>
      <c r="N24" s="204">
        <v>771</v>
      </c>
      <c r="O24" s="204">
        <v>997</v>
      </c>
      <c r="P24" s="204">
        <v>344</v>
      </c>
      <c r="Q24" s="204">
        <v>551</v>
      </c>
      <c r="R24" s="204">
        <v>256</v>
      </c>
      <c r="S24" s="191">
        <v>8023</v>
      </c>
      <c r="U24" s="191"/>
      <c r="V24" s="191"/>
      <c r="W24" s="191"/>
      <c r="X24" s="191"/>
      <c r="Y24" s="191"/>
      <c r="Z24" s="191"/>
    </row>
    <row r="25" spans="1:26" ht="15.75" customHeight="1" x14ac:dyDescent="0.2">
      <c r="A25" s="191"/>
      <c r="B25" s="191"/>
      <c r="C25" s="191"/>
      <c r="D25" s="191" t="s">
        <v>189</v>
      </c>
      <c r="E25" s="191"/>
      <c r="F25" s="204">
        <v>8739</v>
      </c>
      <c r="G25" s="204">
        <v>5159</v>
      </c>
      <c r="H25" s="204">
        <v>5015</v>
      </c>
      <c r="I25" s="204"/>
      <c r="J25" s="204">
        <v>4143</v>
      </c>
      <c r="K25" s="204">
        <v>21876</v>
      </c>
      <c r="L25" s="204">
        <v>5330</v>
      </c>
      <c r="M25" s="204">
        <v>5850</v>
      </c>
      <c r="N25" s="204">
        <v>8476</v>
      </c>
      <c r="O25" s="204">
        <v>-142</v>
      </c>
      <c r="P25" s="204">
        <v>9395</v>
      </c>
      <c r="Q25" s="204">
        <v>-578</v>
      </c>
      <c r="R25" s="204">
        <v>2867</v>
      </c>
      <c r="S25" s="191">
        <v>76130</v>
      </c>
      <c r="U25" s="191"/>
      <c r="V25" s="191"/>
      <c r="W25" s="191"/>
      <c r="X25" s="191"/>
      <c r="Y25" s="191"/>
      <c r="Z25" s="191"/>
    </row>
    <row r="26" spans="1:26" ht="15.75" customHeight="1" x14ac:dyDescent="0.2">
      <c r="A26" s="191"/>
      <c r="B26" s="191"/>
      <c r="C26" s="191"/>
      <c r="D26" s="191" t="s">
        <v>29</v>
      </c>
      <c r="E26" s="191"/>
      <c r="F26" s="204">
        <v>0</v>
      </c>
      <c r="G26" s="204">
        <v>66</v>
      </c>
      <c r="H26" s="204">
        <v>1</v>
      </c>
      <c r="I26" s="204"/>
      <c r="J26" s="204">
        <v>176</v>
      </c>
      <c r="K26" s="204">
        <v>0</v>
      </c>
      <c r="L26" s="204">
        <v>8</v>
      </c>
      <c r="M26" s="204">
        <v>0</v>
      </c>
      <c r="N26" s="204">
        <v>2</v>
      </c>
      <c r="O26" s="204">
        <v>0</v>
      </c>
      <c r="P26" s="204">
        <v>0</v>
      </c>
      <c r="Q26" s="204">
        <v>8</v>
      </c>
      <c r="R26" s="204">
        <v>181</v>
      </c>
      <c r="S26" s="191">
        <v>442</v>
      </c>
      <c r="U26" s="191"/>
      <c r="V26" s="191"/>
      <c r="W26" s="191"/>
      <c r="X26" s="191"/>
      <c r="Y26" s="191"/>
      <c r="Z26" s="191"/>
    </row>
    <row r="27" spans="1:26" ht="15.75" customHeight="1" x14ac:dyDescent="0.2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U27" s="191"/>
      <c r="V27" s="191"/>
      <c r="W27" s="191"/>
      <c r="X27" s="191"/>
      <c r="Y27" s="191"/>
      <c r="Z27" s="191"/>
    </row>
    <row r="28" spans="1:26" ht="15.75" customHeight="1" x14ac:dyDescent="0.2">
      <c r="A28" s="191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U28" s="191"/>
      <c r="V28" s="191"/>
      <c r="W28" s="191"/>
      <c r="X28" s="191"/>
      <c r="Y28" s="191"/>
      <c r="Z28" s="191"/>
    </row>
    <row r="29" spans="1:26" ht="15.75" customHeight="1" x14ac:dyDescent="0.25">
      <c r="A29" s="191"/>
      <c r="B29" s="193" t="s">
        <v>30</v>
      </c>
      <c r="C29" s="193"/>
      <c r="D29" s="193"/>
      <c r="E29" s="193"/>
      <c r="F29" s="203">
        <v>398785</v>
      </c>
      <c r="G29" s="203">
        <v>423211</v>
      </c>
      <c r="H29" s="203">
        <v>622200</v>
      </c>
      <c r="I29" s="206" t="s">
        <v>194</v>
      </c>
      <c r="J29" s="203">
        <v>454756</v>
      </c>
      <c r="K29" s="203">
        <v>578241</v>
      </c>
      <c r="L29" s="203">
        <v>548518</v>
      </c>
      <c r="M29" s="203">
        <v>491193</v>
      </c>
      <c r="N29" s="203">
        <v>437283</v>
      </c>
      <c r="O29" s="203">
        <v>529796</v>
      </c>
      <c r="P29" s="203">
        <v>430560</v>
      </c>
      <c r="Q29" s="203">
        <v>498305</v>
      </c>
      <c r="R29" s="203">
        <v>617426</v>
      </c>
      <c r="S29" s="203">
        <v>6030274</v>
      </c>
      <c r="U29" s="191"/>
      <c r="V29" s="191"/>
      <c r="W29" s="191"/>
      <c r="X29" s="191"/>
      <c r="Y29" s="191"/>
      <c r="Z29" s="191"/>
    </row>
    <row r="30" spans="1:26" ht="15.75" customHeight="1" x14ac:dyDescent="0.2">
      <c r="A30" s="191"/>
      <c r="B30" s="191"/>
      <c r="C30" s="191"/>
      <c r="D30" s="191" t="s">
        <v>31</v>
      </c>
      <c r="E30" s="191"/>
      <c r="F30" s="191">
        <v>86112</v>
      </c>
      <c r="G30" s="191">
        <v>102016</v>
      </c>
      <c r="H30" s="191">
        <v>101127</v>
      </c>
      <c r="I30" s="191"/>
      <c r="J30" s="191">
        <v>93115</v>
      </c>
      <c r="K30" s="191">
        <v>93409</v>
      </c>
      <c r="L30" s="191">
        <v>95520</v>
      </c>
      <c r="M30" s="191">
        <v>98346</v>
      </c>
      <c r="N30" s="191">
        <v>103085</v>
      </c>
      <c r="O30" s="191">
        <v>95467</v>
      </c>
      <c r="P30" s="191">
        <v>94914</v>
      </c>
      <c r="Q30" s="191">
        <v>93979</v>
      </c>
      <c r="R30" s="191">
        <v>94822</v>
      </c>
      <c r="S30" s="191">
        <v>1151912</v>
      </c>
      <c r="U30" s="191"/>
      <c r="V30" s="191"/>
      <c r="W30" s="191"/>
      <c r="X30" s="191"/>
      <c r="Y30" s="191"/>
      <c r="Z30" s="191"/>
    </row>
    <row r="31" spans="1:26" ht="15.75" customHeight="1" x14ac:dyDescent="0.2">
      <c r="A31" s="191"/>
      <c r="B31" s="191"/>
      <c r="C31" s="191"/>
      <c r="D31" s="191" t="s">
        <v>32</v>
      </c>
      <c r="E31" s="191"/>
      <c r="F31" s="191">
        <v>104435</v>
      </c>
      <c r="G31" s="191">
        <v>48445</v>
      </c>
      <c r="H31" s="191">
        <v>88121</v>
      </c>
      <c r="I31" s="191"/>
      <c r="J31" s="191">
        <v>46446</v>
      </c>
      <c r="K31" s="191">
        <v>69954</v>
      </c>
      <c r="L31" s="191">
        <v>57420</v>
      </c>
      <c r="M31" s="191">
        <v>106219</v>
      </c>
      <c r="N31" s="191">
        <v>63105</v>
      </c>
      <c r="O31" s="191">
        <v>81704</v>
      </c>
      <c r="P31" s="191">
        <v>57367</v>
      </c>
      <c r="Q31" s="191">
        <v>77289</v>
      </c>
      <c r="R31" s="191">
        <v>63634</v>
      </c>
      <c r="S31" s="191">
        <v>864139</v>
      </c>
      <c r="U31" s="191"/>
      <c r="V31" s="191"/>
      <c r="W31" s="191"/>
      <c r="X31" s="191"/>
      <c r="Y31" s="191"/>
      <c r="Z31" s="191"/>
    </row>
    <row r="32" spans="1:26" ht="15.75" customHeight="1" x14ac:dyDescent="0.25">
      <c r="A32" s="191"/>
      <c r="B32" s="191"/>
      <c r="C32" s="191"/>
      <c r="D32" s="191" t="s">
        <v>33</v>
      </c>
      <c r="E32" s="191"/>
      <c r="F32" s="191">
        <v>0</v>
      </c>
      <c r="G32" s="191">
        <v>9171</v>
      </c>
      <c r="H32" s="191">
        <v>2088</v>
      </c>
      <c r="I32" s="191"/>
      <c r="J32" s="191">
        <v>6198</v>
      </c>
      <c r="K32" s="191">
        <v>2094</v>
      </c>
      <c r="L32" s="191">
        <v>6479</v>
      </c>
      <c r="M32" s="191">
        <v>5147</v>
      </c>
      <c r="N32" s="191">
        <v>3548</v>
      </c>
      <c r="O32" s="191">
        <v>2175</v>
      </c>
      <c r="P32" s="191">
        <v>7889</v>
      </c>
      <c r="Q32" s="191">
        <v>1132</v>
      </c>
      <c r="R32" s="191">
        <v>4528</v>
      </c>
      <c r="S32" s="191">
        <v>50449</v>
      </c>
      <c r="T32" s="207"/>
      <c r="U32" s="191"/>
      <c r="V32" s="191"/>
      <c r="W32" s="191"/>
      <c r="X32" s="191"/>
      <c r="Y32" s="191"/>
      <c r="Z32" s="191"/>
    </row>
    <row r="33" spans="1:26" ht="17.25" customHeight="1" x14ac:dyDescent="0.2">
      <c r="A33" s="191"/>
      <c r="B33" s="191"/>
      <c r="C33" s="191"/>
      <c r="D33" s="191" t="s">
        <v>198</v>
      </c>
      <c r="E33" s="191"/>
      <c r="F33" s="191">
        <v>4385</v>
      </c>
      <c r="G33" s="191">
        <v>7574</v>
      </c>
      <c r="H33" s="191">
        <v>10630</v>
      </c>
      <c r="I33" s="191"/>
      <c r="J33" s="191">
        <v>14544</v>
      </c>
      <c r="K33" s="191">
        <v>7916</v>
      </c>
      <c r="L33" s="191">
        <v>7449</v>
      </c>
      <c r="M33" s="191">
        <v>9735</v>
      </c>
      <c r="N33" s="191">
        <v>8018</v>
      </c>
      <c r="O33" s="191">
        <v>9203</v>
      </c>
      <c r="P33" s="191">
        <v>8920</v>
      </c>
      <c r="Q33" s="191">
        <v>7472</v>
      </c>
      <c r="R33" s="191">
        <v>11078</v>
      </c>
      <c r="S33" s="191">
        <v>106924</v>
      </c>
      <c r="U33" s="191"/>
      <c r="V33" s="191"/>
      <c r="W33" s="191"/>
      <c r="X33" s="191"/>
      <c r="Y33" s="191"/>
      <c r="Z33" s="191"/>
    </row>
    <row r="34" spans="1:26" ht="15.75" customHeight="1" x14ac:dyDescent="0.2">
      <c r="A34" s="191"/>
      <c r="B34" s="191"/>
      <c r="C34" s="191"/>
      <c r="D34" s="191" t="s">
        <v>35</v>
      </c>
      <c r="E34" s="191"/>
      <c r="F34" s="191">
        <v>0</v>
      </c>
      <c r="G34" s="191">
        <v>48</v>
      </c>
      <c r="H34" s="191">
        <v>811</v>
      </c>
      <c r="I34" s="191"/>
      <c r="J34" s="191">
        <v>31</v>
      </c>
      <c r="K34" s="191">
        <v>74</v>
      </c>
      <c r="L34" s="191">
        <v>69</v>
      </c>
      <c r="M34" s="191">
        <v>0</v>
      </c>
      <c r="N34" s="191">
        <v>134</v>
      </c>
      <c r="O34" s="191">
        <v>84</v>
      </c>
      <c r="P34" s="191">
        <v>121</v>
      </c>
      <c r="Q34" s="191">
        <v>0</v>
      </c>
      <c r="R34" s="191">
        <v>65</v>
      </c>
      <c r="S34" s="191">
        <v>1437</v>
      </c>
      <c r="U34" s="191"/>
      <c r="V34" s="191"/>
      <c r="W34" s="191"/>
      <c r="X34" s="191"/>
      <c r="Y34" s="191"/>
      <c r="Z34" s="191"/>
    </row>
    <row r="35" spans="1:26" ht="15.75" customHeight="1" x14ac:dyDescent="0.2">
      <c r="A35" s="191"/>
      <c r="B35" s="191"/>
      <c r="C35" s="191"/>
      <c r="D35" s="191" t="s">
        <v>36</v>
      </c>
      <c r="E35" s="191"/>
      <c r="F35" s="191">
        <v>0</v>
      </c>
      <c r="G35" s="191">
        <v>0</v>
      </c>
      <c r="H35" s="191">
        <v>555</v>
      </c>
      <c r="I35" s="191"/>
      <c r="J35" s="191">
        <v>763</v>
      </c>
      <c r="K35" s="191">
        <v>549</v>
      </c>
      <c r="L35" s="191">
        <v>406</v>
      </c>
      <c r="M35" s="191">
        <v>0</v>
      </c>
      <c r="N35" s="191">
        <v>0</v>
      </c>
      <c r="O35" s="191">
        <v>553</v>
      </c>
      <c r="P35" s="191">
        <v>167</v>
      </c>
      <c r="Q35" s="191">
        <v>41</v>
      </c>
      <c r="R35" s="191">
        <v>36</v>
      </c>
      <c r="S35" s="191">
        <v>3070</v>
      </c>
      <c r="U35" s="191"/>
      <c r="V35" s="191"/>
      <c r="W35" s="191"/>
      <c r="X35" s="191"/>
      <c r="Y35" s="191"/>
      <c r="Z35" s="191"/>
    </row>
    <row r="36" spans="1:26" ht="15.75" customHeight="1" x14ac:dyDescent="0.2">
      <c r="A36" s="191"/>
      <c r="B36" s="191"/>
      <c r="C36" s="191"/>
      <c r="D36" s="191" t="s">
        <v>199</v>
      </c>
      <c r="E36" s="191"/>
      <c r="F36" s="191">
        <v>203853</v>
      </c>
      <c r="G36" s="191">
        <v>255957</v>
      </c>
      <c r="H36" s="191">
        <v>418868</v>
      </c>
      <c r="I36" s="191"/>
      <c r="J36" s="191">
        <v>293659</v>
      </c>
      <c r="K36" s="191">
        <v>404245</v>
      </c>
      <c r="L36" s="191">
        <v>381175</v>
      </c>
      <c r="M36" s="191">
        <v>271746</v>
      </c>
      <c r="N36" s="191">
        <v>259393</v>
      </c>
      <c r="O36" s="191">
        <v>340610</v>
      </c>
      <c r="P36" s="191">
        <v>261182</v>
      </c>
      <c r="Q36" s="191">
        <v>318392</v>
      </c>
      <c r="R36" s="191">
        <v>443263</v>
      </c>
      <c r="S36" s="191">
        <v>3852343</v>
      </c>
      <c r="U36" s="191"/>
      <c r="V36" s="191"/>
      <c r="W36" s="191"/>
      <c r="X36" s="191"/>
      <c r="Y36" s="191"/>
      <c r="Z36" s="191"/>
    </row>
    <row r="37" spans="1:26" ht="15.75" customHeight="1" x14ac:dyDescent="0.2">
      <c r="A37" s="191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U37" s="191"/>
      <c r="V37" s="191"/>
      <c r="W37" s="191"/>
      <c r="X37" s="191"/>
      <c r="Y37" s="191"/>
      <c r="Z37" s="191"/>
    </row>
    <row r="38" spans="1:26" ht="15.75" customHeight="1" x14ac:dyDescent="0.25">
      <c r="A38" s="191"/>
      <c r="B38" s="193" t="s">
        <v>38</v>
      </c>
      <c r="C38" s="193"/>
      <c r="D38" s="193"/>
      <c r="E38" s="193"/>
      <c r="F38" s="193">
        <v>68361.87</v>
      </c>
      <c r="G38" s="193">
        <v>-171443.62999999998</v>
      </c>
      <c r="H38" s="193">
        <v>-342947.41000000003</v>
      </c>
      <c r="I38" s="206" t="s">
        <v>194</v>
      </c>
      <c r="J38" s="193">
        <v>67299.112000000023</v>
      </c>
      <c r="K38" s="193">
        <v>-145151.11555116001</v>
      </c>
      <c r="L38" s="193">
        <v>-241611.6248467</v>
      </c>
      <c r="M38" s="193">
        <v>-18916.955938320025</v>
      </c>
      <c r="N38" s="193">
        <v>-84768.274999999907</v>
      </c>
      <c r="O38" s="193">
        <v>-248080.185</v>
      </c>
      <c r="P38" s="193">
        <v>11154.259999999951</v>
      </c>
      <c r="Q38" s="193">
        <v>-157564.95000000007</v>
      </c>
      <c r="R38" s="193">
        <v>-313173</v>
      </c>
      <c r="S38" s="193">
        <v>-1576841.9043361805</v>
      </c>
      <c r="U38" s="191"/>
      <c r="V38" s="191"/>
      <c r="W38" s="191"/>
      <c r="X38" s="191"/>
      <c r="Y38" s="191"/>
      <c r="Z38" s="191"/>
    </row>
    <row r="39" spans="1:26" ht="15.75" customHeight="1" x14ac:dyDescent="0.2">
      <c r="A39" s="191"/>
      <c r="B39" s="191"/>
      <c r="C39" s="191"/>
      <c r="D39" s="191"/>
      <c r="E39" s="191"/>
      <c r="F39" s="191"/>
      <c r="G39" s="196"/>
      <c r="H39" s="196"/>
      <c r="I39" s="196"/>
      <c r="J39" s="196"/>
      <c r="K39" s="196"/>
      <c r="L39" s="191"/>
      <c r="M39" s="191"/>
      <c r="N39" s="191"/>
      <c r="O39" s="191"/>
      <c r="P39" s="191"/>
      <c r="Q39" s="191"/>
      <c r="R39" s="191"/>
      <c r="S39" s="191"/>
      <c r="U39" s="191"/>
      <c r="V39" s="191"/>
      <c r="W39" s="191"/>
      <c r="X39" s="191"/>
      <c r="Y39" s="191"/>
      <c r="Z39" s="191"/>
    </row>
    <row r="40" spans="1:26" ht="15.75" customHeight="1" x14ac:dyDescent="0.25">
      <c r="A40" s="191"/>
      <c r="B40" s="193" t="s">
        <v>39</v>
      </c>
      <c r="C40" s="193"/>
      <c r="D40" s="193"/>
      <c r="E40" s="193"/>
      <c r="F40" s="203">
        <v>211066</v>
      </c>
      <c r="G40" s="203">
        <v>335842</v>
      </c>
      <c r="H40" s="203">
        <v>97212</v>
      </c>
      <c r="I40" s="203"/>
      <c r="J40" s="203">
        <v>155608</v>
      </c>
      <c r="K40" s="203">
        <v>182212</v>
      </c>
      <c r="L40" s="203">
        <v>256270</v>
      </c>
      <c r="M40" s="203">
        <v>164271</v>
      </c>
      <c r="N40" s="203">
        <v>-11544</v>
      </c>
      <c r="O40" s="203">
        <v>-117275</v>
      </c>
      <c r="P40" s="203">
        <v>79389</v>
      </c>
      <c r="Q40" s="203">
        <v>100853</v>
      </c>
      <c r="R40" s="203">
        <v>42449</v>
      </c>
      <c r="S40" s="203">
        <v>1496353</v>
      </c>
      <c r="U40" s="191"/>
      <c r="V40" s="191"/>
      <c r="W40" s="191"/>
      <c r="X40" s="191"/>
      <c r="Y40" s="191"/>
      <c r="Z40" s="191"/>
    </row>
    <row r="41" spans="1:26" ht="15.75" customHeight="1" x14ac:dyDescent="0.2">
      <c r="A41" s="191"/>
      <c r="B41" s="191"/>
      <c r="C41" s="191" t="s">
        <v>40</v>
      </c>
      <c r="D41" s="191"/>
      <c r="E41" s="191"/>
      <c r="F41" s="208">
        <v>59183</v>
      </c>
      <c r="G41" s="208">
        <v>195163</v>
      </c>
      <c r="H41" s="208">
        <v>-60450</v>
      </c>
      <c r="I41" s="208"/>
      <c r="J41" s="208">
        <v>-59275</v>
      </c>
      <c r="K41" s="208">
        <v>-3846</v>
      </c>
      <c r="L41" s="208">
        <v>88745</v>
      </c>
      <c r="M41" s="208">
        <v>11909</v>
      </c>
      <c r="N41" s="208">
        <v>6584</v>
      </c>
      <c r="O41" s="208">
        <v>102</v>
      </c>
      <c r="P41" s="208">
        <v>8826</v>
      </c>
      <c r="Q41" s="208">
        <v>23030</v>
      </c>
      <c r="R41" s="208">
        <v>49603</v>
      </c>
      <c r="S41" s="208">
        <v>319574</v>
      </c>
      <c r="U41" s="191"/>
      <c r="V41" s="191"/>
      <c r="W41" s="191"/>
      <c r="X41" s="191"/>
      <c r="Y41" s="191"/>
      <c r="Z41" s="191"/>
    </row>
    <row r="42" spans="1:26" ht="15.75" customHeight="1" x14ac:dyDescent="0.2">
      <c r="A42" s="191"/>
      <c r="B42" s="191"/>
      <c r="C42" s="191"/>
      <c r="D42" s="191" t="s">
        <v>41</v>
      </c>
      <c r="E42" s="191"/>
      <c r="F42" s="191">
        <v>60941</v>
      </c>
      <c r="G42" s="191">
        <v>198751</v>
      </c>
      <c r="H42" s="191">
        <v>34650</v>
      </c>
      <c r="I42" s="191"/>
      <c r="J42" s="191">
        <v>5350</v>
      </c>
      <c r="K42" s="191">
        <v>6247</v>
      </c>
      <c r="L42" s="191">
        <v>96412</v>
      </c>
      <c r="M42" s="191">
        <v>13567</v>
      </c>
      <c r="N42" s="191">
        <v>10314</v>
      </c>
      <c r="O42" s="191">
        <v>8365</v>
      </c>
      <c r="P42" s="208">
        <v>14756</v>
      </c>
      <c r="Q42" s="208">
        <v>35533</v>
      </c>
      <c r="R42" s="208">
        <v>58357</v>
      </c>
      <c r="S42" s="191">
        <v>543243</v>
      </c>
      <c r="U42" s="191"/>
      <c r="V42" s="191"/>
      <c r="W42" s="191"/>
      <c r="X42" s="191"/>
      <c r="Y42" s="191"/>
      <c r="Z42" s="191"/>
    </row>
    <row r="43" spans="1:26" ht="15.75" customHeight="1" x14ac:dyDescent="0.2">
      <c r="A43" s="191"/>
      <c r="B43" s="191"/>
      <c r="C43" s="191"/>
      <c r="D43" s="191" t="s">
        <v>42</v>
      </c>
      <c r="E43" s="191"/>
      <c r="F43" s="191">
        <v>1758</v>
      </c>
      <c r="G43" s="191">
        <v>3588</v>
      </c>
      <c r="H43" s="191">
        <v>95100</v>
      </c>
      <c r="I43" s="191"/>
      <c r="J43" s="191">
        <v>64625</v>
      </c>
      <c r="K43" s="191">
        <v>10093</v>
      </c>
      <c r="L43" s="191">
        <v>7667</v>
      </c>
      <c r="M43" s="191">
        <v>1658</v>
      </c>
      <c r="N43" s="191">
        <v>3730</v>
      </c>
      <c r="O43" s="191">
        <v>8263</v>
      </c>
      <c r="P43" s="191">
        <v>5930</v>
      </c>
      <c r="Q43" s="191">
        <v>12503</v>
      </c>
      <c r="R43" s="191">
        <v>8754</v>
      </c>
      <c r="S43" s="191">
        <v>223669</v>
      </c>
      <c r="U43" s="191"/>
      <c r="V43" s="191"/>
      <c r="W43" s="191"/>
      <c r="X43" s="191"/>
      <c r="Y43" s="191"/>
      <c r="Z43" s="191"/>
    </row>
    <row r="44" spans="1:26" ht="15.75" customHeight="1" x14ac:dyDescent="0.2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U44" s="191"/>
      <c r="V44" s="191"/>
      <c r="W44" s="191"/>
      <c r="X44" s="191"/>
      <c r="Y44" s="191"/>
      <c r="Z44" s="191"/>
    </row>
    <row r="45" spans="1:26" ht="15.75" customHeight="1" x14ac:dyDescent="0.25">
      <c r="A45" s="191"/>
      <c r="B45" s="191"/>
      <c r="C45" s="191" t="s">
        <v>43</v>
      </c>
      <c r="D45" s="191"/>
      <c r="E45" s="191"/>
      <c r="F45" s="203">
        <v>151883</v>
      </c>
      <c r="G45" s="203">
        <v>140679</v>
      </c>
      <c r="H45" s="203">
        <v>157662</v>
      </c>
      <c r="I45" s="203"/>
      <c r="J45" s="203">
        <v>214883</v>
      </c>
      <c r="K45" s="203">
        <v>186058</v>
      </c>
      <c r="L45" s="203">
        <v>167525</v>
      </c>
      <c r="M45" s="203">
        <v>152362</v>
      </c>
      <c r="N45" s="203">
        <v>-18128</v>
      </c>
      <c r="O45" s="203">
        <v>-117377</v>
      </c>
      <c r="P45" s="203">
        <v>70563</v>
      </c>
      <c r="Q45" s="203">
        <v>77823</v>
      </c>
      <c r="R45" s="203">
        <v>-7154</v>
      </c>
      <c r="S45" s="203">
        <v>1176779</v>
      </c>
      <c r="U45" s="191"/>
      <c r="V45" s="191"/>
      <c r="W45" s="191"/>
      <c r="X45" s="191"/>
      <c r="Y45" s="191"/>
      <c r="Z45" s="191"/>
    </row>
    <row r="46" spans="1:26" ht="15.75" customHeight="1" x14ac:dyDescent="0.2">
      <c r="A46" s="191"/>
      <c r="B46" s="191"/>
      <c r="C46" s="191"/>
      <c r="D46" s="191" t="s">
        <v>44</v>
      </c>
      <c r="E46" s="191"/>
      <c r="F46" s="191">
        <v>152200</v>
      </c>
      <c r="G46" s="191">
        <v>140800</v>
      </c>
      <c r="H46" s="191">
        <v>157800</v>
      </c>
      <c r="I46" s="191"/>
      <c r="J46" s="191">
        <v>384710</v>
      </c>
      <c r="K46" s="191">
        <v>186058</v>
      </c>
      <c r="L46" s="191">
        <v>167579</v>
      </c>
      <c r="M46" s="191">
        <v>152540</v>
      </c>
      <c r="N46" s="191">
        <v>498213</v>
      </c>
      <c r="O46" s="191">
        <v>120548</v>
      </c>
      <c r="P46" s="191">
        <v>73050</v>
      </c>
      <c r="Q46" s="191">
        <v>78000</v>
      </c>
      <c r="R46" s="191">
        <v>-900</v>
      </c>
      <c r="S46" s="191">
        <v>2110598</v>
      </c>
      <c r="U46" s="191"/>
      <c r="V46" s="191"/>
      <c r="W46" s="191"/>
      <c r="X46" s="191"/>
      <c r="Y46" s="191"/>
      <c r="Z46" s="191"/>
    </row>
    <row r="47" spans="1:26" ht="15.75" customHeight="1" x14ac:dyDescent="0.2">
      <c r="A47" s="191"/>
      <c r="B47" s="191"/>
      <c r="C47" s="191"/>
      <c r="D47" s="191" t="s">
        <v>193</v>
      </c>
      <c r="E47" s="191"/>
      <c r="F47" s="191">
        <v>317</v>
      </c>
      <c r="G47" s="191">
        <v>121</v>
      </c>
      <c r="H47" s="191">
        <v>138</v>
      </c>
      <c r="I47" s="191"/>
      <c r="J47" s="191">
        <v>169827</v>
      </c>
      <c r="K47" s="191">
        <v>0</v>
      </c>
      <c r="L47" s="191">
        <v>54</v>
      </c>
      <c r="M47" s="191">
        <v>178</v>
      </c>
      <c r="N47" s="191">
        <v>516341</v>
      </c>
      <c r="O47" s="191">
        <v>237925</v>
      </c>
      <c r="P47" s="191">
        <v>2487</v>
      </c>
      <c r="Q47" s="191">
        <v>177</v>
      </c>
      <c r="R47" s="191">
        <v>6254</v>
      </c>
      <c r="S47" s="191">
        <v>933819</v>
      </c>
      <c r="U47" s="191"/>
      <c r="V47" s="191"/>
      <c r="W47" s="191"/>
      <c r="X47" s="191"/>
      <c r="Y47" s="191"/>
      <c r="Z47" s="191"/>
    </row>
    <row r="48" spans="1:26" ht="14.25" customHeight="1" x14ac:dyDescent="0.2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U48" s="191"/>
      <c r="V48" s="191"/>
      <c r="W48" s="191"/>
      <c r="X48" s="191"/>
      <c r="Y48" s="191"/>
      <c r="Z48" s="191"/>
    </row>
    <row r="49" spans="1:26" ht="16.5" customHeight="1" x14ac:dyDescent="0.25">
      <c r="A49" s="193"/>
      <c r="B49" s="193" t="s">
        <v>196</v>
      </c>
      <c r="C49" s="193"/>
      <c r="D49" s="193"/>
      <c r="E49" s="193"/>
      <c r="F49" s="193">
        <v>279427.87</v>
      </c>
      <c r="G49" s="193">
        <v>164398.37000000002</v>
      </c>
      <c r="H49" s="193">
        <v>-245735.41000000003</v>
      </c>
      <c r="I49" s="193"/>
      <c r="J49" s="193">
        <v>222907.11200000002</v>
      </c>
      <c r="K49" s="193">
        <v>37060.884448839992</v>
      </c>
      <c r="L49" s="193">
        <v>14658.375153300003</v>
      </c>
      <c r="M49" s="193">
        <v>145354.04406167998</v>
      </c>
      <c r="N49" s="193">
        <v>-96312.274999999907</v>
      </c>
      <c r="O49" s="193">
        <v>-365355.185</v>
      </c>
      <c r="P49" s="193">
        <v>90543.259999999951</v>
      </c>
      <c r="Q49" s="193">
        <v>-56711.95000000007</v>
      </c>
      <c r="R49" s="193">
        <v>-270724</v>
      </c>
      <c r="S49" s="193">
        <v>-80488.904336180072</v>
      </c>
      <c r="U49" s="193"/>
      <c r="V49" s="191"/>
      <c r="W49" s="193"/>
      <c r="X49" s="193"/>
      <c r="Y49" s="193"/>
      <c r="Z49" s="193"/>
    </row>
    <row r="50" spans="1:26" ht="15.75" customHeight="1" thickBot="1" x14ac:dyDescent="0.25">
      <c r="A50" s="209"/>
      <c r="B50" s="209"/>
      <c r="C50" s="209"/>
      <c r="D50" s="209"/>
      <c r="E50" s="209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U50" s="191"/>
      <c r="V50" s="191"/>
      <c r="W50" s="191"/>
      <c r="X50" s="191"/>
      <c r="Y50" s="191"/>
      <c r="Z50" s="191"/>
    </row>
    <row r="51" spans="1:26" ht="15.75" customHeight="1" thickTop="1" x14ac:dyDescent="0.2">
      <c r="A51" s="210" t="s">
        <v>48</v>
      </c>
      <c r="B51" s="210"/>
      <c r="C51" s="210"/>
      <c r="D51" s="210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1"/>
      <c r="U51" s="211"/>
      <c r="V51" s="211"/>
      <c r="W51" s="211"/>
      <c r="X51" s="211"/>
      <c r="Y51" s="211"/>
      <c r="Z51" s="211"/>
    </row>
    <row r="52" spans="1:26" ht="57.75" customHeight="1" x14ac:dyDescent="0.2">
      <c r="A52" s="210"/>
      <c r="B52" s="212" t="s">
        <v>181</v>
      </c>
      <c r="C52" s="213"/>
      <c r="D52" s="213"/>
      <c r="E52" s="213"/>
      <c r="F52" s="213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1"/>
      <c r="U52" s="211"/>
      <c r="V52" s="211"/>
      <c r="W52" s="211"/>
      <c r="X52" s="211"/>
      <c r="Y52" s="211"/>
      <c r="Z52" s="211"/>
    </row>
    <row r="53" spans="1:26" ht="14.25" customHeight="1" x14ac:dyDescent="0.2">
      <c r="A53" s="215" t="s">
        <v>178</v>
      </c>
      <c r="B53" s="216" t="s">
        <v>190</v>
      </c>
      <c r="C53" s="216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1"/>
      <c r="U53" s="211"/>
      <c r="V53" s="211"/>
      <c r="W53" s="211"/>
      <c r="X53" s="211"/>
      <c r="Y53" s="211"/>
      <c r="Z53" s="211"/>
    </row>
    <row r="54" spans="1:26" ht="14.25" customHeight="1" x14ac:dyDescent="0.2">
      <c r="A54" s="215"/>
      <c r="B54" s="216" t="s">
        <v>191</v>
      </c>
      <c r="C54" s="216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1"/>
      <c r="U54" s="211"/>
      <c r="V54" s="211"/>
      <c r="W54" s="211"/>
      <c r="X54" s="211"/>
      <c r="Y54" s="211"/>
      <c r="Z54" s="211"/>
    </row>
    <row r="55" spans="1:26" ht="14.25" customHeight="1" x14ac:dyDescent="0.2">
      <c r="A55" s="217" t="s">
        <v>85</v>
      </c>
      <c r="B55" s="216" t="s">
        <v>185</v>
      </c>
      <c r="C55" s="216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1"/>
      <c r="U55" s="211"/>
      <c r="V55" s="211"/>
      <c r="W55" s="211"/>
      <c r="X55" s="211"/>
      <c r="Y55" s="211"/>
      <c r="Z55" s="211"/>
    </row>
    <row r="56" spans="1:26" ht="18.75" customHeight="1" x14ac:dyDescent="0.2">
      <c r="A56" s="218" t="s">
        <v>194</v>
      </c>
      <c r="B56" s="219" t="s">
        <v>195</v>
      </c>
      <c r="C56" s="220"/>
      <c r="D56" s="220"/>
      <c r="E56" s="221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1"/>
      <c r="U56" s="211"/>
      <c r="V56" s="211"/>
      <c r="W56" s="211"/>
      <c r="X56" s="211"/>
      <c r="Y56" s="211"/>
      <c r="Z56" s="211"/>
    </row>
    <row r="57" spans="1:26" ht="18.75" customHeight="1" x14ac:dyDescent="0.2">
      <c r="A57" s="217"/>
      <c r="B57" s="219"/>
      <c r="C57" s="220"/>
      <c r="D57" s="220"/>
      <c r="E57" s="221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1"/>
      <c r="U57" s="211"/>
      <c r="V57" s="211"/>
      <c r="W57" s="211"/>
      <c r="X57" s="211"/>
      <c r="Y57" s="211"/>
      <c r="Z57" s="211"/>
    </row>
    <row r="58" spans="1:26" ht="15.75" customHeight="1" x14ac:dyDescent="0.2">
      <c r="A58" s="222" t="s">
        <v>188</v>
      </c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11"/>
      <c r="U58" s="211"/>
      <c r="V58" s="211"/>
      <c r="W58" s="211"/>
      <c r="X58" s="211"/>
      <c r="Y58" s="211"/>
      <c r="Z58" s="211"/>
    </row>
    <row r="59" spans="1:26" ht="15.75" customHeight="1" x14ac:dyDescent="0.2">
      <c r="A59" s="210" t="s">
        <v>52</v>
      </c>
      <c r="B59" s="210"/>
      <c r="C59" s="210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1"/>
      <c r="U59" s="211"/>
      <c r="V59" s="211"/>
      <c r="W59" s="211"/>
      <c r="X59" s="211"/>
      <c r="Y59" s="211"/>
      <c r="Z59" s="211"/>
    </row>
    <row r="60" spans="1:26" ht="11.25" customHeight="1" x14ac:dyDescent="0.2">
      <c r="A60" s="224" t="s">
        <v>200</v>
      </c>
      <c r="B60" s="213"/>
      <c r="C60" s="213"/>
      <c r="D60" s="213"/>
      <c r="E60" s="213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191"/>
      <c r="U60" s="191"/>
      <c r="V60" s="225"/>
      <c r="W60" s="191"/>
      <c r="X60" s="191"/>
      <c r="Y60" s="191"/>
      <c r="Z60" s="191"/>
    </row>
    <row r="61" spans="1:26" ht="15.75" customHeight="1" x14ac:dyDescent="0.2">
      <c r="A61" s="202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U61" s="191"/>
      <c r="V61" s="191"/>
      <c r="W61" s="191"/>
      <c r="X61" s="191"/>
      <c r="Y61" s="191"/>
      <c r="Z61" s="191"/>
    </row>
    <row r="62" spans="1:26" ht="21" customHeight="1" x14ac:dyDescent="0.2">
      <c r="A62" s="205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U62" s="191"/>
      <c r="V62" s="191"/>
      <c r="W62" s="191"/>
      <c r="X62" s="191"/>
      <c r="Y62" s="191"/>
      <c r="Z62" s="191"/>
    </row>
    <row r="63" spans="1:26" ht="15.75" customHeight="1" x14ac:dyDescent="0.2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U63" s="191"/>
      <c r="V63" s="191"/>
      <c r="W63" s="191"/>
      <c r="X63" s="191"/>
      <c r="Y63" s="191"/>
      <c r="Z63" s="191"/>
    </row>
    <row r="64" spans="1:26" ht="15.75" customHeight="1" x14ac:dyDescent="0.2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U64" s="191"/>
      <c r="V64" s="191"/>
      <c r="W64" s="191"/>
      <c r="X64" s="191"/>
      <c r="Y64" s="191"/>
      <c r="Z64" s="191"/>
    </row>
    <row r="65" spans="1:26" ht="15.75" customHeight="1" x14ac:dyDescent="0.2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U65" s="191"/>
      <c r="V65" s="191"/>
      <c r="W65" s="191"/>
      <c r="X65" s="191"/>
      <c r="Y65" s="191"/>
      <c r="Z65" s="191"/>
    </row>
    <row r="66" spans="1:26" ht="15.75" customHeight="1" x14ac:dyDescent="0.2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U66" s="191"/>
      <c r="V66" s="191"/>
      <c r="W66" s="191"/>
      <c r="X66" s="191"/>
      <c r="Y66" s="191"/>
      <c r="Z66" s="191"/>
    </row>
    <row r="67" spans="1:26" ht="15.75" customHeight="1" x14ac:dyDescent="0.2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U67" s="191"/>
      <c r="V67" s="191"/>
      <c r="W67" s="191"/>
      <c r="X67" s="191"/>
      <c r="Y67" s="191"/>
      <c r="Z67" s="191"/>
    </row>
    <row r="68" spans="1:26" ht="15.75" customHeight="1" x14ac:dyDescent="0.2">
      <c r="A68" s="191"/>
      <c r="B68" s="191"/>
      <c r="C68" s="191"/>
      <c r="D68" s="191"/>
      <c r="E68" s="191"/>
      <c r="F68" s="202"/>
      <c r="G68" s="202"/>
      <c r="H68" s="202"/>
      <c r="I68" s="202"/>
      <c r="J68" s="202"/>
      <c r="K68" s="202"/>
      <c r="L68" s="191"/>
      <c r="M68" s="191"/>
      <c r="N68" s="191"/>
      <c r="O68" s="191"/>
      <c r="P68" s="191"/>
      <c r="Q68" s="191"/>
      <c r="R68" s="191"/>
      <c r="S68" s="191"/>
      <c r="U68" s="191"/>
      <c r="V68" s="191"/>
      <c r="W68" s="191"/>
      <c r="X68" s="191"/>
      <c r="Y68" s="191"/>
      <c r="Z68" s="191"/>
    </row>
    <row r="69" spans="1:26" ht="15.75" customHeight="1" x14ac:dyDescent="0.2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U69" s="191"/>
      <c r="V69" s="191"/>
      <c r="W69" s="191"/>
      <c r="X69" s="191"/>
      <c r="Y69" s="191"/>
      <c r="Z69" s="191"/>
    </row>
    <row r="70" spans="1:26" ht="15.75" customHeight="1" x14ac:dyDescent="0.2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U70" s="191"/>
      <c r="V70" s="191"/>
      <c r="W70" s="191"/>
      <c r="X70" s="191"/>
      <c r="Y70" s="191"/>
      <c r="Z70" s="191"/>
    </row>
    <row r="71" spans="1:26" ht="15.75" customHeight="1" x14ac:dyDescent="0.2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U71" s="191"/>
      <c r="V71" s="191"/>
      <c r="W71" s="191"/>
      <c r="X71" s="191"/>
      <c r="Y71" s="191"/>
      <c r="Z71" s="191"/>
    </row>
    <row r="72" spans="1:26" ht="15.75" customHeight="1" x14ac:dyDescent="0.2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U72" s="191"/>
      <c r="V72" s="191"/>
      <c r="W72" s="191"/>
      <c r="X72" s="191"/>
      <c r="Y72" s="191"/>
      <c r="Z72" s="191"/>
    </row>
    <row r="73" spans="1:26" ht="15.75" customHeight="1" x14ac:dyDescent="0.2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U73" s="191"/>
      <c r="V73" s="191"/>
      <c r="W73" s="191"/>
      <c r="X73" s="191"/>
      <c r="Y73" s="191"/>
      <c r="Z73" s="191"/>
    </row>
    <row r="74" spans="1:26" ht="15.75" customHeight="1" x14ac:dyDescent="0.2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U74" s="191"/>
      <c r="V74" s="191"/>
      <c r="W74" s="191"/>
      <c r="X74" s="191"/>
      <c r="Y74" s="191"/>
      <c r="Z74" s="191"/>
    </row>
    <row r="75" spans="1:26" ht="15.75" customHeight="1" x14ac:dyDescent="0.2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U75" s="191"/>
      <c r="V75" s="191"/>
      <c r="W75" s="191"/>
      <c r="X75" s="191"/>
      <c r="Y75" s="191"/>
      <c r="Z75" s="191"/>
    </row>
    <row r="76" spans="1:26" ht="15.75" customHeight="1" x14ac:dyDescent="0.2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U76" s="191"/>
      <c r="V76" s="191"/>
      <c r="W76" s="191"/>
      <c r="X76" s="191"/>
      <c r="Y76" s="191"/>
      <c r="Z76" s="191"/>
    </row>
    <row r="77" spans="1:26" ht="15.75" customHeight="1" x14ac:dyDescent="0.2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U77" s="191"/>
      <c r="V77" s="191"/>
      <c r="W77" s="191"/>
      <c r="X77" s="191"/>
      <c r="Y77" s="191"/>
      <c r="Z77" s="191"/>
    </row>
    <row r="78" spans="1:26" ht="15.75" customHeight="1" x14ac:dyDescent="0.2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U78" s="191"/>
      <c r="V78" s="191"/>
      <c r="W78" s="191"/>
      <c r="X78" s="191"/>
      <c r="Y78" s="191"/>
      <c r="Z78" s="191"/>
    </row>
    <row r="79" spans="1:26" ht="15.75" customHeight="1" x14ac:dyDescent="0.2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U79" s="191"/>
      <c r="V79" s="191"/>
      <c r="W79" s="191"/>
      <c r="X79" s="191"/>
      <c r="Y79" s="191"/>
      <c r="Z79" s="191"/>
    </row>
    <row r="80" spans="1:26" ht="15.75" customHeight="1" x14ac:dyDescent="0.2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U80" s="191"/>
      <c r="V80" s="191"/>
      <c r="W80" s="191"/>
      <c r="X80" s="191"/>
      <c r="Y80" s="191"/>
      <c r="Z80" s="191"/>
    </row>
    <row r="81" spans="1:26" ht="15.75" customHeight="1" x14ac:dyDescent="0.2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U81" s="191"/>
      <c r="V81" s="191"/>
      <c r="W81" s="191"/>
      <c r="X81" s="191"/>
      <c r="Y81" s="191"/>
      <c r="Z81" s="191"/>
    </row>
    <row r="82" spans="1:26" ht="15.75" customHeight="1" x14ac:dyDescent="0.2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U82" s="191"/>
      <c r="V82" s="191"/>
      <c r="W82" s="191"/>
      <c r="X82" s="191"/>
      <c r="Y82" s="191"/>
      <c r="Z82" s="191"/>
    </row>
    <row r="83" spans="1:26" ht="15.75" customHeight="1" x14ac:dyDescent="0.2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U83" s="191"/>
      <c r="V83" s="191"/>
      <c r="W83" s="191"/>
      <c r="X83" s="191"/>
      <c r="Y83" s="191"/>
      <c r="Z83" s="191"/>
    </row>
    <row r="84" spans="1:26" ht="15.75" customHeight="1" x14ac:dyDescent="0.2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U84" s="191"/>
      <c r="V84" s="191"/>
      <c r="W84" s="191"/>
      <c r="X84" s="191"/>
      <c r="Y84" s="191"/>
      <c r="Z84" s="191"/>
    </row>
    <row r="85" spans="1:26" ht="15.75" customHeight="1" x14ac:dyDescent="0.2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U85" s="191"/>
      <c r="V85" s="191"/>
      <c r="W85" s="191"/>
      <c r="X85" s="191"/>
      <c r="Y85" s="191"/>
      <c r="Z85" s="191"/>
    </row>
    <row r="86" spans="1:26" ht="15.75" customHeight="1" x14ac:dyDescent="0.2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U86" s="191"/>
      <c r="V86" s="191"/>
      <c r="W86" s="191"/>
      <c r="X86" s="191"/>
      <c r="Y86" s="191"/>
      <c r="Z86" s="191"/>
    </row>
    <row r="87" spans="1:26" ht="15.75" customHeight="1" x14ac:dyDescent="0.2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U87" s="191"/>
      <c r="V87" s="191"/>
      <c r="W87" s="191"/>
      <c r="X87" s="191"/>
      <c r="Y87" s="191"/>
      <c r="Z87" s="191"/>
    </row>
    <row r="88" spans="1:26" ht="15.75" customHeight="1" x14ac:dyDescent="0.2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U88" s="191"/>
      <c r="V88" s="191"/>
      <c r="W88" s="191"/>
      <c r="X88" s="191"/>
      <c r="Y88" s="191"/>
      <c r="Z88" s="191"/>
    </row>
    <row r="89" spans="1:26" ht="15.75" customHeight="1" x14ac:dyDescent="0.2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U89" s="191"/>
      <c r="V89" s="191"/>
      <c r="W89" s="191"/>
      <c r="X89" s="191"/>
      <c r="Y89" s="191"/>
      <c r="Z89" s="191"/>
    </row>
    <row r="90" spans="1:26" ht="15.75" customHeight="1" x14ac:dyDescent="0.2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U90" s="191"/>
      <c r="V90" s="191"/>
      <c r="W90" s="191"/>
      <c r="X90" s="191"/>
      <c r="Y90" s="191"/>
      <c r="Z90" s="191"/>
    </row>
    <row r="91" spans="1:26" ht="15.75" customHeight="1" x14ac:dyDescent="0.2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U91" s="191"/>
      <c r="V91" s="191"/>
      <c r="W91" s="191"/>
      <c r="X91" s="191"/>
      <c r="Y91" s="191"/>
      <c r="Z91" s="191"/>
    </row>
    <row r="92" spans="1:26" ht="15.75" customHeight="1" x14ac:dyDescent="0.2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U92" s="191"/>
      <c r="V92" s="191"/>
      <c r="W92" s="191"/>
      <c r="X92" s="191"/>
      <c r="Y92" s="191"/>
      <c r="Z92" s="191"/>
    </row>
    <row r="93" spans="1:26" ht="15.75" customHeight="1" x14ac:dyDescent="0.2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U93" s="191"/>
      <c r="V93" s="191"/>
      <c r="W93" s="191"/>
      <c r="X93" s="191"/>
      <c r="Y93" s="191"/>
      <c r="Z93" s="191"/>
    </row>
    <row r="94" spans="1:26" ht="15.75" customHeight="1" x14ac:dyDescent="0.2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U94" s="191"/>
      <c r="V94" s="191"/>
      <c r="W94" s="191"/>
      <c r="X94" s="191"/>
      <c r="Y94" s="191"/>
      <c r="Z94" s="191"/>
    </row>
    <row r="95" spans="1:26" ht="15.75" customHeight="1" x14ac:dyDescent="0.2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U95" s="191"/>
      <c r="V95" s="191"/>
      <c r="W95" s="191"/>
      <c r="X95" s="191"/>
      <c r="Y95" s="191"/>
      <c r="Z95" s="191"/>
    </row>
    <row r="96" spans="1:26" ht="15.75" customHeight="1" x14ac:dyDescent="0.2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U96" s="191"/>
      <c r="V96" s="191"/>
      <c r="W96" s="191"/>
      <c r="X96" s="191"/>
      <c r="Y96" s="191"/>
      <c r="Z96" s="191"/>
    </row>
    <row r="97" spans="1:26" ht="15.75" customHeight="1" x14ac:dyDescent="0.2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U97" s="191"/>
      <c r="V97" s="191"/>
      <c r="W97" s="191"/>
      <c r="X97" s="191"/>
      <c r="Y97" s="191"/>
      <c r="Z97" s="191"/>
    </row>
    <row r="98" spans="1:26" ht="15.75" customHeight="1" x14ac:dyDescent="0.2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U98" s="191"/>
      <c r="V98" s="191"/>
      <c r="W98" s="191"/>
      <c r="X98" s="191"/>
      <c r="Y98" s="191"/>
      <c r="Z98" s="191"/>
    </row>
    <row r="99" spans="1:26" ht="15.75" customHeight="1" x14ac:dyDescent="0.2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U99" s="191"/>
      <c r="V99" s="191"/>
      <c r="W99" s="191"/>
      <c r="X99" s="191"/>
      <c r="Y99" s="191"/>
      <c r="Z99" s="191"/>
    </row>
    <row r="100" spans="1:26" ht="15.75" customHeight="1" x14ac:dyDescent="0.2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U100" s="191"/>
      <c r="V100" s="191"/>
      <c r="W100" s="191"/>
      <c r="X100" s="191"/>
      <c r="Y100" s="191"/>
      <c r="Z100" s="191"/>
    </row>
    <row r="101" spans="1:26" ht="15.75" customHeight="1" x14ac:dyDescent="0.2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U101" s="191"/>
      <c r="V101" s="191"/>
      <c r="W101" s="191"/>
      <c r="X101" s="191"/>
      <c r="Y101" s="191"/>
      <c r="Z101" s="191"/>
    </row>
    <row r="102" spans="1:26" ht="15.75" customHeight="1" x14ac:dyDescent="0.2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U102" s="191"/>
      <c r="V102" s="191"/>
      <c r="W102" s="191"/>
      <c r="X102" s="191"/>
      <c r="Y102" s="191"/>
      <c r="Z102" s="191"/>
    </row>
    <row r="103" spans="1:26" ht="15.75" customHeight="1" x14ac:dyDescent="0.2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U103" s="191"/>
      <c r="V103" s="191"/>
      <c r="W103" s="191"/>
      <c r="X103" s="191"/>
      <c r="Y103" s="191"/>
      <c r="Z103" s="191"/>
    </row>
    <row r="104" spans="1:26" ht="15.75" customHeight="1" x14ac:dyDescent="0.2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U104" s="191"/>
      <c r="V104" s="191"/>
      <c r="W104" s="191"/>
      <c r="X104" s="191"/>
      <c r="Y104" s="191"/>
      <c r="Z104" s="191"/>
    </row>
    <row r="105" spans="1:26" ht="15.75" customHeight="1" x14ac:dyDescent="0.2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U105" s="191"/>
      <c r="V105" s="191"/>
      <c r="W105" s="191"/>
      <c r="X105" s="191"/>
      <c r="Y105" s="191"/>
      <c r="Z105" s="191"/>
    </row>
    <row r="106" spans="1:26" ht="15.75" customHeight="1" x14ac:dyDescent="0.2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U106" s="191"/>
      <c r="V106" s="191"/>
      <c r="W106" s="191"/>
      <c r="X106" s="191"/>
      <c r="Y106" s="191"/>
      <c r="Z106" s="191"/>
    </row>
    <row r="107" spans="1:26" ht="15.75" customHeight="1" x14ac:dyDescent="0.2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U107" s="191"/>
      <c r="V107" s="191"/>
      <c r="W107" s="191"/>
      <c r="X107" s="191"/>
      <c r="Y107" s="191"/>
      <c r="Z107" s="191"/>
    </row>
    <row r="108" spans="1:26" ht="15.75" customHeight="1" x14ac:dyDescent="0.2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U108" s="191"/>
      <c r="V108" s="191"/>
      <c r="W108" s="191"/>
      <c r="X108" s="191"/>
      <c r="Y108" s="191"/>
      <c r="Z108" s="191"/>
    </row>
    <row r="109" spans="1:26" ht="15.75" customHeight="1" x14ac:dyDescent="0.2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U109" s="191"/>
      <c r="V109" s="191"/>
      <c r="W109" s="191"/>
      <c r="X109" s="191"/>
      <c r="Y109" s="191"/>
      <c r="Z109" s="191"/>
    </row>
    <row r="110" spans="1:26" ht="15.75" customHeight="1" x14ac:dyDescent="0.2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U110" s="191"/>
      <c r="V110" s="191"/>
      <c r="W110" s="191"/>
      <c r="X110" s="191"/>
      <c r="Y110" s="191"/>
      <c r="Z110" s="191"/>
    </row>
    <row r="111" spans="1:26" ht="15.75" customHeight="1" x14ac:dyDescent="0.2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U111" s="191"/>
      <c r="V111" s="191"/>
      <c r="W111" s="191"/>
      <c r="X111" s="191"/>
      <c r="Y111" s="191"/>
      <c r="Z111" s="191"/>
    </row>
    <row r="112" spans="1:26" ht="15.75" customHeight="1" x14ac:dyDescent="0.2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U112" s="191"/>
      <c r="V112" s="191"/>
      <c r="W112" s="191"/>
      <c r="X112" s="191"/>
      <c r="Y112" s="191"/>
      <c r="Z112" s="191"/>
    </row>
    <row r="113" spans="1:26" ht="15.75" customHeight="1" x14ac:dyDescent="0.2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U113" s="191"/>
      <c r="V113" s="191"/>
      <c r="W113" s="191"/>
      <c r="X113" s="191"/>
      <c r="Y113" s="191"/>
      <c r="Z113" s="191"/>
    </row>
    <row r="114" spans="1:26" ht="15.75" customHeight="1" x14ac:dyDescent="0.2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U114" s="191"/>
      <c r="V114" s="191"/>
      <c r="W114" s="191"/>
      <c r="X114" s="191"/>
      <c r="Y114" s="191"/>
      <c r="Z114" s="191"/>
    </row>
    <row r="115" spans="1:26" ht="15.75" customHeight="1" x14ac:dyDescent="0.2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U115" s="191"/>
      <c r="V115" s="191"/>
      <c r="W115" s="191"/>
      <c r="X115" s="191"/>
      <c r="Y115" s="191"/>
      <c r="Z115" s="191"/>
    </row>
    <row r="116" spans="1:26" ht="15.75" customHeight="1" x14ac:dyDescent="0.2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U116" s="191"/>
      <c r="V116" s="191"/>
      <c r="W116" s="191"/>
      <c r="X116" s="191"/>
      <c r="Y116" s="191"/>
      <c r="Z116" s="191"/>
    </row>
    <row r="117" spans="1:26" ht="15.75" customHeight="1" x14ac:dyDescent="0.2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U117" s="191"/>
      <c r="V117" s="191"/>
      <c r="W117" s="191"/>
      <c r="X117" s="191"/>
      <c r="Y117" s="191"/>
      <c r="Z117" s="191"/>
    </row>
    <row r="118" spans="1:26" ht="15.75" customHeight="1" x14ac:dyDescent="0.2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U118" s="191"/>
      <c r="V118" s="191"/>
      <c r="W118" s="191"/>
      <c r="X118" s="191"/>
      <c r="Y118" s="191"/>
      <c r="Z118" s="191"/>
    </row>
    <row r="119" spans="1:26" ht="15.75" customHeight="1" x14ac:dyDescent="0.2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U119" s="191"/>
      <c r="V119" s="191"/>
      <c r="W119" s="191"/>
      <c r="X119" s="191"/>
      <c r="Y119" s="191"/>
      <c r="Z119" s="191"/>
    </row>
    <row r="120" spans="1:26" ht="15.75" customHeight="1" x14ac:dyDescent="0.2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U120" s="191"/>
      <c r="V120" s="191"/>
      <c r="W120" s="191"/>
      <c r="X120" s="191"/>
      <c r="Y120" s="191"/>
      <c r="Z120" s="191"/>
    </row>
    <row r="121" spans="1:26" ht="15.75" customHeight="1" x14ac:dyDescent="0.2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U121" s="191"/>
      <c r="V121" s="191"/>
      <c r="W121" s="191"/>
      <c r="X121" s="191"/>
      <c r="Y121" s="191"/>
      <c r="Z121" s="191"/>
    </row>
    <row r="122" spans="1:26" ht="15.75" customHeight="1" x14ac:dyDescent="0.2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U122" s="191"/>
      <c r="V122" s="191"/>
      <c r="W122" s="191"/>
      <c r="X122" s="191"/>
      <c r="Y122" s="191"/>
      <c r="Z122" s="191"/>
    </row>
    <row r="123" spans="1:26" ht="15.75" customHeight="1" x14ac:dyDescent="0.2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U123" s="191"/>
      <c r="V123" s="191"/>
      <c r="W123" s="191"/>
      <c r="X123" s="191"/>
      <c r="Y123" s="191"/>
      <c r="Z123" s="191"/>
    </row>
    <row r="124" spans="1:26" ht="15.75" customHeight="1" x14ac:dyDescent="0.2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U124" s="191"/>
      <c r="V124" s="191"/>
      <c r="W124" s="191"/>
      <c r="X124" s="191"/>
      <c r="Y124" s="191"/>
      <c r="Z124" s="191"/>
    </row>
    <row r="125" spans="1:26" ht="15.75" customHeight="1" x14ac:dyDescent="0.2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U125" s="191"/>
      <c r="V125" s="191"/>
      <c r="W125" s="191"/>
      <c r="X125" s="191"/>
      <c r="Y125" s="191"/>
      <c r="Z125" s="191"/>
    </row>
    <row r="126" spans="1:26" ht="15.75" customHeight="1" x14ac:dyDescent="0.2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U126" s="191"/>
      <c r="V126" s="191"/>
      <c r="W126" s="191"/>
      <c r="X126" s="191"/>
      <c r="Y126" s="191"/>
      <c r="Z126" s="191"/>
    </row>
    <row r="127" spans="1:26" ht="15.75" customHeight="1" x14ac:dyDescent="0.2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U127" s="191"/>
      <c r="V127" s="191"/>
      <c r="W127" s="191"/>
      <c r="X127" s="191"/>
      <c r="Y127" s="191"/>
      <c r="Z127" s="191"/>
    </row>
    <row r="128" spans="1:26" ht="15.75" customHeight="1" x14ac:dyDescent="0.2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U128" s="191"/>
      <c r="V128" s="191"/>
      <c r="W128" s="191"/>
      <c r="X128" s="191"/>
      <c r="Y128" s="191"/>
      <c r="Z128" s="191"/>
    </row>
    <row r="129" spans="1:26" ht="15.75" customHeight="1" x14ac:dyDescent="0.2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U129" s="191"/>
      <c r="V129" s="191"/>
      <c r="W129" s="191"/>
      <c r="X129" s="191"/>
      <c r="Y129" s="191"/>
      <c r="Z129" s="191"/>
    </row>
    <row r="130" spans="1:26" ht="15.75" customHeight="1" x14ac:dyDescent="0.2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U130" s="191"/>
      <c r="V130" s="191"/>
      <c r="W130" s="191"/>
      <c r="X130" s="191"/>
      <c r="Y130" s="191"/>
      <c r="Z130" s="191"/>
    </row>
    <row r="131" spans="1:26" ht="15.75" customHeight="1" x14ac:dyDescent="0.2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U131" s="191"/>
      <c r="V131" s="191"/>
      <c r="W131" s="191"/>
      <c r="X131" s="191"/>
      <c r="Y131" s="191"/>
      <c r="Z131" s="191"/>
    </row>
    <row r="132" spans="1:26" ht="15.75" customHeight="1" x14ac:dyDescent="0.2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U132" s="191"/>
      <c r="V132" s="191"/>
      <c r="W132" s="191"/>
      <c r="X132" s="191"/>
      <c r="Y132" s="191"/>
      <c r="Z132" s="191"/>
    </row>
    <row r="133" spans="1:26" ht="15.75" customHeight="1" x14ac:dyDescent="0.2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U133" s="191"/>
      <c r="V133" s="191"/>
      <c r="W133" s="191"/>
      <c r="X133" s="191"/>
      <c r="Y133" s="191"/>
      <c r="Z133" s="191"/>
    </row>
    <row r="134" spans="1:26" ht="15.75" customHeight="1" x14ac:dyDescent="0.2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U134" s="191"/>
      <c r="V134" s="191"/>
      <c r="W134" s="191"/>
      <c r="X134" s="191"/>
      <c r="Y134" s="191"/>
      <c r="Z134" s="191"/>
    </row>
    <row r="135" spans="1:26" ht="15.75" customHeight="1" x14ac:dyDescent="0.2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U135" s="191"/>
      <c r="V135" s="191"/>
      <c r="W135" s="191"/>
      <c r="X135" s="191"/>
      <c r="Y135" s="191"/>
      <c r="Z135" s="191"/>
    </row>
    <row r="136" spans="1:26" ht="15.75" customHeight="1" x14ac:dyDescent="0.2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U136" s="191"/>
      <c r="V136" s="191"/>
      <c r="W136" s="191"/>
      <c r="X136" s="191"/>
      <c r="Y136" s="191"/>
      <c r="Z136" s="191"/>
    </row>
    <row r="137" spans="1:26" ht="15.75" customHeight="1" x14ac:dyDescent="0.2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U137" s="191"/>
      <c r="V137" s="191"/>
      <c r="W137" s="191"/>
      <c r="X137" s="191"/>
      <c r="Y137" s="191"/>
      <c r="Z137" s="191"/>
    </row>
    <row r="138" spans="1:26" ht="15.75" customHeight="1" x14ac:dyDescent="0.2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U138" s="191"/>
      <c r="V138" s="191"/>
      <c r="W138" s="191"/>
      <c r="X138" s="191"/>
      <c r="Y138" s="191"/>
      <c r="Z138" s="191"/>
    </row>
    <row r="139" spans="1:26" ht="15.75" customHeight="1" x14ac:dyDescent="0.2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U139" s="191"/>
      <c r="V139" s="191"/>
      <c r="W139" s="191"/>
      <c r="X139" s="191"/>
      <c r="Y139" s="191"/>
      <c r="Z139" s="191"/>
    </row>
    <row r="140" spans="1:26" ht="15.75" customHeight="1" x14ac:dyDescent="0.2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U140" s="191"/>
      <c r="V140" s="191"/>
      <c r="W140" s="191"/>
      <c r="X140" s="191"/>
      <c r="Y140" s="191"/>
      <c r="Z140" s="191"/>
    </row>
    <row r="141" spans="1:26" ht="15.75" customHeight="1" x14ac:dyDescent="0.2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U141" s="191"/>
      <c r="V141" s="191"/>
      <c r="W141" s="191"/>
      <c r="X141" s="191"/>
      <c r="Y141" s="191"/>
      <c r="Z141" s="191"/>
    </row>
    <row r="142" spans="1:26" ht="15.75" customHeight="1" x14ac:dyDescent="0.2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U142" s="191"/>
      <c r="V142" s="191"/>
      <c r="W142" s="191"/>
      <c r="X142" s="191"/>
      <c r="Y142" s="191"/>
      <c r="Z142" s="191"/>
    </row>
    <row r="143" spans="1:26" ht="15.75" customHeight="1" x14ac:dyDescent="0.2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U143" s="191"/>
      <c r="V143" s="191"/>
      <c r="W143" s="191"/>
      <c r="X143" s="191"/>
      <c r="Y143" s="191"/>
      <c r="Z143" s="191"/>
    </row>
    <row r="144" spans="1:26" ht="15.75" customHeight="1" x14ac:dyDescent="0.2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U144" s="191"/>
      <c r="V144" s="191"/>
      <c r="W144" s="191"/>
      <c r="X144" s="191"/>
      <c r="Y144" s="191"/>
      <c r="Z144" s="191"/>
    </row>
    <row r="145" spans="1:26" ht="15.75" customHeight="1" x14ac:dyDescent="0.2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U145" s="191"/>
      <c r="V145" s="191"/>
      <c r="W145" s="191"/>
      <c r="X145" s="191"/>
      <c r="Y145" s="191"/>
      <c r="Z145" s="191"/>
    </row>
    <row r="146" spans="1:26" ht="15.75" customHeight="1" x14ac:dyDescent="0.2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U146" s="191"/>
      <c r="V146" s="191"/>
      <c r="W146" s="191"/>
      <c r="X146" s="191"/>
      <c r="Y146" s="191"/>
      <c r="Z146" s="191"/>
    </row>
    <row r="147" spans="1:26" ht="15.75" customHeight="1" x14ac:dyDescent="0.2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U147" s="191"/>
      <c r="V147" s="191"/>
      <c r="W147" s="191"/>
      <c r="X147" s="191"/>
      <c r="Y147" s="191"/>
      <c r="Z147" s="191"/>
    </row>
    <row r="148" spans="1:26" ht="15.75" customHeight="1" x14ac:dyDescent="0.2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U148" s="191"/>
      <c r="V148" s="191"/>
      <c r="W148" s="191"/>
      <c r="X148" s="191"/>
      <c r="Y148" s="191"/>
      <c r="Z148" s="191"/>
    </row>
    <row r="149" spans="1:26" ht="15.75" customHeight="1" x14ac:dyDescent="0.2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U149" s="191"/>
      <c r="V149" s="191"/>
      <c r="W149" s="191"/>
      <c r="X149" s="191"/>
      <c r="Y149" s="191"/>
      <c r="Z149" s="191"/>
    </row>
    <row r="150" spans="1:26" ht="15.75" customHeight="1" x14ac:dyDescent="0.2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U150" s="191"/>
      <c r="V150" s="191"/>
      <c r="W150" s="191"/>
      <c r="X150" s="191"/>
      <c r="Y150" s="191"/>
      <c r="Z150" s="191"/>
    </row>
    <row r="151" spans="1:26" ht="15.75" customHeight="1" x14ac:dyDescent="0.2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U151" s="191"/>
      <c r="V151" s="191"/>
      <c r="W151" s="191"/>
      <c r="X151" s="191"/>
      <c r="Y151" s="191"/>
      <c r="Z151" s="191"/>
    </row>
    <row r="152" spans="1:26" ht="15.75" customHeight="1" x14ac:dyDescent="0.2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U152" s="191"/>
      <c r="V152" s="191"/>
      <c r="W152" s="191"/>
      <c r="X152" s="191"/>
      <c r="Y152" s="191"/>
      <c r="Z152" s="191"/>
    </row>
    <row r="153" spans="1:26" ht="15.75" customHeight="1" x14ac:dyDescent="0.2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U153" s="191"/>
      <c r="V153" s="191"/>
      <c r="W153" s="191"/>
      <c r="X153" s="191"/>
      <c r="Y153" s="191"/>
      <c r="Z153" s="191"/>
    </row>
    <row r="154" spans="1:26" ht="15.75" customHeight="1" x14ac:dyDescent="0.2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U154" s="191"/>
      <c r="V154" s="191"/>
      <c r="W154" s="191"/>
      <c r="X154" s="191"/>
      <c r="Y154" s="191"/>
      <c r="Z154" s="191"/>
    </row>
    <row r="155" spans="1:26" ht="15.75" customHeight="1" x14ac:dyDescent="0.2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U155" s="191"/>
      <c r="V155" s="191"/>
      <c r="W155" s="191"/>
      <c r="X155" s="191"/>
      <c r="Y155" s="191"/>
      <c r="Z155" s="191"/>
    </row>
    <row r="156" spans="1:26" ht="15.75" customHeight="1" x14ac:dyDescent="0.2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U156" s="191"/>
      <c r="V156" s="191"/>
      <c r="W156" s="191"/>
      <c r="X156" s="191"/>
      <c r="Y156" s="191"/>
      <c r="Z156" s="191"/>
    </row>
    <row r="157" spans="1:26" ht="15.75" customHeight="1" x14ac:dyDescent="0.2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U157" s="191"/>
      <c r="V157" s="191"/>
      <c r="W157" s="191"/>
      <c r="X157" s="191"/>
      <c r="Y157" s="191"/>
      <c r="Z157" s="191"/>
    </row>
    <row r="158" spans="1:26" ht="15.75" customHeight="1" x14ac:dyDescent="0.2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U158" s="191"/>
      <c r="V158" s="191"/>
      <c r="W158" s="191"/>
      <c r="X158" s="191"/>
      <c r="Y158" s="191"/>
      <c r="Z158" s="191"/>
    </row>
    <row r="159" spans="1:26" ht="15.75" customHeight="1" x14ac:dyDescent="0.2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U159" s="191"/>
      <c r="V159" s="191"/>
      <c r="W159" s="191"/>
      <c r="X159" s="191"/>
      <c r="Y159" s="191"/>
      <c r="Z159" s="191"/>
    </row>
    <row r="160" spans="1:26" ht="15.75" customHeight="1" x14ac:dyDescent="0.2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U160" s="191"/>
      <c r="V160" s="191"/>
      <c r="W160" s="191"/>
      <c r="X160" s="191"/>
      <c r="Y160" s="191"/>
      <c r="Z160" s="191"/>
    </row>
    <row r="161" spans="1:26" ht="15.75" customHeight="1" x14ac:dyDescent="0.2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U161" s="191"/>
      <c r="V161" s="191"/>
      <c r="W161" s="191"/>
      <c r="X161" s="191"/>
      <c r="Y161" s="191"/>
      <c r="Z161" s="191"/>
    </row>
    <row r="162" spans="1:26" ht="15.75" customHeight="1" x14ac:dyDescent="0.2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U162" s="191"/>
      <c r="V162" s="191"/>
      <c r="W162" s="191"/>
      <c r="X162" s="191"/>
      <c r="Y162" s="191"/>
      <c r="Z162" s="191"/>
    </row>
    <row r="163" spans="1:26" ht="15.75" customHeight="1" x14ac:dyDescent="0.2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U163" s="191"/>
      <c r="V163" s="191"/>
      <c r="W163" s="191"/>
      <c r="X163" s="191"/>
      <c r="Y163" s="191"/>
      <c r="Z163" s="191"/>
    </row>
    <row r="164" spans="1:26" ht="15.75" customHeight="1" x14ac:dyDescent="0.2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U164" s="191"/>
      <c r="V164" s="191"/>
      <c r="W164" s="191"/>
      <c r="X164" s="191"/>
      <c r="Y164" s="191"/>
      <c r="Z164" s="191"/>
    </row>
    <row r="165" spans="1:26" ht="15.75" customHeight="1" x14ac:dyDescent="0.2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U165" s="191"/>
      <c r="V165" s="191"/>
      <c r="W165" s="191"/>
      <c r="X165" s="191"/>
      <c r="Y165" s="191"/>
      <c r="Z165" s="191"/>
    </row>
    <row r="166" spans="1:26" ht="15.75" customHeight="1" x14ac:dyDescent="0.2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U166" s="191"/>
      <c r="V166" s="191"/>
      <c r="W166" s="191"/>
      <c r="X166" s="191"/>
      <c r="Y166" s="191"/>
      <c r="Z166" s="191"/>
    </row>
    <row r="167" spans="1:26" ht="15.75" customHeight="1" x14ac:dyDescent="0.2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U167" s="191"/>
      <c r="V167" s="191"/>
      <c r="W167" s="191"/>
      <c r="X167" s="191"/>
      <c r="Y167" s="191"/>
      <c r="Z167" s="191"/>
    </row>
    <row r="168" spans="1:26" ht="15.75" customHeight="1" x14ac:dyDescent="0.2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U168" s="191"/>
      <c r="V168" s="191"/>
      <c r="W168" s="191"/>
      <c r="X168" s="191"/>
      <c r="Y168" s="191"/>
      <c r="Z168" s="191"/>
    </row>
    <row r="169" spans="1:26" ht="15.75" customHeight="1" x14ac:dyDescent="0.2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U169" s="191"/>
      <c r="V169" s="191"/>
      <c r="W169" s="191"/>
      <c r="X169" s="191"/>
      <c r="Y169" s="191"/>
      <c r="Z169" s="191"/>
    </row>
    <row r="170" spans="1:26" ht="15.75" customHeight="1" x14ac:dyDescent="0.2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U170" s="191"/>
      <c r="V170" s="191"/>
      <c r="W170" s="191"/>
      <c r="X170" s="191"/>
      <c r="Y170" s="191"/>
      <c r="Z170" s="191"/>
    </row>
    <row r="171" spans="1:26" ht="15.75" customHeight="1" x14ac:dyDescent="0.2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U171" s="191"/>
      <c r="V171" s="191"/>
      <c r="W171" s="191"/>
      <c r="X171" s="191"/>
      <c r="Y171" s="191"/>
      <c r="Z171" s="191"/>
    </row>
    <row r="172" spans="1:26" ht="15.75" customHeight="1" x14ac:dyDescent="0.2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U172" s="191"/>
      <c r="V172" s="191"/>
      <c r="W172" s="191"/>
      <c r="X172" s="191"/>
      <c r="Y172" s="191"/>
      <c r="Z172" s="191"/>
    </row>
    <row r="173" spans="1:26" ht="15.75" customHeight="1" x14ac:dyDescent="0.2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U173" s="191"/>
      <c r="V173" s="191"/>
      <c r="W173" s="191"/>
      <c r="X173" s="191"/>
      <c r="Y173" s="191"/>
      <c r="Z173" s="191"/>
    </row>
    <row r="174" spans="1:26" ht="15.75" customHeight="1" x14ac:dyDescent="0.2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U174" s="191"/>
      <c r="V174" s="191"/>
      <c r="W174" s="191"/>
      <c r="X174" s="191"/>
      <c r="Y174" s="191"/>
      <c r="Z174" s="191"/>
    </row>
    <row r="175" spans="1:26" ht="15.75" customHeight="1" x14ac:dyDescent="0.2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U175" s="191"/>
      <c r="V175" s="191"/>
      <c r="W175" s="191"/>
      <c r="X175" s="191"/>
      <c r="Y175" s="191"/>
      <c r="Z175" s="191"/>
    </row>
    <row r="176" spans="1:26" ht="15.75" customHeight="1" x14ac:dyDescent="0.2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U176" s="191"/>
      <c r="V176" s="191"/>
      <c r="W176" s="191"/>
      <c r="X176" s="191"/>
      <c r="Y176" s="191"/>
      <c r="Z176" s="191"/>
    </row>
    <row r="177" spans="1:26" ht="15.75" customHeight="1" x14ac:dyDescent="0.2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U177" s="191"/>
      <c r="V177" s="191"/>
      <c r="W177" s="191"/>
      <c r="X177" s="191"/>
      <c r="Y177" s="191"/>
      <c r="Z177" s="191"/>
    </row>
    <row r="178" spans="1:26" ht="15.75" customHeight="1" x14ac:dyDescent="0.2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U178" s="191"/>
      <c r="V178" s="191"/>
      <c r="W178" s="191"/>
      <c r="X178" s="191"/>
      <c r="Y178" s="191"/>
      <c r="Z178" s="191"/>
    </row>
    <row r="179" spans="1:26" ht="15.75" customHeight="1" x14ac:dyDescent="0.2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U179" s="191"/>
      <c r="V179" s="191"/>
      <c r="W179" s="191"/>
      <c r="X179" s="191"/>
      <c r="Y179" s="191"/>
      <c r="Z179" s="191"/>
    </row>
    <row r="180" spans="1:26" ht="15.75" customHeight="1" x14ac:dyDescent="0.2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U180" s="191"/>
      <c r="V180" s="191"/>
      <c r="W180" s="191"/>
      <c r="X180" s="191"/>
      <c r="Y180" s="191"/>
      <c r="Z180" s="191"/>
    </row>
    <row r="181" spans="1:26" ht="15.75" customHeight="1" x14ac:dyDescent="0.2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U181" s="191"/>
      <c r="V181" s="191"/>
      <c r="W181" s="191"/>
      <c r="X181" s="191"/>
      <c r="Y181" s="191"/>
      <c r="Z181" s="191"/>
    </row>
    <row r="182" spans="1:26" ht="15.75" customHeight="1" x14ac:dyDescent="0.2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U182" s="191"/>
      <c r="V182" s="191"/>
      <c r="W182" s="191"/>
      <c r="X182" s="191"/>
      <c r="Y182" s="191"/>
      <c r="Z182" s="191"/>
    </row>
    <row r="183" spans="1:26" ht="15.75" customHeight="1" x14ac:dyDescent="0.2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U183" s="191"/>
      <c r="V183" s="191"/>
      <c r="W183" s="191"/>
      <c r="X183" s="191"/>
      <c r="Y183" s="191"/>
      <c r="Z183" s="191"/>
    </row>
    <row r="184" spans="1:26" ht="15.75" customHeight="1" x14ac:dyDescent="0.2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U184" s="191"/>
      <c r="V184" s="191"/>
      <c r="W184" s="191"/>
      <c r="X184" s="191"/>
      <c r="Y184" s="191"/>
      <c r="Z184" s="191"/>
    </row>
    <row r="185" spans="1:26" ht="15.75" customHeight="1" x14ac:dyDescent="0.2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U185" s="191"/>
      <c r="V185" s="191"/>
      <c r="W185" s="191"/>
      <c r="X185" s="191"/>
      <c r="Y185" s="191"/>
      <c r="Z185" s="191"/>
    </row>
    <row r="186" spans="1:26" ht="15.75" customHeight="1" x14ac:dyDescent="0.2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U186" s="191"/>
      <c r="V186" s="191"/>
      <c r="W186" s="191"/>
      <c r="X186" s="191"/>
      <c r="Y186" s="191"/>
      <c r="Z186" s="191"/>
    </row>
    <row r="187" spans="1:26" ht="15.75" customHeight="1" x14ac:dyDescent="0.2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U187" s="191"/>
      <c r="V187" s="191"/>
      <c r="W187" s="191"/>
      <c r="X187" s="191"/>
      <c r="Y187" s="191"/>
      <c r="Z187" s="191"/>
    </row>
    <row r="188" spans="1:26" ht="15.75" customHeight="1" x14ac:dyDescent="0.2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U188" s="191"/>
      <c r="V188" s="191"/>
      <c r="W188" s="191"/>
      <c r="X188" s="191"/>
      <c r="Y188" s="191"/>
      <c r="Z188" s="191"/>
    </row>
    <row r="189" spans="1:26" ht="15.75" customHeight="1" x14ac:dyDescent="0.2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U189" s="191"/>
      <c r="V189" s="191"/>
      <c r="W189" s="191"/>
      <c r="X189" s="191"/>
      <c r="Y189" s="191"/>
      <c r="Z189" s="191"/>
    </row>
    <row r="190" spans="1:26" ht="15.75" customHeight="1" x14ac:dyDescent="0.2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U190" s="191"/>
      <c r="V190" s="191"/>
      <c r="W190" s="191"/>
      <c r="X190" s="191"/>
      <c r="Y190" s="191"/>
      <c r="Z190" s="191"/>
    </row>
    <row r="191" spans="1:26" ht="15.75" customHeight="1" x14ac:dyDescent="0.2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U191" s="191"/>
      <c r="V191" s="191"/>
      <c r="W191" s="191"/>
      <c r="X191" s="191"/>
      <c r="Y191" s="191"/>
      <c r="Z191" s="191"/>
    </row>
    <row r="192" spans="1:26" ht="15.75" customHeight="1" x14ac:dyDescent="0.2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U192" s="191"/>
      <c r="V192" s="191"/>
      <c r="W192" s="191"/>
      <c r="X192" s="191"/>
      <c r="Y192" s="191"/>
      <c r="Z192" s="191"/>
    </row>
    <row r="193" spans="1:26" ht="15.75" customHeight="1" x14ac:dyDescent="0.2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U193" s="191"/>
      <c r="V193" s="191"/>
      <c r="W193" s="191"/>
      <c r="X193" s="191"/>
      <c r="Y193" s="191"/>
      <c r="Z193" s="191"/>
    </row>
    <row r="194" spans="1:26" ht="15.75" customHeight="1" x14ac:dyDescent="0.2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U194" s="191"/>
      <c r="V194" s="191"/>
      <c r="W194" s="191"/>
      <c r="X194" s="191"/>
      <c r="Y194" s="191"/>
      <c r="Z194" s="191"/>
    </row>
    <row r="195" spans="1:26" ht="15.75" customHeight="1" x14ac:dyDescent="0.2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U195" s="191"/>
      <c r="V195" s="191"/>
      <c r="W195" s="191"/>
      <c r="X195" s="191"/>
      <c r="Y195" s="191"/>
      <c r="Z195" s="191"/>
    </row>
    <row r="196" spans="1:26" ht="15.75" customHeight="1" x14ac:dyDescent="0.2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U196" s="191"/>
      <c r="V196" s="191"/>
      <c r="W196" s="191"/>
      <c r="X196" s="191"/>
      <c r="Y196" s="191"/>
      <c r="Z196" s="191"/>
    </row>
    <row r="197" spans="1:26" ht="15.75" customHeight="1" x14ac:dyDescent="0.2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U197" s="191"/>
      <c r="V197" s="191"/>
      <c r="W197" s="191"/>
      <c r="X197" s="191"/>
      <c r="Y197" s="191"/>
      <c r="Z197" s="191"/>
    </row>
    <row r="198" spans="1:26" ht="15.75" customHeight="1" x14ac:dyDescent="0.2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U198" s="191"/>
      <c r="V198" s="191"/>
      <c r="W198" s="191"/>
      <c r="X198" s="191"/>
      <c r="Y198" s="191"/>
      <c r="Z198" s="191"/>
    </row>
    <row r="199" spans="1:26" ht="15.75" customHeight="1" x14ac:dyDescent="0.2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U199" s="191"/>
      <c r="V199" s="191"/>
      <c r="W199" s="191"/>
      <c r="X199" s="191"/>
      <c r="Y199" s="191"/>
      <c r="Z199" s="191"/>
    </row>
    <row r="200" spans="1:26" ht="15.75" customHeight="1" x14ac:dyDescent="0.2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U200" s="191"/>
      <c r="V200" s="191"/>
      <c r="W200" s="191"/>
      <c r="X200" s="191"/>
      <c r="Y200" s="191"/>
      <c r="Z200" s="191"/>
    </row>
    <row r="201" spans="1:26" ht="15.75" customHeight="1" x14ac:dyDescent="0.2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U201" s="191"/>
      <c r="V201" s="191"/>
      <c r="W201" s="191"/>
      <c r="X201" s="191"/>
      <c r="Y201" s="191"/>
      <c r="Z201" s="191"/>
    </row>
    <row r="202" spans="1:26" ht="15.75" customHeight="1" x14ac:dyDescent="0.2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U202" s="191"/>
      <c r="V202" s="191"/>
      <c r="W202" s="191"/>
      <c r="X202" s="191"/>
      <c r="Y202" s="191"/>
      <c r="Z202" s="191"/>
    </row>
    <row r="203" spans="1:26" ht="15.75" customHeight="1" x14ac:dyDescent="0.2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U203" s="191"/>
      <c r="V203" s="191"/>
      <c r="W203" s="191"/>
      <c r="X203" s="191"/>
      <c r="Y203" s="191"/>
      <c r="Z203" s="191"/>
    </row>
    <row r="204" spans="1:26" ht="15.75" customHeight="1" x14ac:dyDescent="0.2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U204" s="191"/>
      <c r="V204" s="191"/>
      <c r="W204" s="191"/>
      <c r="X204" s="191"/>
      <c r="Y204" s="191"/>
      <c r="Z204" s="191"/>
    </row>
    <row r="205" spans="1:26" ht="15.75" customHeight="1" x14ac:dyDescent="0.2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U205" s="191"/>
      <c r="V205" s="191"/>
      <c r="W205" s="191"/>
      <c r="X205" s="191"/>
      <c r="Y205" s="191"/>
      <c r="Z205" s="191"/>
    </row>
    <row r="206" spans="1:26" ht="15.75" customHeight="1" x14ac:dyDescent="0.2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U206" s="191"/>
      <c r="V206" s="191"/>
      <c r="W206" s="191"/>
      <c r="X206" s="191"/>
      <c r="Y206" s="191"/>
      <c r="Z206" s="191"/>
    </row>
    <row r="207" spans="1:26" ht="15.75" customHeight="1" x14ac:dyDescent="0.2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U207" s="191"/>
      <c r="V207" s="191"/>
      <c r="W207" s="191"/>
      <c r="X207" s="191"/>
      <c r="Y207" s="191"/>
      <c r="Z207" s="191"/>
    </row>
    <row r="208" spans="1:26" ht="15.75" customHeight="1" x14ac:dyDescent="0.2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U208" s="191"/>
      <c r="V208" s="191"/>
      <c r="W208" s="191"/>
      <c r="X208" s="191"/>
      <c r="Y208" s="191"/>
      <c r="Z208" s="191"/>
    </row>
    <row r="209" spans="1:26" ht="15.75" customHeight="1" x14ac:dyDescent="0.2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U209" s="191"/>
      <c r="V209" s="191"/>
      <c r="W209" s="191"/>
      <c r="X209" s="191"/>
      <c r="Y209" s="191"/>
      <c r="Z209" s="191"/>
    </row>
    <row r="210" spans="1:26" ht="15.75" customHeight="1" x14ac:dyDescent="0.2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U210" s="191"/>
      <c r="V210" s="191"/>
      <c r="W210" s="191"/>
      <c r="X210" s="191"/>
      <c r="Y210" s="191"/>
      <c r="Z210" s="191"/>
    </row>
    <row r="211" spans="1:26" ht="15.75" customHeight="1" x14ac:dyDescent="0.2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U211" s="191"/>
      <c r="V211" s="191"/>
      <c r="W211" s="191"/>
      <c r="X211" s="191"/>
      <c r="Y211" s="191"/>
      <c r="Z211" s="191"/>
    </row>
    <row r="212" spans="1:26" ht="15.75" customHeight="1" x14ac:dyDescent="0.2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U212" s="191"/>
      <c r="V212" s="191"/>
      <c r="W212" s="191"/>
      <c r="X212" s="191"/>
      <c r="Y212" s="191"/>
      <c r="Z212" s="191"/>
    </row>
    <row r="213" spans="1:26" ht="15.75" customHeight="1" x14ac:dyDescent="0.2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U213" s="191"/>
      <c r="V213" s="191"/>
      <c r="W213" s="191"/>
      <c r="X213" s="191"/>
      <c r="Y213" s="191"/>
      <c r="Z213" s="191"/>
    </row>
    <row r="214" spans="1:26" ht="15.75" customHeight="1" x14ac:dyDescent="0.2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U214" s="191"/>
      <c r="V214" s="191"/>
      <c r="W214" s="191"/>
      <c r="X214" s="191"/>
      <c r="Y214" s="191"/>
      <c r="Z214" s="191"/>
    </row>
    <row r="215" spans="1:26" ht="15.75" customHeight="1" x14ac:dyDescent="0.2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U215" s="191"/>
      <c r="V215" s="191"/>
      <c r="W215" s="191"/>
      <c r="X215" s="191"/>
      <c r="Y215" s="191"/>
      <c r="Z215" s="191"/>
    </row>
    <row r="216" spans="1:26" ht="15.75" customHeight="1" x14ac:dyDescent="0.2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U216" s="191"/>
      <c r="V216" s="191"/>
      <c r="W216" s="191"/>
      <c r="X216" s="191"/>
      <c r="Y216" s="191"/>
      <c r="Z216" s="191"/>
    </row>
    <row r="217" spans="1:26" ht="15.75" customHeight="1" x14ac:dyDescent="0.2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U217" s="191"/>
      <c r="V217" s="191"/>
      <c r="W217" s="191"/>
      <c r="X217" s="191"/>
      <c r="Y217" s="191"/>
      <c r="Z217" s="191"/>
    </row>
    <row r="218" spans="1:26" ht="15.75" customHeight="1" x14ac:dyDescent="0.2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U218" s="191"/>
      <c r="V218" s="191"/>
      <c r="W218" s="191"/>
      <c r="X218" s="191"/>
      <c r="Y218" s="191"/>
      <c r="Z218" s="191"/>
    </row>
    <row r="219" spans="1:26" ht="15.75" customHeight="1" x14ac:dyDescent="0.2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U219" s="191"/>
      <c r="V219" s="191"/>
      <c r="W219" s="191"/>
      <c r="X219" s="191"/>
      <c r="Y219" s="191"/>
      <c r="Z219" s="191"/>
    </row>
    <row r="220" spans="1:26" ht="15.75" customHeight="1" x14ac:dyDescent="0.2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U220" s="191"/>
      <c r="V220" s="191"/>
      <c r="W220" s="191"/>
      <c r="X220" s="191"/>
      <c r="Y220" s="191"/>
      <c r="Z220" s="191"/>
    </row>
    <row r="221" spans="1:26" ht="15.75" customHeight="1" x14ac:dyDescent="0.2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U221" s="191"/>
      <c r="V221" s="191"/>
      <c r="W221" s="191"/>
      <c r="X221" s="191"/>
      <c r="Y221" s="191"/>
      <c r="Z221" s="191"/>
    </row>
    <row r="222" spans="1:26" ht="15.75" customHeight="1" x14ac:dyDescent="0.2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U222" s="191"/>
      <c r="V222" s="191"/>
      <c r="W222" s="191"/>
      <c r="X222" s="191"/>
      <c r="Y222" s="191"/>
      <c r="Z222" s="191"/>
    </row>
    <row r="223" spans="1:26" ht="15.75" customHeight="1" x14ac:dyDescent="0.2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U223" s="191"/>
      <c r="V223" s="191"/>
      <c r="W223" s="191"/>
      <c r="X223" s="191"/>
      <c r="Y223" s="191"/>
      <c r="Z223" s="191"/>
    </row>
    <row r="224" spans="1:26" ht="15.75" customHeight="1" x14ac:dyDescent="0.2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U224" s="191"/>
      <c r="V224" s="191"/>
      <c r="W224" s="191"/>
      <c r="X224" s="191"/>
      <c r="Y224" s="191"/>
      <c r="Z224" s="191"/>
    </row>
    <row r="225" spans="1:26" ht="15.75" customHeight="1" x14ac:dyDescent="0.2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U225" s="191"/>
      <c r="V225" s="191"/>
      <c r="W225" s="191"/>
      <c r="X225" s="191"/>
      <c r="Y225" s="191"/>
      <c r="Z225" s="191"/>
    </row>
    <row r="226" spans="1:26" ht="15.75" customHeight="1" x14ac:dyDescent="0.2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U226" s="191"/>
      <c r="V226" s="191"/>
      <c r="W226" s="191"/>
      <c r="X226" s="191"/>
      <c r="Y226" s="191"/>
      <c r="Z226" s="191"/>
    </row>
    <row r="227" spans="1:26" ht="15.75" customHeight="1" x14ac:dyDescent="0.2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U227" s="191"/>
      <c r="V227" s="191"/>
      <c r="W227" s="191"/>
      <c r="X227" s="191"/>
      <c r="Y227" s="191"/>
      <c r="Z227" s="191"/>
    </row>
    <row r="228" spans="1:26" ht="15.75" customHeight="1" x14ac:dyDescent="0.2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U228" s="191"/>
      <c r="V228" s="191"/>
      <c r="W228" s="191"/>
      <c r="X228" s="191"/>
      <c r="Y228" s="191"/>
      <c r="Z228" s="191"/>
    </row>
    <row r="229" spans="1:26" ht="15.75" customHeight="1" x14ac:dyDescent="0.2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U229" s="191"/>
      <c r="V229" s="191"/>
      <c r="W229" s="191"/>
      <c r="X229" s="191"/>
      <c r="Y229" s="191"/>
      <c r="Z229" s="191"/>
    </row>
    <row r="230" spans="1:26" ht="15.75" customHeight="1" x14ac:dyDescent="0.2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U230" s="191"/>
      <c r="V230" s="191"/>
      <c r="W230" s="191"/>
      <c r="X230" s="191"/>
      <c r="Y230" s="191"/>
      <c r="Z230" s="191"/>
    </row>
    <row r="231" spans="1:26" ht="15.75" customHeight="1" x14ac:dyDescent="0.2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U231" s="191"/>
      <c r="V231" s="191"/>
      <c r="W231" s="191"/>
      <c r="X231" s="191"/>
      <c r="Y231" s="191"/>
      <c r="Z231" s="191"/>
    </row>
    <row r="232" spans="1:26" ht="15.75" customHeight="1" x14ac:dyDescent="0.2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U232" s="191"/>
      <c r="V232" s="191"/>
      <c r="W232" s="191"/>
      <c r="X232" s="191"/>
      <c r="Y232" s="191"/>
      <c r="Z232" s="191"/>
    </row>
    <row r="233" spans="1:26" ht="15.75" customHeight="1" x14ac:dyDescent="0.2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U233" s="191"/>
      <c r="V233" s="191"/>
      <c r="W233" s="191"/>
      <c r="X233" s="191"/>
      <c r="Y233" s="191"/>
      <c r="Z233" s="191"/>
    </row>
    <row r="234" spans="1:26" ht="15.75" customHeight="1" x14ac:dyDescent="0.2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U234" s="191"/>
      <c r="V234" s="191"/>
      <c r="W234" s="191"/>
      <c r="X234" s="191"/>
      <c r="Y234" s="191"/>
      <c r="Z234" s="191"/>
    </row>
    <row r="235" spans="1:26" ht="15.75" customHeight="1" x14ac:dyDescent="0.2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U235" s="191"/>
      <c r="V235" s="191"/>
      <c r="W235" s="191"/>
      <c r="X235" s="191"/>
      <c r="Y235" s="191"/>
      <c r="Z235" s="191"/>
    </row>
    <row r="236" spans="1:26" ht="15.75" customHeight="1" x14ac:dyDescent="0.2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U236" s="191"/>
      <c r="V236" s="191"/>
      <c r="W236" s="191"/>
      <c r="X236" s="191"/>
      <c r="Y236" s="191"/>
      <c r="Z236" s="191"/>
    </row>
    <row r="237" spans="1:26" ht="15.75" customHeight="1" x14ac:dyDescent="0.2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U237" s="191"/>
      <c r="V237" s="191"/>
      <c r="W237" s="191"/>
      <c r="X237" s="191"/>
      <c r="Y237" s="191"/>
      <c r="Z237" s="191"/>
    </row>
    <row r="238" spans="1:26" ht="15.75" customHeight="1" x14ac:dyDescent="0.2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U238" s="191"/>
      <c r="V238" s="191"/>
      <c r="W238" s="191"/>
      <c r="X238" s="191"/>
      <c r="Y238" s="191"/>
      <c r="Z238" s="191"/>
    </row>
    <row r="239" spans="1:26" ht="15.75" customHeight="1" x14ac:dyDescent="0.2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U239" s="191"/>
      <c r="V239" s="191"/>
      <c r="W239" s="191"/>
      <c r="X239" s="191"/>
      <c r="Y239" s="191"/>
      <c r="Z239" s="191"/>
    </row>
    <row r="240" spans="1:26" ht="15.75" customHeight="1" x14ac:dyDescent="0.2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U240" s="191"/>
      <c r="V240" s="191"/>
      <c r="W240" s="191"/>
      <c r="X240" s="191"/>
      <c r="Y240" s="191"/>
      <c r="Z240" s="191"/>
    </row>
    <row r="241" spans="1:26" ht="15.75" customHeight="1" x14ac:dyDescent="0.2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U241" s="191"/>
      <c r="V241" s="191"/>
      <c r="W241" s="191"/>
      <c r="X241" s="191"/>
      <c r="Y241" s="191"/>
      <c r="Z241" s="191"/>
    </row>
    <row r="242" spans="1:26" ht="15.75" customHeight="1" x14ac:dyDescent="0.2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U242" s="191"/>
      <c r="V242" s="191"/>
      <c r="W242" s="191"/>
      <c r="X242" s="191"/>
      <c r="Y242" s="191"/>
      <c r="Z242" s="191"/>
    </row>
    <row r="243" spans="1:26" ht="15.75" customHeight="1" x14ac:dyDescent="0.2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U243" s="191"/>
      <c r="V243" s="191"/>
      <c r="W243" s="191"/>
      <c r="X243" s="191"/>
      <c r="Y243" s="191"/>
      <c r="Z243" s="191"/>
    </row>
    <row r="244" spans="1:26" ht="15.75" customHeight="1" x14ac:dyDescent="0.2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U244" s="191"/>
      <c r="V244" s="191"/>
      <c r="W244" s="191"/>
      <c r="X244" s="191"/>
      <c r="Y244" s="191"/>
      <c r="Z244" s="191"/>
    </row>
    <row r="245" spans="1:26" ht="15.75" customHeight="1" x14ac:dyDescent="0.2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U245" s="191"/>
      <c r="V245" s="191"/>
      <c r="W245" s="191"/>
      <c r="X245" s="191"/>
      <c r="Y245" s="191"/>
      <c r="Z245" s="191"/>
    </row>
    <row r="246" spans="1:26" ht="15.75" customHeight="1" x14ac:dyDescent="0.2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U246" s="191"/>
      <c r="V246" s="191"/>
      <c r="W246" s="191"/>
      <c r="X246" s="191"/>
      <c r="Y246" s="191"/>
      <c r="Z246" s="191"/>
    </row>
    <row r="247" spans="1:26" ht="15.75" customHeight="1" x14ac:dyDescent="0.2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U247" s="191"/>
      <c r="V247" s="191"/>
      <c r="W247" s="191"/>
      <c r="X247" s="191"/>
      <c r="Y247" s="191"/>
      <c r="Z247" s="191"/>
    </row>
    <row r="248" spans="1:26" ht="15.75" customHeight="1" x14ac:dyDescent="0.2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U248" s="191"/>
      <c r="V248" s="191"/>
      <c r="W248" s="191"/>
      <c r="X248" s="191"/>
      <c r="Y248" s="191"/>
      <c r="Z248" s="191"/>
    </row>
    <row r="249" spans="1:26" ht="15.75" customHeight="1" x14ac:dyDescent="0.2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U249" s="191"/>
      <c r="V249" s="191"/>
      <c r="W249" s="191"/>
      <c r="X249" s="191"/>
      <c r="Y249" s="191"/>
      <c r="Z249" s="191"/>
    </row>
    <row r="250" spans="1:26" ht="15.75" customHeight="1" x14ac:dyDescent="0.2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U250" s="191"/>
      <c r="V250" s="191"/>
      <c r="W250" s="191"/>
      <c r="X250" s="191"/>
      <c r="Y250" s="191"/>
      <c r="Z250" s="191"/>
    </row>
    <row r="251" spans="1:26" ht="15.75" customHeight="1" x14ac:dyDescent="0.2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U251" s="191"/>
      <c r="V251" s="191"/>
      <c r="W251" s="191"/>
      <c r="X251" s="191"/>
      <c r="Y251" s="191"/>
      <c r="Z251" s="191"/>
    </row>
    <row r="252" spans="1:26" ht="15.75" customHeight="1" x14ac:dyDescent="0.2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U252" s="191"/>
      <c r="V252" s="191"/>
      <c r="W252" s="191"/>
      <c r="X252" s="191"/>
      <c r="Y252" s="191"/>
      <c r="Z252" s="191"/>
    </row>
    <row r="253" spans="1:26" ht="15.75" customHeight="1" x14ac:dyDescent="0.2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U253" s="191"/>
      <c r="V253" s="191"/>
      <c r="W253" s="191"/>
      <c r="X253" s="191"/>
      <c r="Y253" s="191"/>
      <c r="Z253" s="191"/>
    </row>
    <row r="254" spans="1:26" ht="15.75" customHeight="1" x14ac:dyDescent="0.2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U254" s="191"/>
      <c r="V254" s="191"/>
      <c r="W254" s="191"/>
      <c r="X254" s="191"/>
      <c r="Y254" s="191"/>
      <c r="Z254" s="191"/>
    </row>
    <row r="255" spans="1:26" ht="15.75" customHeight="1" x14ac:dyDescent="0.2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U255" s="191"/>
      <c r="V255" s="191"/>
      <c r="W255" s="191"/>
      <c r="X255" s="191"/>
      <c r="Y255" s="191"/>
      <c r="Z255" s="191"/>
    </row>
    <row r="256" spans="1:26" ht="15.75" customHeight="1" x14ac:dyDescent="0.2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U256" s="191"/>
      <c r="V256" s="191"/>
      <c r="W256" s="191"/>
      <c r="X256" s="191"/>
      <c r="Y256" s="191"/>
      <c r="Z256" s="191"/>
    </row>
    <row r="257" spans="1:26" ht="15.75" customHeight="1" x14ac:dyDescent="0.2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U257" s="191"/>
      <c r="V257" s="191"/>
      <c r="W257" s="191"/>
      <c r="X257" s="191"/>
      <c r="Y257" s="191"/>
      <c r="Z257" s="191"/>
    </row>
    <row r="258" spans="1:26" ht="15.75" customHeight="1" x14ac:dyDescent="0.2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U258" s="191"/>
      <c r="V258" s="191"/>
      <c r="W258" s="191"/>
      <c r="X258" s="191"/>
      <c r="Y258" s="191"/>
      <c r="Z258" s="191"/>
    </row>
    <row r="259" spans="1:26" ht="15.75" customHeight="1" x14ac:dyDescent="0.2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U259" s="191"/>
      <c r="V259" s="191"/>
      <c r="W259" s="191"/>
      <c r="X259" s="191"/>
      <c r="Y259" s="191"/>
      <c r="Z259" s="191"/>
    </row>
    <row r="260" spans="1:26" ht="15.75" customHeight="1" x14ac:dyDescent="0.2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U260" s="191"/>
      <c r="V260" s="191"/>
      <c r="W260" s="191"/>
      <c r="X260" s="191"/>
      <c r="Y260" s="191"/>
      <c r="Z260" s="191"/>
    </row>
    <row r="261" spans="1:26" ht="15.75" customHeight="1" x14ac:dyDescent="0.2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U261" s="191"/>
      <c r="V261" s="191"/>
      <c r="W261" s="191"/>
      <c r="X261" s="191"/>
      <c r="Y261" s="191"/>
      <c r="Z261" s="191"/>
    </row>
    <row r="262" spans="1:26" ht="15.75" customHeight="1" x14ac:dyDescent="0.2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U262" s="191"/>
      <c r="V262" s="191"/>
      <c r="W262" s="191"/>
      <c r="X262" s="191"/>
      <c r="Y262" s="191"/>
      <c r="Z262" s="191"/>
    </row>
    <row r="263" spans="1:26" ht="15.75" customHeight="1" x14ac:dyDescent="0.2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U263" s="191"/>
      <c r="V263" s="191"/>
      <c r="W263" s="191"/>
      <c r="X263" s="191"/>
      <c r="Y263" s="191"/>
      <c r="Z263" s="191"/>
    </row>
    <row r="264" spans="1:26" ht="15.75" customHeight="1" x14ac:dyDescent="0.2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U264" s="191"/>
      <c r="V264" s="191"/>
      <c r="W264" s="191"/>
      <c r="X264" s="191"/>
      <c r="Y264" s="191"/>
      <c r="Z264" s="191"/>
    </row>
    <row r="265" spans="1:26" ht="15.75" customHeight="1" x14ac:dyDescent="0.2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U265" s="191"/>
      <c r="V265" s="191"/>
      <c r="W265" s="191"/>
      <c r="X265" s="191"/>
      <c r="Y265" s="191"/>
      <c r="Z265" s="191"/>
    </row>
    <row r="266" spans="1:26" ht="15.75" customHeight="1" x14ac:dyDescent="0.2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U266" s="191"/>
      <c r="V266" s="191"/>
      <c r="W266" s="191"/>
      <c r="X266" s="191"/>
      <c r="Y266" s="191"/>
      <c r="Z266" s="191"/>
    </row>
    <row r="267" spans="1:26" ht="15.75" customHeight="1" x14ac:dyDescent="0.2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U267" s="191"/>
      <c r="V267" s="191"/>
      <c r="W267" s="191"/>
      <c r="X267" s="191"/>
      <c r="Y267" s="191"/>
      <c r="Z267" s="191"/>
    </row>
    <row r="268" spans="1:26" ht="15.75" customHeight="1" x14ac:dyDescent="0.2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U268" s="191"/>
      <c r="V268" s="191"/>
      <c r="W268" s="191"/>
      <c r="X268" s="191"/>
      <c r="Y268" s="191"/>
      <c r="Z268" s="191"/>
    </row>
    <row r="269" spans="1:26" ht="15.75" customHeight="1" x14ac:dyDescent="0.2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U269" s="191"/>
      <c r="V269" s="191"/>
      <c r="W269" s="191"/>
      <c r="X269" s="191"/>
      <c r="Y269" s="191"/>
      <c r="Z269" s="191"/>
    </row>
    <row r="270" spans="1:26" ht="15.75" customHeight="1" x14ac:dyDescent="0.2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U270" s="191"/>
      <c r="V270" s="191"/>
      <c r="W270" s="191"/>
      <c r="X270" s="191"/>
      <c r="Y270" s="191"/>
      <c r="Z270" s="191"/>
    </row>
    <row r="271" spans="1:26" ht="15.75" customHeight="1" x14ac:dyDescent="0.2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U271" s="191"/>
      <c r="V271" s="191"/>
      <c r="W271" s="191"/>
      <c r="X271" s="191"/>
      <c r="Y271" s="191"/>
      <c r="Z271" s="191"/>
    </row>
    <row r="272" spans="1:26" ht="15.75" customHeight="1" x14ac:dyDescent="0.2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U272" s="191"/>
      <c r="V272" s="191"/>
      <c r="W272" s="191"/>
      <c r="X272" s="191"/>
      <c r="Y272" s="191"/>
      <c r="Z272" s="191"/>
    </row>
    <row r="273" spans="1:26" ht="15.75" customHeight="1" x14ac:dyDescent="0.2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U273" s="191"/>
      <c r="V273" s="191"/>
      <c r="W273" s="191"/>
      <c r="X273" s="191"/>
      <c r="Y273" s="191"/>
      <c r="Z273" s="191"/>
    </row>
    <row r="274" spans="1:26" ht="15.75" customHeight="1" x14ac:dyDescent="0.2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U274" s="191"/>
      <c r="V274" s="191"/>
      <c r="W274" s="191"/>
      <c r="X274" s="191"/>
      <c r="Y274" s="191"/>
      <c r="Z274" s="191"/>
    </row>
    <row r="275" spans="1:26" ht="15.75" customHeight="1" x14ac:dyDescent="0.2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U275" s="191"/>
      <c r="V275" s="191"/>
      <c r="W275" s="191"/>
      <c r="X275" s="191"/>
      <c r="Y275" s="191"/>
      <c r="Z275" s="191"/>
    </row>
    <row r="276" spans="1:26" ht="15.75" customHeight="1" x14ac:dyDescent="0.2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U276" s="191"/>
      <c r="V276" s="191"/>
      <c r="W276" s="191"/>
      <c r="X276" s="191"/>
      <c r="Y276" s="191"/>
      <c r="Z276" s="191"/>
    </row>
    <row r="277" spans="1:26" ht="15.75" customHeight="1" x14ac:dyDescent="0.2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U277" s="191"/>
      <c r="V277" s="191"/>
      <c r="W277" s="191"/>
      <c r="X277" s="191"/>
      <c r="Y277" s="191"/>
      <c r="Z277" s="191"/>
    </row>
    <row r="278" spans="1:26" ht="15.75" customHeight="1" x14ac:dyDescent="0.2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U278" s="191"/>
      <c r="V278" s="191"/>
      <c r="W278" s="191"/>
      <c r="X278" s="191"/>
      <c r="Y278" s="191"/>
      <c r="Z278" s="191"/>
    </row>
    <row r="279" spans="1:26" ht="15.75" customHeight="1" x14ac:dyDescent="0.2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U279" s="191"/>
      <c r="V279" s="191"/>
      <c r="W279" s="191"/>
      <c r="X279" s="191"/>
      <c r="Y279" s="191"/>
      <c r="Z279" s="191"/>
    </row>
    <row r="280" spans="1:26" ht="15.75" customHeight="1" x14ac:dyDescent="0.2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U280" s="191"/>
      <c r="V280" s="191"/>
      <c r="W280" s="191"/>
      <c r="X280" s="191"/>
      <c r="Y280" s="191"/>
      <c r="Z280" s="191"/>
    </row>
    <row r="281" spans="1:26" ht="15.75" customHeight="1" x14ac:dyDescent="0.2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U281" s="191"/>
      <c r="V281" s="191"/>
      <c r="W281" s="191"/>
      <c r="X281" s="191"/>
      <c r="Y281" s="191"/>
      <c r="Z281" s="191"/>
    </row>
    <row r="282" spans="1:26" ht="15.75" customHeight="1" x14ac:dyDescent="0.2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U282" s="191"/>
      <c r="V282" s="191"/>
      <c r="W282" s="191"/>
      <c r="X282" s="191"/>
      <c r="Y282" s="191"/>
      <c r="Z282" s="191"/>
    </row>
    <row r="283" spans="1:26" ht="15.75" customHeight="1" x14ac:dyDescent="0.2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U283" s="191"/>
      <c r="V283" s="191"/>
      <c r="W283" s="191"/>
      <c r="X283" s="191"/>
      <c r="Y283" s="191"/>
      <c r="Z283" s="191"/>
    </row>
    <row r="284" spans="1:26" ht="15.75" customHeight="1" x14ac:dyDescent="0.2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U284" s="191"/>
      <c r="V284" s="191"/>
      <c r="W284" s="191"/>
      <c r="X284" s="191"/>
      <c r="Y284" s="191"/>
      <c r="Z284" s="191"/>
    </row>
    <row r="285" spans="1:26" ht="15.75" customHeight="1" x14ac:dyDescent="0.2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U285" s="191"/>
      <c r="V285" s="191"/>
      <c r="W285" s="191"/>
      <c r="X285" s="191"/>
      <c r="Y285" s="191"/>
      <c r="Z285" s="191"/>
    </row>
    <row r="286" spans="1:26" ht="15.75" customHeight="1" x14ac:dyDescent="0.2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U286" s="191"/>
      <c r="V286" s="191"/>
      <c r="W286" s="191"/>
      <c r="X286" s="191"/>
      <c r="Y286" s="191"/>
      <c r="Z286" s="191"/>
    </row>
    <row r="287" spans="1:26" ht="15.75" customHeight="1" x14ac:dyDescent="0.2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U287" s="191"/>
      <c r="V287" s="191"/>
      <c r="W287" s="191"/>
      <c r="X287" s="191"/>
      <c r="Y287" s="191"/>
      <c r="Z287" s="191"/>
    </row>
    <row r="288" spans="1:26" ht="15.75" customHeight="1" x14ac:dyDescent="0.2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U288" s="191"/>
      <c r="V288" s="191"/>
      <c r="W288" s="191"/>
      <c r="X288" s="191"/>
      <c r="Y288" s="191"/>
      <c r="Z288" s="191"/>
    </row>
    <row r="289" spans="1:26" ht="15.75" customHeight="1" x14ac:dyDescent="0.2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U289" s="191"/>
      <c r="V289" s="191"/>
      <c r="W289" s="191"/>
      <c r="X289" s="191"/>
      <c r="Y289" s="191"/>
      <c r="Z289" s="191"/>
    </row>
    <row r="290" spans="1:26" ht="15.75" customHeight="1" x14ac:dyDescent="0.2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U290" s="191"/>
      <c r="V290" s="191"/>
      <c r="W290" s="191"/>
      <c r="X290" s="191"/>
      <c r="Y290" s="191"/>
      <c r="Z290" s="191"/>
    </row>
    <row r="291" spans="1:26" ht="15.75" customHeight="1" x14ac:dyDescent="0.2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U291" s="191"/>
      <c r="V291" s="191"/>
      <c r="W291" s="191"/>
      <c r="X291" s="191"/>
      <c r="Y291" s="191"/>
      <c r="Z291" s="191"/>
    </row>
    <row r="292" spans="1:26" ht="15.75" customHeight="1" x14ac:dyDescent="0.2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U292" s="191"/>
      <c r="V292" s="191"/>
      <c r="W292" s="191"/>
      <c r="X292" s="191"/>
      <c r="Y292" s="191"/>
      <c r="Z292" s="191"/>
    </row>
    <row r="293" spans="1:26" ht="15.75" customHeight="1" x14ac:dyDescent="0.2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U293" s="191"/>
      <c r="V293" s="191"/>
      <c r="W293" s="191"/>
      <c r="X293" s="191"/>
      <c r="Y293" s="191"/>
      <c r="Z293" s="191"/>
    </row>
    <row r="294" spans="1:26" ht="15.75" customHeight="1" x14ac:dyDescent="0.2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U294" s="191"/>
      <c r="V294" s="191"/>
      <c r="W294" s="191"/>
      <c r="X294" s="191"/>
      <c r="Y294" s="191"/>
      <c r="Z294" s="191"/>
    </row>
    <row r="295" spans="1:26" ht="15.75" customHeight="1" x14ac:dyDescent="0.2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U295" s="191"/>
      <c r="V295" s="191"/>
      <c r="W295" s="191"/>
      <c r="X295" s="191"/>
      <c r="Y295" s="191"/>
      <c r="Z295" s="191"/>
    </row>
    <row r="296" spans="1:26" ht="15.75" customHeight="1" x14ac:dyDescent="0.2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U296" s="191"/>
      <c r="V296" s="191"/>
      <c r="W296" s="191"/>
      <c r="X296" s="191"/>
      <c r="Y296" s="191"/>
      <c r="Z296" s="191"/>
    </row>
    <row r="297" spans="1:26" ht="15.75" customHeight="1" x14ac:dyDescent="0.2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U297" s="191"/>
      <c r="V297" s="191"/>
      <c r="W297" s="191"/>
      <c r="X297" s="191"/>
      <c r="Y297" s="191"/>
      <c r="Z297" s="191"/>
    </row>
    <row r="298" spans="1:26" ht="15.75" customHeight="1" x14ac:dyDescent="0.2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U298" s="191"/>
      <c r="V298" s="191"/>
      <c r="W298" s="191"/>
      <c r="X298" s="191"/>
      <c r="Y298" s="191"/>
      <c r="Z298" s="191"/>
    </row>
    <row r="299" spans="1:26" ht="15.75" customHeight="1" x14ac:dyDescent="0.2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U299" s="191"/>
      <c r="V299" s="191"/>
      <c r="W299" s="191"/>
      <c r="X299" s="191"/>
      <c r="Y299" s="191"/>
      <c r="Z299" s="191"/>
    </row>
    <row r="300" spans="1:26" ht="15.75" customHeight="1" x14ac:dyDescent="0.2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U300" s="191"/>
      <c r="V300" s="191"/>
      <c r="W300" s="191"/>
      <c r="X300" s="191"/>
      <c r="Y300" s="191"/>
      <c r="Z300" s="191"/>
    </row>
    <row r="301" spans="1:26" ht="15.75" customHeight="1" x14ac:dyDescent="0.2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U301" s="191"/>
      <c r="V301" s="191"/>
      <c r="W301" s="191"/>
      <c r="X301" s="191"/>
      <c r="Y301" s="191"/>
      <c r="Z301" s="191"/>
    </row>
    <row r="302" spans="1:26" ht="15.75" customHeight="1" x14ac:dyDescent="0.2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U302" s="191"/>
      <c r="V302" s="191"/>
      <c r="W302" s="191"/>
      <c r="X302" s="191"/>
      <c r="Y302" s="191"/>
      <c r="Z302" s="191"/>
    </row>
    <row r="303" spans="1:26" ht="15.75" customHeight="1" x14ac:dyDescent="0.2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U303" s="191"/>
      <c r="V303" s="191"/>
      <c r="W303" s="191"/>
      <c r="X303" s="191"/>
      <c r="Y303" s="191"/>
      <c r="Z303" s="191"/>
    </row>
    <row r="304" spans="1:26" ht="15.75" customHeight="1" x14ac:dyDescent="0.2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U304" s="191"/>
      <c r="V304" s="191"/>
      <c r="W304" s="191"/>
      <c r="X304" s="191"/>
      <c r="Y304" s="191"/>
      <c r="Z304" s="191"/>
    </row>
    <row r="305" spans="1:26" ht="15.75" customHeight="1" x14ac:dyDescent="0.2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U305" s="191"/>
      <c r="V305" s="191"/>
      <c r="W305" s="191"/>
      <c r="X305" s="191"/>
      <c r="Y305" s="191"/>
      <c r="Z305" s="191"/>
    </row>
    <row r="306" spans="1:26" ht="15.75" customHeight="1" x14ac:dyDescent="0.2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U306" s="191"/>
      <c r="V306" s="191"/>
      <c r="W306" s="191"/>
      <c r="X306" s="191"/>
      <c r="Y306" s="191"/>
      <c r="Z306" s="191"/>
    </row>
    <row r="307" spans="1:26" ht="15.75" customHeight="1" x14ac:dyDescent="0.2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U307" s="191"/>
      <c r="V307" s="191"/>
      <c r="W307" s="191"/>
      <c r="X307" s="191"/>
      <c r="Y307" s="191"/>
      <c r="Z307" s="191"/>
    </row>
    <row r="308" spans="1:26" ht="15.75" customHeight="1" x14ac:dyDescent="0.2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U308" s="191"/>
      <c r="V308" s="191"/>
      <c r="W308" s="191"/>
      <c r="X308" s="191"/>
      <c r="Y308" s="191"/>
      <c r="Z308" s="191"/>
    </row>
    <row r="309" spans="1:26" ht="15.75" customHeight="1" x14ac:dyDescent="0.2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U309" s="191"/>
      <c r="V309" s="191"/>
      <c r="W309" s="191"/>
      <c r="X309" s="191"/>
      <c r="Y309" s="191"/>
      <c r="Z309" s="191"/>
    </row>
    <row r="310" spans="1:26" ht="15.75" customHeight="1" x14ac:dyDescent="0.2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U310" s="191"/>
      <c r="V310" s="191"/>
      <c r="W310" s="191"/>
      <c r="X310" s="191"/>
      <c r="Y310" s="191"/>
      <c r="Z310" s="191"/>
    </row>
    <row r="311" spans="1:26" ht="15.75" customHeight="1" x14ac:dyDescent="0.2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U311" s="191"/>
      <c r="V311" s="191"/>
      <c r="W311" s="191"/>
      <c r="X311" s="191"/>
      <c r="Y311" s="191"/>
      <c r="Z311" s="191"/>
    </row>
    <row r="312" spans="1:26" ht="15.75" customHeight="1" x14ac:dyDescent="0.2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U312" s="191"/>
      <c r="V312" s="191"/>
      <c r="W312" s="191"/>
      <c r="X312" s="191"/>
      <c r="Y312" s="191"/>
      <c r="Z312" s="191"/>
    </row>
    <row r="313" spans="1:26" ht="15.75" customHeight="1" x14ac:dyDescent="0.2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U313" s="191"/>
      <c r="V313" s="191"/>
      <c r="W313" s="191"/>
      <c r="X313" s="191"/>
      <c r="Y313" s="191"/>
      <c r="Z313" s="191"/>
    </row>
    <row r="314" spans="1:26" ht="15.75" customHeight="1" x14ac:dyDescent="0.2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U314" s="191"/>
      <c r="V314" s="191"/>
      <c r="W314" s="191"/>
      <c r="X314" s="191"/>
      <c r="Y314" s="191"/>
      <c r="Z314" s="191"/>
    </row>
    <row r="315" spans="1:26" ht="15.75" customHeight="1" x14ac:dyDescent="0.2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U315" s="191"/>
      <c r="V315" s="191"/>
      <c r="W315" s="191"/>
      <c r="X315" s="191"/>
      <c r="Y315" s="191"/>
      <c r="Z315" s="191"/>
    </row>
    <row r="316" spans="1:26" ht="15.75" customHeight="1" x14ac:dyDescent="0.2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U316" s="191"/>
      <c r="V316" s="191"/>
      <c r="W316" s="191"/>
      <c r="X316" s="191"/>
      <c r="Y316" s="191"/>
      <c r="Z316" s="191"/>
    </row>
    <row r="317" spans="1:26" ht="15.75" customHeight="1" x14ac:dyDescent="0.2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U317" s="191"/>
      <c r="V317" s="191"/>
      <c r="W317" s="191"/>
      <c r="X317" s="191"/>
      <c r="Y317" s="191"/>
      <c r="Z317" s="191"/>
    </row>
    <row r="318" spans="1:26" ht="15.75" customHeight="1" x14ac:dyDescent="0.2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U318" s="191"/>
      <c r="V318" s="191"/>
      <c r="W318" s="191"/>
      <c r="X318" s="191"/>
      <c r="Y318" s="191"/>
      <c r="Z318" s="191"/>
    </row>
    <row r="319" spans="1:26" ht="15.75" customHeight="1" x14ac:dyDescent="0.2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U319" s="191"/>
      <c r="V319" s="191"/>
      <c r="W319" s="191"/>
      <c r="X319" s="191"/>
      <c r="Y319" s="191"/>
      <c r="Z319" s="191"/>
    </row>
    <row r="320" spans="1:26" ht="15.75" customHeight="1" x14ac:dyDescent="0.2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U320" s="191"/>
      <c r="V320" s="191"/>
      <c r="W320" s="191"/>
      <c r="X320" s="191"/>
      <c r="Y320" s="191"/>
      <c r="Z320" s="191"/>
    </row>
    <row r="321" spans="1:26" ht="15.75" customHeight="1" x14ac:dyDescent="0.2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U321" s="191"/>
      <c r="V321" s="191"/>
      <c r="W321" s="191"/>
      <c r="X321" s="191"/>
      <c r="Y321" s="191"/>
      <c r="Z321" s="191"/>
    </row>
    <row r="322" spans="1:26" ht="15.75" customHeight="1" x14ac:dyDescent="0.2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U322" s="191"/>
      <c r="V322" s="191"/>
      <c r="W322" s="191"/>
      <c r="X322" s="191"/>
      <c r="Y322" s="191"/>
      <c r="Z322" s="191"/>
    </row>
    <row r="323" spans="1:26" ht="15.75" customHeight="1" x14ac:dyDescent="0.2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U323" s="191"/>
      <c r="V323" s="191"/>
      <c r="W323" s="191"/>
      <c r="X323" s="191"/>
      <c r="Y323" s="191"/>
      <c r="Z323" s="191"/>
    </row>
    <row r="324" spans="1:26" ht="15.75" customHeight="1" x14ac:dyDescent="0.2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U324" s="191"/>
      <c r="V324" s="191"/>
      <c r="W324" s="191"/>
      <c r="X324" s="191"/>
      <c r="Y324" s="191"/>
      <c r="Z324" s="191"/>
    </row>
    <row r="325" spans="1:26" ht="15.75" customHeight="1" x14ac:dyDescent="0.2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U325" s="191"/>
      <c r="V325" s="191"/>
      <c r="W325" s="191"/>
      <c r="X325" s="191"/>
      <c r="Y325" s="191"/>
      <c r="Z325" s="191"/>
    </row>
    <row r="326" spans="1:26" ht="15.75" customHeight="1" x14ac:dyDescent="0.2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U326" s="191"/>
      <c r="V326" s="191"/>
      <c r="W326" s="191"/>
      <c r="X326" s="191"/>
      <c r="Y326" s="191"/>
      <c r="Z326" s="191"/>
    </row>
    <row r="327" spans="1:26" ht="15.75" customHeight="1" x14ac:dyDescent="0.2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U327" s="191"/>
      <c r="V327" s="191"/>
      <c r="W327" s="191"/>
      <c r="X327" s="191"/>
      <c r="Y327" s="191"/>
      <c r="Z327" s="191"/>
    </row>
    <row r="328" spans="1:26" ht="15.75" customHeight="1" x14ac:dyDescent="0.2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U328" s="191"/>
      <c r="V328" s="191"/>
      <c r="W328" s="191"/>
      <c r="X328" s="191"/>
      <c r="Y328" s="191"/>
      <c r="Z328" s="191"/>
    </row>
    <row r="329" spans="1:26" ht="15.75" customHeight="1" x14ac:dyDescent="0.2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U329" s="191"/>
      <c r="V329" s="191"/>
      <c r="W329" s="191"/>
      <c r="X329" s="191"/>
      <c r="Y329" s="191"/>
      <c r="Z329" s="191"/>
    </row>
    <row r="330" spans="1:26" ht="15.75" customHeight="1" x14ac:dyDescent="0.2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U330" s="191"/>
      <c r="V330" s="191"/>
      <c r="W330" s="191"/>
      <c r="X330" s="191"/>
      <c r="Y330" s="191"/>
      <c r="Z330" s="191"/>
    </row>
    <row r="331" spans="1:26" ht="15.75" customHeight="1" x14ac:dyDescent="0.2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U331" s="191"/>
      <c r="V331" s="191"/>
      <c r="W331" s="191"/>
      <c r="X331" s="191"/>
      <c r="Y331" s="191"/>
      <c r="Z331" s="191"/>
    </row>
    <row r="332" spans="1:26" ht="15.75" customHeight="1" x14ac:dyDescent="0.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U332" s="191"/>
      <c r="V332" s="191"/>
      <c r="W332" s="191"/>
      <c r="X332" s="191"/>
      <c r="Y332" s="191"/>
      <c r="Z332" s="191"/>
    </row>
    <row r="333" spans="1:26" ht="15.75" customHeight="1" x14ac:dyDescent="0.2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U333" s="191"/>
      <c r="V333" s="191"/>
      <c r="W333" s="191"/>
      <c r="X333" s="191"/>
      <c r="Y333" s="191"/>
      <c r="Z333" s="191"/>
    </row>
    <row r="334" spans="1:26" ht="15.75" customHeight="1" x14ac:dyDescent="0.2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U334" s="191"/>
      <c r="V334" s="191"/>
      <c r="W334" s="191"/>
      <c r="X334" s="191"/>
      <c r="Y334" s="191"/>
      <c r="Z334" s="191"/>
    </row>
    <row r="335" spans="1:26" ht="15.75" customHeight="1" x14ac:dyDescent="0.2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U335" s="191"/>
      <c r="V335" s="191"/>
      <c r="W335" s="191"/>
      <c r="X335" s="191"/>
      <c r="Y335" s="191"/>
      <c r="Z335" s="191"/>
    </row>
    <row r="336" spans="1:26" ht="15.75" customHeight="1" x14ac:dyDescent="0.2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U336" s="191"/>
      <c r="V336" s="191"/>
      <c r="W336" s="191"/>
      <c r="X336" s="191"/>
      <c r="Y336" s="191"/>
      <c r="Z336" s="191"/>
    </row>
    <row r="337" spans="1:26" ht="15.75" customHeight="1" x14ac:dyDescent="0.2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U337" s="191"/>
      <c r="V337" s="191"/>
      <c r="W337" s="191"/>
      <c r="X337" s="191"/>
      <c r="Y337" s="191"/>
      <c r="Z337" s="191"/>
    </row>
    <row r="338" spans="1:26" ht="15.75" customHeight="1" x14ac:dyDescent="0.2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U338" s="191"/>
      <c r="V338" s="191"/>
      <c r="W338" s="191"/>
      <c r="X338" s="191"/>
      <c r="Y338" s="191"/>
      <c r="Z338" s="191"/>
    </row>
    <row r="339" spans="1:26" ht="15.75" customHeight="1" x14ac:dyDescent="0.2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U339" s="191"/>
      <c r="V339" s="191"/>
      <c r="W339" s="191"/>
      <c r="X339" s="191"/>
      <c r="Y339" s="191"/>
      <c r="Z339" s="191"/>
    </row>
    <row r="340" spans="1:26" ht="15.75" customHeight="1" x14ac:dyDescent="0.2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U340" s="191"/>
      <c r="V340" s="191"/>
      <c r="W340" s="191"/>
      <c r="X340" s="191"/>
      <c r="Y340" s="191"/>
      <c r="Z340" s="191"/>
    </row>
    <row r="341" spans="1:26" ht="15.75" customHeight="1" x14ac:dyDescent="0.2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U341" s="191"/>
      <c r="V341" s="191"/>
      <c r="W341" s="191"/>
      <c r="X341" s="191"/>
      <c r="Y341" s="191"/>
      <c r="Z341" s="191"/>
    </row>
    <row r="342" spans="1:26" ht="15.75" customHeight="1" x14ac:dyDescent="0.2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U342" s="191"/>
      <c r="V342" s="191"/>
      <c r="W342" s="191"/>
      <c r="X342" s="191"/>
      <c r="Y342" s="191"/>
      <c r="Z342" s="191"/>
    </row>
    <row r="343" spans="1:26" ht="15.75" customHeight="1" x14ac:dyDescent="0.2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U343" s="191"/>
      <c r="V343" s="191"/>
      <c r="W343" s="191"/>
      <c r="X343" s="191"/>
      <c r="Y343" s="191"/>
      <c r="Z343" s="191"/>
    </row>
    <row r="344" spans="1:26" ht="15.75" customHeight="1" x14ac:dyDescent="0.2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U344" s="191"/>
      <c r="V344" s="191"/>
      <c r="W344" s="191"/>
      <c r="X344" s="191"/>
      <c r="Y344" s="191"/>
      <c r="Z344" s="191"/>
    </row>
    <row r="345" spans="1:26" ht="15.75" customHeight="1" x14ac:dyDescent="0.2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U345" s="191"/>
      <c r="V345" s="191"/>
      <c r="W345" s="191"/>
      <c r="X345" s="191"/>
      <c r="Y345" s="191"/>
      <c r="Z345" s="191"/>
    </row>
    <row r="346" spans="1:26" ht="15.75" customHeight="1" x14ac:dyDescent="0.2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U346" s="191"/>
      <c r="V346" s="191"/>
      <c r="W346" s="191"/>
      <c r="X346" s="191"/>
      <c r="Y346" s="191"/>
      <c r="Z346" s="191"/>
    </row>
    <row r="347" spans="1:26" ht="15.75" customHeight="1" x14ac:dyDescent="0.2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U347" s="191"/>
      <c r="V347" s="191"/>
      <c r="W347" s="191"/>
      <c r="X347" s="191"/>
      <c r="Y347" s="191"/>
      <c r="Z347" s="191"/>
    </row>
    <row r="348" spans="1:26" ht="15.75" customHeight="1" x14ac:dyDescent="0.2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U348" s="191"/>
      <c r="V348" s="191"/>
      <c r="W348" s="191"/>
      <c r="X348" s="191"/>
      <c r="Y348" s="191"/>
      <c r="Z348" s="191"/>
    </row>
    <row r="349" spans="1:26" ht="15.75" customHeight="1" x14ac:dyDescent="0.2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U349" s="191"/>
      <c r="V349" s="191"/>
      <c r="W349" s="191"/>
      <c r="X349" s="191"/>
      <c r="Y349" s="191"/>
      <c r="Z349" s="191"/>
    </row>
    <row r="350" spans="1:26" ht="15.75" customHeight="1" x14ac:dyDescent="0.2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U350" s="191"/>
      <c r="V350" s="191"/>
      <c r="W350" s="191"/>
      <c r="X350" s="191"/>
      <c r="Y350" s="191"/>
      <c r="Z350" s="191"/>
    </row>
    <row r="351" spans="1:26" ht="15.75" customHeight="1" x14ac:dyDescent="0.2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U351" s="191"/>
      <c r="V351" s="191"/>
      <c r="W351" s="191"/>
      <c r="X351" s="191"/>
      <c r="Y351" s="191"/>
      <c r="Z351" s="191"/>
    </row>
    <row r="352" spans="1:26" ht="15.75" customHeight="1" x14ac:dyDescent="0.2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U352" s="191"/>
      <c r="V352" s="191"/>
      <c r="W352" s="191"/>
      <c r="X352" s="191"/>
      <c r="Y352" s="191"/>
      <c r="Z352" s="191"/>
    </row>
    <row r="353" spans="1:26" ht="15.75" customHeight="1" x14ac:dyDescent="0.2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U353" s="191"/>
      <c r="V353" s="191"/>
      <c r="W353" s="191"/>
      <c r="X353" s="191"/>
      <c r="Y353" s="191"/>
      <c r="Z353" s="191"/>
    </row>
    <row r="354" spans="1:26" ht="15.75" customHeight="1" x14ac:dyDescent="0.2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U354" s="191"/>
      <c r="V354" s="191"/>
      <c r="W354" s="191"/>
      <c r="X354" s="191"/>
      <c r="Y354" s="191"/>
      <c r="Z354" s="191"/>
    </row>
    <row r="355" spans="1:26" ht="15.75" customHeight="1" x14ac:dyDescent="0.2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U355" s="191"/>
      <c r="V355" s="191"/>
      <c r="W355" s="191"/>
      <c r="X355" s="191"/>
      <c r="Y355" s="191"/>
      <c r="Z355" s="191"/>
    </row>
    <row r="356" spans="1:26" ht="15.75" customHeight="1" x14ac:dyDescent="0.2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U356" s="191"/>
      <c r="V356" s="191"/>
      <c r="W356" s="191"/>
      <c r="X356" s="191"/>
      <c r="Y356" s="191"/>
      <c r="Z356" s="191"/>
    </row>
    <row r="357" spans="1:26" ht="15.75" customHeight="1" x14ac:dyDescent="0.2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U357" s="191"/>
      <c r="V357" s="191"/>
      <c r="W357" s="191"/>
      <c r="X357" s="191"/>
      <c r="Y357" s="191"/>
      <c r="Z357" s="191"/>
    </row>
    <row r="358" spans="1:26" ht="15.75" customHeight="1" x14ac:dyDescent="0.2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U358" s="191"/>
      <c r="V358" s="191"/>
      <c r="W358" s="191"/>
      <c r="X358" s="191"/>
      <c r="Y358" s="191"/>
      <c r="Z358" s="191"/>
    </row>
    <row r="359" spans="1:26" ht="15.75" customHeight="1" x14ac:dyDescent="0.2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U359" s="191"/>
      <c r="V359" s="191"/>
      <c r="W359" s="191"/>
      <c r="X359" s="191"/>
      <c r="Y359" s="191"/>
      <c r="Z359" s="191"/>
    </row>
    <row r="360" spans="1:26" ht="15.75" customHeight="1" x14ac:dyDescent="0.2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U360" s="191"/>
      <c r="V360" s="191"/>
      <c r="W360" s="191"/>
      <c r="X360" s="191"/>
      <c r="Y360" s="191"/>
      <c r="Z360" s="191"/>
    </row>
    <row r="361" spans="1:26" ht="15.75" customHeight="1" x14ac:dyDescent="0.2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U361" s="191"/>
      <c r="V361" s="191"/>
      <c r="W361" s="191"/>
      <c r="X361" s="191"/>
      <c r="Y361" s="191"/>
      <c r="Z361" s="191"/>
    </row>
    <row r="362" spans="1:26" ht="15.75" customHeight="1" x14ac:dyDescent="0.2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U362" s="191"/>
      <c r="V362" s="191"/>
      <c r="W362" s="191"/>
      <c r="X362" s="191"/>
      <c r="Y362" s="191"/>
      <c r="Z362" s="191"/>
    </row>
    <row r="363" spans="1:26" ht="15.75" customHeight="1" x14ac:dyDescent="0.2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U363" s="191"/>
      <c r="V363" s="191"/>
      <c r="W363" s="191"/>
      <c r="X363" s="191"/>
      <c r="Y363" s="191"/>
      <c r="Z363" s="191"/>
    </row>
    <row r="364" spans="1:26" ht="15.75" customHeight="1" x14ac:dyDescent="0.2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U364" s="191"/>
      <c r="V364" s="191"/>
      <c r="W364" s="191"/>
      <c r="X364" s="191"/>
      <c r="Y364" s="191"/>
      <c r="Z364" s="191"/>
    </row>
    <row r="365" spans="1:26" ht="15.75" customHeight="1" x14ac:dyDescent="0.2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U365" s="191"/>
      <c r="V365" s="191"/>
      <c r="W365" s="191"/>
      <c r="X365" s="191"/>
      <c r="Y365" s="191"/>
      <c r="Z365" s="191"/>
    </row>
    <row r="366" spans="1:26" ht="15.75" customHeight="1" x14ac:dyDescent="0.2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U366" s="191"/>
      <c r="V366" s="191"/>
      <c r="W366" s="191"/>
      <c r="X366" s="191"/>
      <c r="Y366" s="191"/>
      <c r="Z366" s="191"/>
    </row>
    <row r="367" spans="1:26" ht="15.75" customHeight="1" x14ac:dyDescent="0.2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U367" s="191"/>
      <c r="V367" s="191"/>
      <c r="W367" s="191"/>
      <c r="X367" s="191"/>
      <c r="Y367" s="191"/>
      <c r="Z367" s="191"/>
    </row>
    <row r="368" spans="1:26" ht="15.75" customHeight="1" x14ac:dyDescent="0.2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U368" s="191"/>
      <c r="V368" s="191"/>
      <c r="W368" s="191"/>
      <c r="X368" s="191"/>
      <c r="Y368" s="191"/>
      <c r="Z368" s="191"/>
    </row>
    <row r="369" spans="1:26" ht="15.75" customHeight="1" x14ac:dyDescent="0.2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U369" s="191"/>
      <c r="V369" s="191"/>
      <c r="W369" s="191"/>
      <c r="X369" s="191"/>
      <c r="Y369" s="191"/>
      <c r="Z369" s="191"/>
    </row>
    <row r="370" spans="1:26" ht="15.75" customHeight="1" x14ac:dyDescent="0.2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U370" s="191"/>
      <c r="V370" s="191"/>
      <c r="W370" s="191"/>
      <c r="X370" s="191"/>
      <c r="Y370" s="191"/>
      <c r="Z370" s="191"/>
    </row>
    <row r="371" spans="1:26" ht="15.75" customHeight="1" x14ac:dyDescent="0.2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U371" s="191"/>
      <c r="V371" s="191"/>
      <c r="W371" s="191"/>
      <c r="X371" s="191"/>
      <c r="Y371" s="191"/>
      <c r="Z371" s="191"/>
    </row>
    <row r="372" spans="1:26" ht="15.75" customHeight="1" x14ac:dyDescent="0.2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U372" s="191"/>
      <c r="V372" s="191"/>
      <c r="W372" s="191"/>
      <c r="X372" s="191"/>
      <c r="Y372" s="191"/>
      <c r="Z372" s="191"/>
    </row>
    <row r="373" spans="1:26" ht="15.75" customHeight="1" x14ac:dyDescent="0.2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U373" s="191"/>
      <c r="V373" s="191"/>
      <c r="W373" s="191"/>
      <c r="X373" s="191"/>
      <c r="Y373" s="191"/>
      <c r="Z373" s="191"/>
    </row>
    <row r="374" spans="1:26" ht="15.75" customHeight="1" x14ac:dyDescent="0.2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U374" s="191"/>
      <c r="V374" s="191"/>
      <c r="W374" s="191"/>
      <c r="X374" s="191"/>
      <c r="Y374" s="191"/>
      <c r="Z374" s="191"/>
    </row>
    <row r="375" spans="1:26" ht="15.75" customHeight="1" x14ac:dyDescent="0.2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U375" s="191"/>
      <c r="V375" s="191"/>
      <c r="W375" s="191"/>
      <c r="X375" s="191"/>
      <c r="Y375" s="191"/>
      <c r="Z375" s="191"/>
    </row>
    <row r="376" spans="1:26" ht="15.75" customHeight="1" x14ac:dyDescent="0.2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U376" s="191"/>
      <c r="V376" s="191"/>
      <c r="W376" s="191"/>
      <c r="X376" s="191"/>
      <c r="Y376" s="191"/>
      <c r="Z376" s="191"/>
    </row>
    <row r="377" spans="1:26" ht="15.75" customHeight="1" x14ac:dyDescent="0.2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U377" s="191"/>
      <c r="V377" s="191"/>
      <c r="W377" s="191"/>
      <c r="X377" s="191"/>
      <c r="Y377" s="191"/>
      <c r="Z377" s="191"/>
    </row>
    <row r="378" spans="1:26" ht="15.75" customHeight="1" x14ac:dyDescent="0.2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U378" s="191"/>
      <c r="V378" s="191"/>
      <c r="W378" s="191"/>
      <c r="X378" s="191"/>
      <c r="Y378" s="191"/>
      <c r="Z378" s="191"/>
    </row>
    <row r="379" spans="1:26" ht="15.75" customHeight="1" x14ac:dyDescent="0.2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U379" s="191"/>
      <c r="V379" s="191"/>
      <c r="W379" s="191"/>
      <c r="X379" s="191"/>
      <c r="Y379" s="191"/>
      <c r="Z379" s="191"/>
    </row>
    <row r="380" spans="1:26" ht="15.75" customHeight="1" x14ac:dyDescent="0.2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U380" s="191"/>
      <c r="V380" s="191"/>
      <c r="W380" s="191"/>
      <c r="X380" s="191"/>
      <c r="Y380" s="191"/>
      <c r="Z380" s="191"/>
    </row>
    <row r="381" spans="1:26" ht="15.75" customHeight="1" x14ac:dyDescent="0.2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U381" s="191"/>
      <c r="V381" s="191"/>
      <c r="W381" s="191"/>
      <c r="X381" s="191"/>
      <c r="Y381" s="191"/>
      <c r="Z381" s="191"/>
    </row>
    <row r="382" spans="1:26" ht="15.75" customHeight="1" x14ac:dyDescent="0.2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U382" s="191"/>
      <c r="V382" s="191"/>
      <c r="W382" s="191"/>
      <c r="X382" s="191"/>
      <c r="Y382" s="191"/>
      <c r="Z382" s="191"/>
    </row>
    <row r="383" spans="1:26" ht="15.75" customHeight="1" x14ac:dyDescent="0.2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U383" s="191"/>
      <c r="V383" s="191"/>
      <c r="W383" s="191"/>
      <c r="X383" s="191"/>
      <c r="Y383" s="191"/>
      <c r="Z383" s="191"/>
    </row>
    <row r="384" spans="1:26" ht="15.75" customHeight="1" x14ac:dyDescent="0.2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U384" s="191"/>
      <c r="V384" s="191"/>
      <c r="W384" s="191"/>
      <c r="X384" s="191"/>
      <c r="Y384" s="191"/>
      <c r="Z384" s="191"/>
    </row>
    <row r="385" spans="1:26" ht="15.75" customHeight="1" x14ac:dyDescent="0.2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U385" s="191"/>
      <c r="V385" s="191"/>
      <c r="W385" s="191"/>
      <c r="X385" s="191"/>
      <c r="Y385" s="191"/>
      <c r="Z385" s="191"/>
    </row>
    <row r="386" spans="1:26" ht="15.75" customHeight="1" x14ac:dyDescent="0.2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U386" s="191"/>
      <c r="V386" s="191"/>
      <c r="W386" s="191"/>
      <c r="X386" s="191"/>
      <c r="Y386" s="191"/>
      <c r="Z386" s="191"/>
    </row>
    <row r="387" spans="1:26" ht="15.75" customHeight="1" x14ac:dyDescent="0.2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U387" s="191"/>
      <c r="V387" s="191"/>
      <c r="W387" s="191"/>
      <c r="X387" s="191"/>
      <c r="Y387" s="191"/>
      <c r="Z387" s="191"/>
    </row>
    <row r="388" spans="1:26" ht="15.75" customHeight="1" x14ac:dyDescent="0.2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U388" s="191"/>
      <c r="V388" s="191"/>
      <c r="W388" s="191"/>
      <c r="X388" s="191"/>
      <c r="Y388" s="191"/>
      <c r="Z388" s="191"/>
    </row>
    <row r="389" spans="1:26" ht="15.75" customHeight="1" x14ac:dyDescent="0.2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U389" s="191"/>
      <c r="V389" s="191"/>
      <c r="W389" s="191"/>
      <c r="X389" s="191"/>
      <c r="Y389" s="191"/>
      <c r="Z389" s="191"/>
    </row>
    <row r="390" spans="1:26" ht="15.75" customHeight="1" x14ac:dyDescent="0.2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U390" s="191"/>
      <c r="V390" s="191"/>
      <c r="W390" s="191"/>
      <c r="X390" s="191"/>
      <c r="Y390" s="191"/>
      <c r="Z390" s="191"/>
    </row>
    <row r="391" spans="1:26" ht="15.75" customHeight="1" x14ac:dyDescent="0.2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U391" s="191"/>
      <c r="V391" s="191"/>
      <c r="W391" s="191"/>
      <c r="X391" s="191"/>
      <c r="Y391" s="191"/>
      <c r="Z391" s="191"/>
    </row>
    <row r="392" spans="1:26" ht="15.75" customHeight="1" x14ac:dyDescent="0.2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U392" s="191"/>
      <c r="V392" s="191"/>
      <c r="W392" s="191"/>
      <c r="X392" s="191"/>
      <c r="Y392" s="191"/>
      <c r="Z392" s="191"/>
    </row>
    <row r="393" spans="1:26" ht="15.75" customHeight="1" x14ac:dyDescent="0.2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U393" s="191"/>
      <c r="V393" s="191"/>
      <c r="W393" s="191"/>
      <c r="X393" s="191"/>
      <c r="Y393" s="191"/>
      <c r="Z393" s="191"/>
    </row>
    <row r="394" spans="1:26" ht="15.75" customHeight="1" x14ac:dyDescent="0.2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U394" s="191"/>
      <c r="V394" s="191"/>
      <c r="W394" s="191"/>
      <c r="X394" s="191"/>
      <c r="Y394" s="191"/>
      <c r="Z394" s="191"/>
    </row>
    <row r="395" spans="1:26" ht="15.75" customHeight="1" x14ac:dyDescent="0.2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U395" s="191"/>
      <c r="V395" s="191"/>
      <c r="W395" s="191"/>
      <c r="X395" s="191"/>
      <c r="Y395" s="191"/>
      <c r="Z395" s="191"/>
    </row>
    <row r="396" spans="1:26" ht="15.75" customHeight="1" x14ac:dyDescent="0.2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U396" s="191"/>
      <c r="V396" s="191"/>
      <c r="W396" s="191"/>
      <c r="X396" s="191"/>
      <c r="Y396" s="191"/>
      <c r="Z396" s="191"/>
    </row>
    <row r="397" spans="1:26" ht="15.75" customHeight="1" x14ac:dyDescent="0.2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U397" s="191"/>
      <c r="V397" s="191"/>
      <c r="W397" s="191"/>
      <c r="X397" s="191"/>
      <c r="Y397" s="191"/>
      <c r="Z397" s="191"/>
    </row>
    <row r="398" spans="1:26" ht="15.75" customHeight="1" x14ac:dyDescent="0.2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U398" s="191"/>
      <c r="V398" s="191"/>
      <c r="W398" s="191"/>
      <c r="X398" s="191"/>
      <c r="Y398" s="191"/>
      <c r="Z398" s="191"/>
    </row>
    <row r="399" spans="1:26" ht="15.75" customHeight="1" x14ac:dyDescent="0.2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U399" s="191"/>
      <c r="V399" s="191"/>
      <c r="W399" s="191"/>
      <c r="X399" s="191"/>
      <c r="Y399" s="191"/>
      <c r="Z399" s="191"/>
    </row>
    <row r="400" spans="1:26" ht="15.75" customHeight="1" x14ac:dyDescent="0.2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U400" s="191"/>
      <c r="V400" s="191"/>
      <c r="W400" s="191"/>
      <c r="X400" s="191"/>
      <c r="Y400" s="191"/>
      <c r="Z400" s="191"/>
    </row>
    <row r="401" spans="1:26" ht="15.75" customHeight="1" x14ac:dyDescent="0.2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U401" s="191"/>
      <c r="V401" s="191"/>
      <c r="W401" s="191"/>
      <c r="X401" s="191"/>
      <c r="Y401" s="191"/>
      <c r="Z401" s="191"/>
    </row>
    <row r="402" spans="1:26" ht="15.75" customHeight="1" x14ac:dyDescent="0.2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U402" s="191"/>
      <c r="V402" s="191"/>
      <c r="W402" s="191"/>
      <c r="X402" s="191"/>
      <c r="Y402" s="191"/>
      <c r="Z402" s="191"/>
    </row>
    <row r="403" spans="1:26" ht="15.75" customHeight="1" x14ac:dyDescent="0.2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U403" s="191"/>
      <c r="V403" s="191"/>
      <c r="W403" s="191"/>
      <c r="X403" s="191"/>
      <c r="Y403" s="191"/>
      <c r="Z403" s="191"/>
    </row>
    <row r="404" spans="1:26" ht="15.75" customHeight="1" x14ac:dyDescent="0.2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U404" s="191"/>
      <c r="V404" s="191"/>
      <c r="W404" s="191"/>
      <c r="X404" s="191"/>
      <c r="Y404" s="191"/>
      <c r="Z404" s="191"/>
    </row>
    <row r="405" spans="1:26" ht="15.75" customHeight="1" x14ac:dyDescent="0.2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U405" s="191"/>
      <c r="V405" s="191"/>
      <c r="W405" s="191"/>
      <c r="X405" s="191"/>
      <c r="Y405" s="191"/>
      <c r="Z405" s="191"/>
    </row>
    <row r="406" spans="1:26" ht="15.75" customHeight="1" x14ac:dyDescent="0.2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U406" s="191"/>
      <c r="V406" s="191"/>
      <c r="W406" s="191"/>
      <c r="X406" s="191"/>
      <c r="Y406" s="191"/>
      <c r="Z406" s="191"/>
    </row>
    <row r="407" spans="1:26" ht="15.75" customHeight="1" x14ac:dyDescent="0.2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U407" s="191"/>
      <c r="V407" s="191"/>
      <c r="W407" s="191"/>
      <c r="X407" s="191"/>
      <c r="Y407" s="191"/>
      <c r="Z407" s="191"/>
    </row>
    <row r="408" spans="1:26" ht="15.75" customHeight="1" x14ac:dyDescent="0.2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U408" s="191"/>
      <c r="V408" s="191"/>
      <c r="W408" s="191"/>
      <c r="X408" s="191"/>
      <c r="Y408" s="191"/>
      <c r="Z408" s="191"/>
    </row>
    <row r="409" spans="1:26" ht="15.75" customHeight="1" x14ac:dyDescent="0.2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U409" s="191"/>
      <c r="V409" s="191"/>
      <c r="W409" s="191"/>
      <c r="X409" s="191"/>
      <c r="Y409" s="191"/>
      <c r="Z409" s="191"/>
    </row>
    <row r="410" spans="1:26" ht="15.75" customHeight="1" x14ac:dyDescent="0.2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U410" s="191"/>
      <c r="V410" s="191"/>
      <c r="W410" s="191"/>
      <c r="X410" s="191"/>
      <c r="Y410" s="191"/>
      <c r="Z410" s="191"/>
    </row>
    <row r="411" spans="1:26" ht="15.75" customHeight="1" x14ac:dyDescent="0.2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U411" s="191"/>
      <c r="V411" s="191"/>
      <c r="W411" s="191"/>
      <c r="X411" s="191"/>
      <c r="Y411" s="191"/>
      <c r="Z411" s="191"/>
    </row>
    <row r="412" spans="1:26" ht="15.75" customHeight="1" x14ac:dyDescent="0.2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U412" s="191"/>
      <c r="V412" s="191"/>
      <c r="W412" s="191"/>
      <c r="X412" s="191"/>
      <c r="Y412" s="191"/>
      <c r="Z412" s="191"/>
    </row>
    <row r="413" spans="1:26" ht="15.75" customHeight="1" x14ac:dyDescent="0.2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U413" s="191"/>
      <c r="V413" s="191"/>
      <c r="W413" s="191"/>
      <c r="X413" s="191"/>
      <c r="Y413" s="191"/>
      <c r="Z413" s="191"/>
    </row>
    <row r="414" spans="1:26" ht="15.75" customHeight="1" x14ac:dyDescent="0.2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U414" s="191"/>
      <c r="V414" s="191"/>
      <c r="W414" s="191"/>
      <c r="X414" s="191"/>
      <c r="Y414" s="191"/>
      <c r="Z414" s="191"/>
    </row>
    <row r="415" spans="1:26" ht="15.75" customHeight="1" x14ac:dyDescent="0.2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U415" s="191"/>
      <c r="V415" s="191"/>
      <c r="W415" s="191"/>
      <c r="X415" s="191"/>
      <c r="Y415" s="191"/>
      <c r="Z415" s="191"/>
    </row>
    <row r="416" spans="1:26" ht="15.75" customHeight="1" x14ac:dyDescent="0.2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U416" s="191"/>
      <c r="V416" s="191"/>
      <c r="W416" s="191"/>
      <c r="X416" s="191"/>
      <c r="Y416" s="191"/>
      <c r="Z416" s="191"/>
    </row>
    <row r="417" spans="1:26" ht="15.75" customHeight="1" x14ac:dyDescent="0.2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U417" s="191"/>
      <c r="V417" s="191"/>
      <c r="W417" s="191"/>
      <c r="X417" s="191"/>
      <c r="Y417" s="191"/>
      <c r="Z417" s="191"/>
    </row>
    <row r="418" spans="1:26" ht="15.75" customHeight="1" x14ac:dyDescent="0.2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U418" s="191"/>
      <c r="V418" s="191"/>
      <c r="W418" s="191"/>
      <c r="X418" s="191"/>
      <c r="Y418" s="191"/>
      <c r="Z418" s="191"/>
    </row>
    <row r="419" spans="1:26" ht="15.75" customHeight="1" x14ac:dyDescent="0.2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U419" s="191"/>
      <c r="V419" s="191"/>
      <c r="W419" s="191"/>
      <c r="X419" s="191"/>
      <c r="Y419" s="191"/>
      <c r="Z419" s="191"/>
    </row>
    <row r="420" spans="1:26" ht="15.75" customHeight="1" x14ac:dyDescent="0.2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U420" s="191"/>
      <c r="V420" s="191"/>
      <c r="W420" s="191"/>
      <c r="X420" s="191"/>
      <c r="Y420" s="191"/>
      <c r="Z420" s="191"/>
    </row>
    <row r="421" spans="1:26" ht="15.75" customHeight="1" x14ac:dyDescent="0.2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U421" s="191"/>
      <c r="V421" s="191"/>
      <c r="W421" s="191"/>
      <c r="X421" s="191"/>
      <c r="Y421" s="191"/>
      <c r="Z421" s="191"/>
    </row>
    <row r="422" spans="1:26" ht="15.75" customHeight="1" x14ac:dyDescent="0.2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U422" s="191"/>
      <c r="V422" s="191"/>
      <c r="W422" s="191"/>
      <c r="X422" s="191"/>
      <c r="Y422" s="191"/>
      <c r="Z422" s="191"/>
    </row>
    <row r="423" spans="1:26" ht="15.75" customHeight="1" x14ac:dyDescent="0.2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U423" s="191"/>
      <c r="V423" s="191"/>
      <c r="W423" s="191"/>
      <c r="X423" s="191"/>
      <c r="Y423" s="191"/>
      <c r="Z423" s="191"/>
    </row>
    <row r="424" spans="1:26" ht="15.75" customHeight="1" x14ac:dyDescent="0.2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U424" s="191"/>
      <c r="V424" s="191"/>
      <c r="W424" s="191"/>
      <c r="X424" s="191"/>
      <c r="Y424" s="191"/>
      <c r="Z424" s="191"/>
    </row>
    <row r="425" spans="1:26" ht="15.75" customHeight="1" x14ac:dyDescent="0.2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U425" s="191"/>
      <c r="V425" s="191"/>
      <c r="W425" s="191"/>
      <c r="X425" s="191"/>
      <c r="Y425" s="191"/>
      <c r="Z425" s="191"/>
    </row>
    <row r="426" spans="1:26" ht="15.75" customHeight="1" x14ac:dyDescent="0.2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U426" s="191"/>
      <c r="V426" s="191"/>
      <c r="W426" s="191"/>
      <c r="X426" s="191"/>
      <c r="Y426" s="191"/>
      <c r="Z426" s="191"/>
    </row>
    <row r="427" spans="1:26" ht="15.75" customHeight="1" x14ac:dyDescent="0.2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U427" s="191"/>
      <c r="V427" s="191"/>
      <c r="W427" s="191"/>
      <c r="X427" s="191"/>
      <c r="Y427" s="191"/>
      <c r="Z427" s="191"/>
    </row>
    <row r="428" spans="1:26" ht="15.75" customHeight="1" x14ac:dyDescent="0.2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U428" s="191"/>
      <c r="V428" s="191"/>
      <c r="W428" s="191"/>
      <c r="X428" s="191"/>
      <c r="Y428" s="191"/>
      <c r="Z428" s="191"/>
    </row>
    <row r="429" spans="1:26" ht="15.75" customHeight="1" x14ac:dyDescent="0.2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U429" s="191"/>
      <c r="V429" s="191"/>
      <c r="W429" s="191"/>
      <c r="X429" s="191"/>
      <c r="Y429" s="191"/>
      <c r="Z429" s="191"/>
    </row>
    <row r="430" spans="1:26" ht="15.75" customHeight="1" x14ac:dyDescent="0.2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U430" s="191"/>
      <c r="V430" s="191"/>
      <c r="W430" s="191"/>
      <c r="X430" s="191"/>
      <c r="Y430" s="191"/>
      <c r="Z430" s="191"/>
    </row>
    <row r="431" spans="1:26" ht="15.75" customHeight="1" x14ac:dyDescent="0.2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U431" s="191"/>
      <c r="V431" s="191"/>
      <c r="W431" s="191"/>
      <c r="X431" s="191"/>
      <c r="Y431" s="191"/>
      <c r="Z431" s="191"/>
    </row>
    <row r="432" spans="1:26" ht="15.75" customHeight="1" x14ac:dyDescent="0.2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U432" s="191"/>
      <c r="V432" s="191"/>
      <c r="W432" s="191"/>
      <c r="X432" s="191"/>
      <c r="Y432" s="191"/>
      <c r="Z432" s="191"/>
    </row>
    <row r="433" spans="1:26" ht="15.75" customHeight="1" x14ac:dyDescent="0.2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U433" s="191"/>
      <c r="V433" s="191"/>
      <c r="W433" s="191"/>
      <c r="X433" s="191"/>
      <c r="Y433" s="191"/>
      <c r="Z433" s="191"/>
    </row>
    <row r="434" spans="1:26" ht="15.75" customHeight="1" x14ac:dyDescent="0.2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U434" s="191"/>
      <c r="V434" s="191"/>
      <c r="W434" s="191"/>
      <c r="X434" s="191"/>
      <c r="Y434" s="191"/>
      <c r="Z434" s="191"/>
    </row>
    <row r="435" spans="1:26" ht="15.75" customHeight="1" x14ac:dyDescent="0.2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U435" s="191"/>
      <c r="V435" s="191"/>
      <c r="W435" s="191"/>
      <c r="X435" s="191"/>
      <c r="Y435" s="191"/>
      <c r="Z435" s="191"/>
    </row>
    <row r="436" spans="1:26" ht="15.75" customHeight="1" x14ac:dyDescent="0.2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U436" s="191"/>
      <c r="V436" s="191"/>
      <c r="W436" s="191"/>
      <c r="X436" s="191"/>
      <c r="Y436" s="191"/>
      <c r="Z436" s="191"/>
    </row>
    <row r="437" spans="1:26" ht="15.75" customHeight="1" x14ac:dyDescent="0.2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U437" s="191"/>
      <c r="V437" s="191"/>
      <c r="W437" s="191"/>
      <c r="X437" s="191"/>
      <c r="Y437" s="191"/>
      <c r="Z437" s="191"/>
    </row>
    <row r="438" spans="1:26" ht="15.75" customHeight="1" x14ac:dyDescent="0.2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U438" s="191"/>
      <c r="V438" s="191"/>
      <c r="W438" s="191"/>
      <c r="X438" s="191"/>
      <c r="Y438" s="191"/>
      <c r="Z438" s="191"/>
    </row>
    <row r="439" spans="1:26" ht="15.75" customHeight="1" x14ac:dyDescent="0.2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U439" s="191"/>
      <c r="V439" s="191"/>
      <c r="W439" s="191"/>
      <c r="X439" s="191"/>
      <c r="Y439" s="191"/>
      <c r="Z439" s="191"/>
    </row>
    <row r="440" spans="1:26" ht="15.75" customHeight="1" x14ac:dyDescent="0.2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U440" s="191"/>
      <c r="V440" s="191"/>
      <c r="W440" s="191"/>
      <c r="X440" s="191"/>
      <c r="Y440" s="191"/>
      <c r="Z440" s="191"/>
    </row>
    <row r="441" spans="1:26" ht="15.75" customHeight="1" x14ac:dyDescent="0.2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U441" s="191"/>
      <c r="V441" s="191"/>
      <c r="W441" s="191"/>
      <c r="X441" s="191"/>
      <c r="Y441" s="191"/>
      <c r="Z441" s="191"/>
    </row>
    <row r="442" spans="1:26" ht="15.75" customHeight="1" x14ac:dyDescent="0.2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U442" s="191"/>
      <c r="V442" s="191"/>
      <c r="W442" s="191"/>
      <c r="X442" s="191"/>
      <c r="Y442" s="191"/>
      <c r="Z442" s="191"/>
    </row>
    <row r="443" spans="1:26" ht="15.75" customHeight="1" x14ac:dyDescent="0.2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U443" s="191"/>
      <c r="V443" s="191"/>
      <c r="W443" s="191"/>
      <c r="X443" s="191"/>
      <c r="Y443" s="191"/>
      <c r="Z443" s="191"/>
    </row>
    <row r="444" spans="1:26" ht="15.75" customHeight="1" x14ac:dyDescent="0.2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U444" s="191"/>
      <c r="V444" s="191"/>
      <c r="W444" s="191"/>
      <c r="X444" s="191"/>
      <c r="Y444" s="191"/>
      <c r="Z444" s="191"/>
    </row>
    <row r="445" spans="1:26" ht="15.75" customHeight="1" x14ac:dyDescent="0.2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U445" s="191"/>
      <c r="V445" s="191"/>
      <c r="W445" s="191"/>
      <c r="X445" s="191"/>
      <c r="Y445" s="191"/>
      <c r="Z445" s="191"/>
    </row>
    <row r="446" spans="1:26" ht="15.75" customHeight="1" x14ac:dyDescent="0.2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U446" s="191"/>
      <c r="V446" s="191"/>
      <c r="W446" s="191"/>
      <c r="X446" s="191"/>
      <c r="Y446" s="191"/>
      <c r="Z446" s="191"/>
    </row>
    <row r="447" spans="1:26" ht="15.75" customHeight="1" x14ac:dyDescent="0.2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U447" s="191"/>
      <c r="V447" s="191"/>
      <c r="W447" s="191"/>
      <c r="X447" s="191"/>
      <c r="Y447" s="191"/>
      <c r="Z447" s="191"/>
    </row>
    <row r="448" spans="1:26" ht="15.75" customHeight="1" x14ac:dyDescent="0.2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U448" s="191"/>
      <c r="V448" s="191"/>
      <c r="W448" s="191"/>
      <c r="X448" s="191"/>
      <c r="Y448" s="191"/>
      <c r="Z448" s="191"/>
    </row>
    <row r="449" spans="1:26" ht="15.75" customHeight="1" x14ac:dyDescent="0.2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U449" s="191"/>
      <c r="V449" s="191"/>
      <c r="W449" s="191"/>
      <c r="X449" s="191"/>
      <c r="Y449" s="191"/>
      <c r="Z449" s="191"/>
    </row>
    <row r="450" spans="1:26" ht="15.75" customHeight="1" x14ac:dyDescent="0.2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U450" s="191"/>
      <c r="V450" s="191"/>
      <c r="W450" s="191"/>
      <c r="X450" s="191"/>
      <c r="Y450" s="191"/>
      <c r="Z450" s="191"/>
    </row>
    <row r="451" spans="1:26" ht="15.75" customHeight="1" x14ac:dyDescent="0.2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U451" s="191"/>
      <c r="V451" s="191"/>
      <c r="W451" s="191"/>
      <c r="X451" s="191"/>
      <c r="Y451" s="191"/>
      <c r="Z451" s="191"/>
    </row>
    <row r="452" spans="1:26" ht="15.75" customHeight="1" x14ac:dyDescent="0.2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U452" s="191"/>
      <c r="V452" s="191"/>
      <c r="W452" s="191"/>
      <c r="X452" s="191"/>
      <c r="Y452" s="191"/>
      <c r="Z452" s="191"/>
    </row>
    <row r="453" spans="1:26" ht="15.75" customHeight="1" x14ac:dyDescent="0.2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U453" s="191"/>
      <c r="V453" s="191"/>
      <c r="W453" s="191"/>
      <c r="X453" s="191"/>
      <c r="Y453" s="191"/>
      <c r="Z453" s="191"/>
    </row>
    <row r="454" spans="1:26" ht="15.75" customHeight="1" x14ac:dyDescent="0.2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U454" s="191"/>
      <c r="V454" s="191"/>
      <c r="W454" s="191"/>
      <c r="X454" s="191"/>
      <c r="Y454" s="191"/>
      <c r="Z454" s="191"/>
    </row>
    <row r="455" spans="1:26" ht="15.75" customHeight="1" x14ac:dyDescent="0.2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U455" s="191"/>
      <c r="V455" s="191"/>
      <c r="W455" s="191"/>
      <c r="X455" s="191"/>
      <c r="Y455" s="191"/>
      <c r="Z455" s="191"/>
    </row>
    <row r="456" spans="1:26" ht="15.75" customHeight="1" x14ac:dyDescent="0.2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U456" s="191"/>
      <c r="V456" s="191"/>
      <c r="W456" s="191"/>
      <c r="X456" s="191"/>
      <c r="Y456" s="191"/>
      <c r="Z456" s="191"/>
    </row>
    <row r="457" spans="1:26" ht="15.75" customHeight="1" x14ac:dyDescent="0.2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U457" s="191"/>
      <c r="V457" s="191"/>
      <c r="W457" s="191"/>
      <c r="X457" s="191"/>
      <c r="Y457" s="191"/>
      <c r="Z457" s="191"/>
    </row>
    <row r="458" spans="1:26" ht="15.75" customHeight="1" x14ac:dyDescent="0.2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U458" s="191"/>
      <c r="V458" s="191"/>
      <c r="W458" s="191"/>
      <c r="X458" s="191"/>
      <c r="Y458" s="191"/>
      <c r="Z458" s="191"/>
    </row>
    <row r="459" spans="1:26" ht="15.75" customHeight="1" x14ac:dyDescent="0.2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U459" s="191"/>
      <c r="V459" s="191"/>
      <c r="W459" s="191"/>
      <c r="X459" s="191"/>
      <c r="Y459" s="191"/>
      <c r="Z459" s="191"/>
    </row>
    <row r="460" spans="1:26" ht="15.75" customHeight="1" x14ac:dyDescent="0.2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U460" s="191"/>
      <c r="V460" s="191"/>
      <c r="W460" s="191"/>
      <c r="X460" s="191"/>
      <c r="Y460" s="191"/>
      <c r="Z460" s="191"/>
    </row>
    <row r="461" spans="1:26" ht="15.75" customHeight="1" x14ac:dyDescent="0.2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U461" s="191"/>
      <c r="V461" s="191"/>
      <c r="W461" s="191"/>
      <c r="X461" s="191"/>
      <c r="Y461" s="191"/>
      <c r="Z461" s="191"/>
    </row>
    <row r="462" spans="1:26" ht="15.75" customHeight="1" x14ac:dyDescent="0.2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U462" s="191"/>
      <c r="V462" s="191"/>
      <c r="W462" s="191"/>
      <c r="X462" s="191"/>
      <c r="Y462" s="191"/>
      <c r="Z462" s="191"/>
    </row>
    <row r="463" spans="1:26" ht="15.75" customHeight="1" x14ac:dyDescent="0.2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U463" s="191"/>
      <c r="V463" s="191"/>
      <c r="W463" s="191"/>
      <c r="X463" s="191"/>
      <c r="Y463" s="191"/>
      <c r="Z463" s="191"/>
    </row>
    <row r="464" spans="1:26" ht="15.75" customHeight="1" x14ac:dyDescent="0.2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U464" s="191"/>
      <c r="V464" s="191"/>
      <c r="W464" s="191"/>
      <c r="X464" s="191"/>
      <c r="Y464" s="191"/>
      <c r="Z464" s="191"/>
    </row>
    <row r="465" spans="1:26" ht="15.75" customHeight="1" x14ac:dyDescent="0.2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U465" s="191"/>
      <c r="V465" s="191"/>
      <c r="W465" s="191"/>
      <c r="X465" s="191"/>
      <c r="Y465" s="191"/>
      <c r="Z465" s="191"/>
    </row>
    <row r="466" spans="1:26" ht="15.75" customHeight="1" x14ac:dyDescent="0.2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U466" s="191"/>
      <c r="V466" s="191"/>
      <c r="W466" s="191"/>
      <c r="X466" s="191"/>
      <c r="Y466" s="191"/>
      <c r="Z466" s="191"/>
    </row>
    <row r="467" spans="1:26" ht="15.75" customHeight="1" x14ac:dyDescent="0.2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U467" s="191"/>
      <c r="V467" s="191"/>
      <c r="W467" s="191"/>
      <c r="X467" s="191"/>
      <c r="Y467" s="191"/>
      <c r="Z467" s="191"/>
    </row>
    <row r="468" spans="1:26" ht="15.75" customHeight="1" x14ac:dyDescent="0.2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U468" s="191"/>
      <c r="V468" s="191"/>
      <c r="W468" s="191"/>
      <c r="X468" s="191"/>
      <c r="Y468" s="191"/>
      <c r="Z468" s="191"/>
    </row>
    <row r="469" spans="1:26" ht="15.75" customHeight="1" x14ac:dyDescent="0.2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U469" s="191"/>
      <c r="V469" s="191"/>
      <c r="W469" s="191"/>
      <c r="X469" s="191"/>
      <c r="Y469" s="191"/>
      <c r="Z469" s="191"/>
    </row>
    <row r="470" spans="1:26" ht="15.75" customHeight="1" x14ac:dyDescent="0.2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U470" s="191"/>
      <c r="V470" s="191"/>
      <c r="W470" s="191"/>
      <c r="X470" s="191"/>
      <c r="Y470" s="191"/>
      <c r="Z470" s="191"/>
    </row>
    <row r="471" spans="1:26" ht="15.75" customHeight="1" x14ac:dyDescent="0.2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U471" s="191"/>
      <c r="V471" s="191"/>
      <c r="W471" s="191"/>
      <c r="X471" s="191"/>
      <c r="Y471" s="191"/>
      <c r="Z471" s="191"/>
    </row>
    <row r="472" spans="1:26" ht="15.75" customHeight="1" x14ac:dyDescent="0.2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U472" s="191"/>
      <c r="V472" s="191"/>
      <c r="W472" s="191"/>
      <c r="X472" s="191"/>
      <c r="Y472" s="191"/>
      <c r="Z472" s="191"/>
    </row>
    <row r="473" spans="1:26" ht="15.75" customHeight="1" x14ac:dyDescent="0.2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U473" s="191"/>
      <c r="V473" s="191"/>
      <c r="W473" s="191"/>
      <c r="X473" s="191"/>
      <c r="Y473" s="191"/>
      <c r="Z473" s="191"/>
    </row>
    <row r="474" spans="1:26" ht="15.75" customHeight="1" x14ac:dyDescent="0.2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U474" s="191"/>
      <c r="V474" s="191"/>
      <c r="W474" s="191"/>
      <c r="X474" s="191"/>
      <c r="Y474" s="191"/>
      <c r="Z474" s="191"/>
    </row>
    <row r="475" spans="1:26" ht="15.75" customHeight="1" x14ac:dyDescent="0.2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U475" s="191"/>
      <c r="V475" s="191"/>
      <c r="W475" s="191"/>
      <c r="X475" s="191"/>
      <c r="Y475" s="191"/>
      <c r="Z475" s="191"/>
    </row>
    <row r="476" spans="1:26" ht="15.75" customHeight="1" x14ac:dyDescent="0.2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U476" s="191"/>
      <c r="V476" s="191"/>
      <c r="W476" s="191"/>
      <c r="X476" s="191"/>
      <c r="Y476" s="191"/>
      <c r="Z476" s="191"/>
    </row>
    <row r="477" spans="1:26" ht="15.75" customHeight="1" x14ac:dyDescent="0.2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U477" s="191"/>
      <c r="V477" s="191"/>
      <c r="W477" s="191"/>
      <c r="X477" s="191"/>
      <c r="Y477" s="191"/>
      <c r="Z477" s="191"/>
    </row>
    <row r="478" spans="1:26" ht="15.75" customHeight="1" x14ac:dyDescent="0.2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U478" s="191"/>
      <c r="V478" s="191"/>
      <c r="W478" s="191"/>
      <c r="X478" s="191"/>
      <c r="Y478" s="191"/>
      <c r="Z478" s="191"/>
    </row>
    <row r="479" spans="1:26" ht="15.75" customHeight="1" x14ac:dyDescent="0.2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U479" s="191"/>
      <c r="V479" s="191"/>
      <c r="W479" s="191"/>
      <c r="X479" s="191"/>
      <c r="Y479" s="191"/>
      <c r="Z479" s="191"/>
    </row>
    <row r="480" spans="1:26" ht="15.75" customHeight="1" x14ac:dyDescent="0.2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U480" s="191"/>
      <c r="V480" s="191"/>
      <c r="W480" s="191"/>
      <c r="X480" s="191"/>
      <c r="Y480" s="191"/>
      <c r="Z480" s="191"/>
    </row>
    <row r="481" spans="1:26" ht="15.75" customHeight="1" x14ac:dyDescent="0.2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U481" s="191"/>
      <c r="V481" s="191"/>
      <c r="W481" s="191"/>
      <c r="X481" s="191"/>
      <c r="Y481" s="191"/>
      <c r="Z481" s="191"/>
    </row>
    <row r="482" spans="1:26" ht="15.75" customHeight="1" x14ac:dyDescent="0.2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U482" s="191"/>
      <c r="V482" s="191"/>
      <c r="W482" s="191"/>
      <c r="X482" s="191"/>
      <c r="Y482" s="191"/>
      <c r="Z482" s="191"/>
    </row>
    <row r="483" spans="1:26" ht="15.75" customHeight="1" x14ac:dyDescent="0.2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U483" s="191"/>
      <c r="V483" s="191"/>
      <c r="W483" s="191"/>
      <c r="X483" s="191"/>
      <c r="Y483" s="191"/>
      <c r="Z483" s="191"/>
    </row>
    <row r="484" spans="1:26" ht="15.75" customHeight="1" x14ac:dyDescent="0.2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U484" s="191"/>
      <c r="V484" s="191"/>
      <c r="W484" s="191"/>
      <c r="X484" s="191"/>
      <c r="Y484" s="191"/>
      <c r="Z484" s="191"/>
    </row>
    <row r="485" spans="1:26" ht="15.75" customHeight="1" x14ac:dyDescent="0.2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U485" s="191"/>
      <c r="V485" s="191"/>
      <c r="W485" s="191"/>
      <c r="X485" s="191"/>
      <c r="Y485" s="191"/>
      <c r="Z485" s="191"/>
    </row>
    <row r="486" spans="1:26" ht="15.75" customHeight="1" x14ac:dyDescent="0.2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U486" s="191"/>
      <c r="V486" s="191"/>
      <c r="W486" s="191"/>
      <c r="X486" s="191"/>
      <c r="Y486" s="191"/>
      <c r="Z486" s="191"/>
    </row>
    <row r="487" spans="1:26" ht="15.75" customHeight="1" x14ac:dyDescent="0.2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U487" s="191"/>
      <c r="V487" s="191"/>
      <c r="W487" s="191"/>
      <c r="X487" s="191"/>
      <c r="Y487" s="191"/>
      <c r="Z487" s="191"/>
    </row>
    <row r="488" spans="1:26" ht="15.75" customHeight="1" x14ac:dyDescent="0.2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U488" s="191"/>
      <c r="V488" s="191"/>
      <c r="W488" s="191"/>
      <c r="X488" s="191"/>
      <c r="Y488" s="191"/>
      <c r="Z488" s="191"/>
    </row>
    <row r="489" spans="1:26" ht="15.75" customHeight="1" x14ac:dyDescent="0.2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U489" s="191"/>
      <c r="V489" s="191"/>
      <c r="W489" s="191"/>
      <c r="X489" s="191"/>
      <c r="Y489" s="191"/>
      <c r="Z489" s="191"/>
    </row>
    <row r="490" spans="1:26" ht="15.75" customHeight="1" x14ac:dyDescent="0.2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U490" s="191"/>
      <c r="V490" s="191"/>
      <c r="W490" s="191"/>
      <c r="X490" s="191"/>
      <c r="Y490" s="191"/>
      <c r="Z490" s="191"/>
    </row>
    <row r="491" spans="1:26" ht="15.75" customHeight="1" x14ac:dyDescent="0.2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U491" s="191"/>
      <c r="V491" s="191"/>
      <c r="W491" s="191"/>
      <c r="X491" s="191"/>
      <c r="Y491" s="191"/>
      <c r="Z491" s="191"/>
    </row>
    <row r="492" spans="1:26" ht="15.75" customHeight="1" x14ac:dyDescent="0.2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U492" s="191"/>
      <c r="V492" s="191"/>
      <c r="W492" s="191"/>
      <c r="X492" s="191"/>
      <c r="Y492" s="191"/>
      <c r="Z492" s="191"/>
    </row>
    <row r="493" spans="1:26" ht="15.75" customHeight="1" x14ac:dyDescent="0.2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U493" s="191"/>
      <c r="V493" s="191"/>
      <c r="W493" s="191"/>
      <c r="X493" s="191"/>
      <c r="Y493" s="191"/>
      <c r="Z493" s="191"/>
    </row>
    <row r="494" spans="1:26" ht="15.75" customHeight="1" x14ac:dyDescent="0.2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U494" s="191"/>
      <c r="V494" s="191"/>
      <c r="W494" s="191"/>
      <c r="X494" s="191"/>
      <c r="Y494" s="191"/>
      <c r="Z494" s="191"/>
    </row>
    <row r="495" spans="1:26" ht="15.75" customHeight="1" x14ac:dyDescent="0.2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U495" s="191"/>
      <c r="V495" s="191"/>
      <c r="W495" s="191"/>
      <c r="X495" s="191"/>
      <c r="Y495" s="191"/>
      <c r="Z495" s="191"/>
    </row>
    <row r="496" spans="1:26" ht="15.75" customHeight="1" x14ac:dyDescent="0.2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U496" s="191"/>
      <c r="V496" s="191"/>
      <c r="W496" s="191"/>
      <c r="X496" s="191"/>
      <c r="Y496" s="191"/>
      <c r="Z496" s="191"/>
    </row>
    <row r="497" spans="1:26" ht="15.75" customHeight="1" x14ac:dyDescent="0.2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U497" s="191"/>
      <c r="V497" s="191"/>
      <c r="W497" s="191"/>
      <c r="X497" s="191"/>
      <c r="Y497" s="191"/>
      <c r="Z497" s="191"/>
    </row>
    <row r="498" spans="1:26" ht="15.75" customHeight="1" x14ac:dyDescent="0.2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U498" s="191"/>
      <c r="V498" s="191"/>
      <c r="W498" s="191"/>
      <c r="X498" s="191"/>
      <c r="Y498" s="191"/>
      <c r="Z498" s="191"/>
    </row>
    <row r="499" spans="1:26" ht="15.75" customHeight="1" x14ac:dyDescent="0.2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U499" s="191"/>
      <c r="V499" s="191"/>
      <c r="W499" s="191"/>
      <c r="X499" s="191"/>
      <c r="Y499" s="191"/>
      <c r="Z499" s="191"/>
    </row>
    <row r="500" spans="1:26" ht="15.75" customHeight="1" x14ac:dyDescent="0.2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U500" s="191"/>
      <c r="V500" s="191"/>
      <c r="W500" s="191"/>
      <c r="X500" s="191"/>
      <c r="Y500" s="191"/>
      <c r="Z500" s="191"/>
    </row>
    <row r="501" spans="1:26" ht="15.75" customHeight="1" x14ac:dyDescent="0.2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U501" s="191"/>
      <c r="V501" s="191"/>
      <c r="W501" s="191"/>
      <c r="X501" s="191"/>
      <c r="Y501" s="191"/>
      <c r="Z501" s="191"/>
    </row>
    <row r="502" spans="1:26" ht="15.75" customHeight="1" x14ac:dyDescent="0.2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U502" s="191"/>
      <c r="V502" s="191"/>
      <c r="W502" s="191"/>
      <c r="X502" s="191"/>
      <c r="Y502" s="191"/>
      <c r="Z502" s="191"/>
    </row>
    <row r="503" spans="1:26" ht="15.75" customHeight="1" x14ac:dyDescent="0.2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U503" s="191"/>
      <c r="V503" s="191"/>
      <c r="W503" s="191"/>
      <c r="X503" s="191"/>
      <c r="Y503" s="191"/>
      <c r="Z503" s="191"/>
    </row>
    <row r="504" spans="1:26" ht="15.75" customHeight="1" x14ac:dyDescent="0.2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U504" s="191"/>
      <c r="V504" s="191"/>
      <c r="W504" s="191"/>
      <c r="X504" s="191"/>
      <c r="Y504" s="191"/>
      <c r="Z504" s="191"/>
    </row>
    <row r="505" spans="1:26" ht="15.75" customHeight="1" x14ac:dyDescent="0.2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U505" s="191"/>
      <c r="V505" s="191"/>
      <c r="W505" s="191"/>
      <c r="X505" s="191"/>
      <c r="Y505" s="191"/>
      <c r="Z505" s="191"/>
    </row>
    <row r="506" spans="1:26" ht="15.75" customHeight="1" x14ac:dyDescent="0.2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U506" s="191"/>
      <c r="V506" s="191"/>
      <c r="W506" s="191"/>
      <c r="X506" s="191"/>
      <c r="Y506" s="191"/>
      <c r="Z506" s="191"/>
    </row>
    <row r="507" spans="1:26" ht="15.75" customHeight="1" x14ac:dyDescent="0.2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U507" s="191"/>
      <c r="V507" s="191"/>
      <c r="W507" s="191"/>
      <c r="X507" s="191"/>
      <c r="Y507" s="191"/>
      <c r="Z507" s="191"/>
    </row>
    <row r="508" spans="1:26" ht="15.75" customHeight="1" x14ac:dyDescent="0.2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U508" s="191"/>
      <c r="V508" s="191"/>
      <c r="W508" s="191"/>
      <c r="X508" s="191"/>
      <c r="Y508" s="191"/>
      <c r="Z508" s="191"/>
    </row>
    <row r="509" spans="1:26" ht="15.75" customHeight="1" x14ac:dyDescent="0.2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U509" s="191"/>
      <c r="V509" s="191"/>
      <c r="W509" s="191"/>
      <c r="X509" s="191"/>
      <c r="Y509" s="191"/>
      <c r="Z509" s="191"/>
    </row>
    <row r="510" spans="1:26" ht="15.75" customHeight="1" x14ac:dyDescent="0.2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U510" s="191"/>
      <c r="V510" s="191"/>
      <c r="W510" s="191"/>
      <c r="X510" s="191"/>
      <c r="Y510" s="191"/>
      <c r="Z510" s="191"/>
    </row>
    <row r="511" spans="1:26" ht="15.75" customHeight="1" x14ac:dyDescent="0.2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U511" s="191"/>
      <c r="V511" s="191"/>
      <c r="W511" s="191"/>
      <c r="X511" s="191"/>
      <c r="Y511" s="191"/>
      <c r="Z511" s="191"/>
    </row>
    <row r="512" spans="1:26" ht="15.75" customHeight="1" x14ac:dyDescent="0.2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U512" s="191"/>
      <c r="V512" s="191"/>
      <c r="W512" s="191"/>
      <c r="X512" s="191"/>
      <c r="Y512" s="191"/>
      <c r="Z512" s="191"/>
    </row>
    <row r="513" spans="1:26" ht="15.75" customHeight="1" x14ac:dyDescent="0.2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U513" s="191"/>
      <c r="V513" s="191"/>
      <c r="W513" s="191"/>
      <c r="X513" s="191"/>
      <c r="Y513" s="191"/>
      <c r="Z513" s="191"/>
    </row>
    <row r="514" spans="1:26" ht="15.75" customHeight="1" x14ac:dyDescent="0.2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U514" s="191"/>
      <c r="V514" s="191"/>
      <c r="W514" s="191"/>
      <c r="X514" s="191"/>
      <c r="Y514" s="191"/>
      <c r="Z514" s="191"/>
    </row>
    <row r="515" spans="1:26" ht="15.75" customHeight="1" x14ac:dyDescent="0.2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U515" s="191"/>
      <c r="V515" s="191"/>
      <c r="W515" s="191"/>
      <c r="X515" s="191"/>
      <c r="Y515" s="191"/>
      <c r="Z515" s="191"/>
    </row>
    <row r="516" spans="1:26" ht="15.75" customHeight="1" x14ac:dyDescent="0.2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U516" s="191"/>
      <c r="V516" s="191"/>
      <c r="W516" s="191"/>
      <c r="X516" s="191"/>
      <c r="Y516" s="191"/>
      <c r="Z516" s="191"/>
    </row>
    <row r="517" spans="1:26" ht="15.75" customHeight="1" x14ac:dyDescent="0.2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U517" s="191"/>
      <c r="V517" s="191"/>
      <c r="W517" s="191"/>
      <c r="X517" s="191"/>
      <c r="Y517" s="191"/>
      <c r="Z517" s="191"/>
    </row>
    <row r="518" spans="1:26" ht="15.75" customHeight="1" x14ac:dyDescent="0.2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U518" s="191"/>
      <c r="V518" s="191"/>
      <c r="W518" s="191"/>
      <c r="X518" s="191"/>
      <c r="Y518" s="191"/>
      <c r="Z518" s="191"/>
    </row>
    <row r="519" spans="1:26" ht="15.75" customHeight="1" x14ac:dyDescent="0.2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U519" s="191"/>
      <c r="V519" s="191"/>
      <c r="W519" s="191"/>
      <c r="X519" s="191"/>
      <c r="Y519" s="191"/>
      <c r="Z519" s="191"/>
    </row>
    <row r="520" spans="1:26" ht="15.75" customHeight="1" x14ac:dyDescent="0.2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U520" s="191"/>
      <c r="V520" s="191"/>
      <c r="W520" s="191"/>
      <c r="X520" s="191"/>
      <c r="Y520" s="191"/>
      <c r="Z520" s="191"/>
    </row>
    <row r="521" spans="1:26" ht="15.75" customHeight="1" x14ac:dyDescent="0.2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U521" s="191"/>
      <c r="V521" s="191"/>
      <c r="W521" s="191"/>
      <c r="X521" s="191"/>
      <c r="Y521" s="191"/>
      <c r="Z521" s="191"/>
    </row>
    <row r="522" spans="1:26" ht="15.75" customHeight="1" x14ac:dyDescent="0.2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U522" s="191"/>
      <c r="V522" s="191"/>
      <c r="W522" s="191"/>
      <c r="X522" s="191"/>
      <c r="Y522" s="191"/>
      <c r="Z522" s="191"/>
    </row>
    <row r="523" spans="1:26" ht="15.75" customHeight="1" x14ac:dyDescent="0.2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U523" s="191"/>
      <c r="V523" s="191"/>
      <c r="W523" s="191"/>
      <c r="X523" s="191"/>
      <c r="Y523" s="191"/>
      <c r="Z523" s="191"/>
    </row>
    <row r="524" spans="1:26" ht="15.75" customHeight="1" x14ac:dyDescent="0.2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U524" s="191"/>
      <c r="V524" s="191"/>
      <c r="W524" s="191"/>
      <c r="X524" s="191"/>
      <c r="Y524" s="191"/>
      <c r="Z524" s="191"/>
    </row>
    <row r="525" spans="1:26" ht="15.75" customHeight="1" x14ac:dyDescent="0.2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U525" s="191"/>
      <c r="V525" s="191"/>
      <c r="W525" s="191"/>
      <c r="X525" s="191"/>
      <c r="Y525" s="191"/>
      <c r="Z525" s="191"/>
    </row>
    <row r="526" spans="1:26" ht="15.75" customHeight="1" x14ac:dyDescent="0.2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U526" s="191"/>
      <c r="V526" s="191"/>
      <c r="W526" s="191"/>
      <c r="X526" s="191"/>
      <c r="Y526" s="191"/>
      <c r="Z526" s="191"/>
    </row>
    <row r="527" spans="1:26" ht="15.75" customHeight="1" x14ac:dyDescent="0.2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U527" s="191"/>
      <c r="V527" s="191"/>
      <c r="W527" s="191"/>
      <c r="X527" s="191"/>
      <c r="Y527" s="191"/>
      <c r="Z527" s="191"/>
    </row>
    <row r="528" spans="1:26" ht="15.75" customHeight="1" x14ac:dyDescent="0.2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U528" s="191"/>
      <c r="V528" s="191"/>
      <c r="W528" s="191"/>
      <c r="X528" s="191"/>
      <c r="Y528" s="191"/>
      <c r="Z528" s="191"/>
    </row>
    <row r="529" spans="1:26" ht="15.75" customHeight="1" x14ac:dyDescent="0.2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U529" s="191"/>
      <c r="V529" s="191"/>
      <c r="W529" s="191"/>
      <c r="X529" s="191"/>
      <c r="Y529" s="191"/>
      <c r="Z529" s="191"/>
    </row>
    <row r="530" spans="1:26" ht="15.75" customHeight="1" x14ac:dyDescent="0.2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U530" s="191"/>
      <c r="V530" s="191"/>
      <c r="W530" s="191"/>
      <c r="X530" s="191"/>
      <c r="Y530" s="191"/>
      <c r="Z530" s="191"/>
    </row>
    <row r="531" spans="1:26" ht="15.75" customHeight="1" x14ac:dyDescent="0.2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U531" s="191"/>
      <c r="V531" s="191"/>
      <c r="W531" s="191"/>
      <c r="X531" s="191"/>
      <c r="Y531" s="191"/>
      <c r="Z531" s="191"/>
    </row>
    <row r="532" spans="1:26" ht="15.75" customHeight="1" x14ac:dyDescent="0.2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U532" s="191"/>
      <c r="V532" s="191"/>
      <c r="W532" s="191"/>
      <c r="X532" s="191"/>
      <c r="Y532" s="191"/>
      <c r="Z532" s="191"/>
    </row>
    <row r="533" spans="1:26" ht="15.75" customHeight="1" x14ac:dyDescent="0.2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U533" s="191"/>
      <c r="V533" s="191"/>
      <c r="W533" s="191"/>
      <c r="X533" s="191"/>
      <c r="Y533" s="191"/>
      <c r="Z533" s="191"/>
    </row>
    <row r="534" spans="1:26" ht="15.75" customHeight="1" x14ac:dyDescent="0.2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U534" s="191"/>
      <c r="V534" s="191"/>
      <c r="W534" s="191"/>
      <c r="X534" s="191"/>
      <c r="Y534" s="191"/>
      <c r="Z534" s="191"/>
    </row>
    <row r="535" spans="1:26" ht="15.75" customHeight="1" x14ac:dyDescent="0.2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U535" s="191"/>
      <c r="V535" s="191"/>
      <c r="W535" s="191"/>
      <c r="X535" s="191"/>
      <c r="Y535" s="191"/>
      <c r="Z535" s="191"/>
    </row>
    <row r="536" spans="1:26" ht="15.75" customHeight="1" x14ac:dyDescent="0.2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U536" s="191"/>
      <c r="V536" s="191"/>
      <c r="W536" s="191"/>
      <c r="X536" s="191"/>
      <c r="Y536" s="191"/>
      <c r="Z536" s="191"/>
    </row>
    <row r="537" spans="1:26" ht="15.75" customHeight="1" x14ac:dyDescent="0.2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U537" s="191"/>
      <c r="V537" s="191"/>
      <c r="W537" s="191"/>
      <c r="X537" s="191"/>
      <c r="Y537" s="191"/>
      <c r="Z537" s="191"/>
    </row>
    <row r="538" spans="1:26" ht="15.75" customHeight="1" x14ac:dyDescent="0.2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U538" s="191"/>
      <c r="V538" s="191"/>
      <c r="W538" s="191"/>
      <c r="X538" s="191"/>
      <c r="Y538" s="191"/>
      <c r="Z538" s="191"/>
    </row>
    <row r="539" spans="1:26" ht="15.75" customHeight="1" x14ac:dyDescent="0.2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U539" s="191"/>
      <c r="V539" s="191"/>
      <c r="W539" s="191"/>
      <c r="X539" s="191"/>
      <c r="Y539" s="191"/>
      <c r="Z539" s="191"/>
    </row>
    <row r="540" spans="1:26" ht="15.75" customHeight="1" x14ac:dyDescent="0.2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U540" s="191"/>
      <c r="V540" s="191"/>
      <c r="W540" s="191"/>
      <c r="X540" s="191"/>
      <c r="Y540" s="191"/>
      <c r="Z540" s="191"/>
    </row>
    <row r="541" spans="1:26" ht="15.75" customHeight="1" x14ac:dyDescent="0.2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U541" s="191"/>
      <c r="V541" s="191"/>
      <c r="W541" s="191"/>
      <c r="X541" s="191"/>
      <c r="Y541" s="191"/>
      <c r="Z541" s="191"/>
    </row>
    <row r="542" spans="1:26" ht="15.75" customHeight="1" x14ac:dyDescent="0.2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U542" s="191"/>
      <c r="V542" s="191"/>
      <c r="W542" s="191"/>
      <c r="X542" s="191"/>
      <c r="Y542" s="191"/>
      <c r="Z542" s="191"/>
    </row>
    <row r="543" spans="1:26" ht="15.75" customHeight="1" x14ac:dyDescent="0.2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U543" s="191"/>
      <c r="V543" s="191"/>
      <c r="W543" s="191"/>
      <c r="X543" s="191"/>
      <c r="Y543" s="191"/>
      <c r="Z543" s="191"/>
    </row>
    <row r="544" spans="1:26" ht="15.75" customHeight="1" x14ac:dyDescent="0.2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U544" s="191"/>
      <c r="V544" s="191"/>
      <c r="W544" s="191"/>
      <c r="X544" s="191"/>
      <c r="Y544" s="191"/>
      <c r="Z544" s="191"/>
    </row>
    <row r="545" spans="1:26" ht="15.75" customHeight="1" x14ac:dyDescent="0.2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U545" s="191"/>
      <c r="V545" s="191"/>
      <c r="W545" s="191"/>
      <c r="X545" s="191"/>
      <c r="Y545" s="191"/>
      <c r="Z545" s="191"/>
    </row>
    <row r="546" spans="1:26" ht="15.75" customHeight="1" x14ac:dyDescent="0.2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U546" s="191"/>
      <c r="V546" s="191"/>
      <c r="W546" s="191"/>
      <c r="X546" s="191"/>
      <c r="Y546" s="191"/>
      <c r="Z546" s="191"/>
    </row>
    <row r="547" spans="1:26" ht="15.75" customHeight="1" x14ac:dyDescent="0.2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U547" s="191"/>
      <c r="V547" s="191"/>
      <c r="W547" s="191"/>
      <c r="X547" s="191"/>
      <c r="Y547" s="191"/>
      <c r="Z547" s="191"/>
    </row>
    <row r="548" spans="1:26" ht="15.75" customHeight="1" x14ac:dyDescent="0.2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U548" s="191"/>
      <c r="V548" s="191"/>
      <c r="W548" s="191"/>
      <c r="X548" s="191"/>
      <c r="Y548" s="191"/>
      <c r="Z548" s="191"/>
    </row>
    <row r="549" spans="1:26" ht="15.75" customHeight="1" x14ac:dyDescent="0.2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U549" s="191"/>
      <c r="V549" s="191"/>
      <c r="W549" s="191"/>
      <c r="X549" s="191"/>
      <c r="Y549" s="191"/>
      <c r="Z549" s="191"/>
    </row>
    <row r="550" spans="1:26" ht="15.75" customHeight="1" x14ac:dyDescent="0.2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U550" s="191"/>
      <c r="V550" s="191"/>
      <c r="W550" s="191"/>
      <c r="X550" s="191"/>
      <c r="Y550" s="191"/>
      <c r="Z550" s="191"/>
    </row>
    <row r="551" spans="1:26" ht="15.75" customHeight="1" x14ac:dyDescent="0.2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U551" s="191"/>
      <c r="V551" s="191"/>
      <c r="W551" s="191"/>
      <c r="X551" s="191"/>
      <c r="Y551" s="191"/>
      <c r="Z551" s="191"/>
    </row>
    <row r="552" spans="1:26" ht="15.75" customHeight="1" x14ac:dyDescent="0.2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U552" s="191"/>
      <c r="V552" s="191"/>
      <c r="W552" s="191"/>
      <c r="X552" s="191"/>
      <c r="Y552" s="191"/>
      <c r="Z552" s="191"/>
    </row>
    <row r="553" spans="1:26" ht="15.75" customHeight="1" x14ac:dyDescent="0.2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U553" s="191"/>
      <c r="V553" s="191"/>
      <c r="W553" s="191"/>
      <c r="X553" s="191"/>
      <c r="Y553" s="191"/>
      <c r="Z553" s="191"/>
    </row>
    <row r="554" spans="1:26" ht="15.75" customHeight="1" x14ac:dyDescent="0.2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U554" s="191"/>
      <c r="V554" s="191"/>
      <c r="W554" s="191"/>
      <c r="X554" s="191"/>
      <c r="Y554" s="191"/>
      <c r="Z554" s="191"/>
    </row>
    <row r="555" spans="1:26" ht="15.75" customHeight="1" x14ac:dyDescent="0.2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U555" s="191"/>
      <c r="V555" s="191"/>
      <c r="W555" s="191"/>
      <c r="X555" s="191"/>
      <c r="Y555" s="191"/>
      <c r="Z555" s="191"/>
    </row>
    <row r="556" spans="1:26" ht="15.75" customHeight="1" x14ac:dyDescent="0.2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U556" s="191"/>
      <c r="V556" s="191"/>
      <c r="W556" s="191"/>
      <c r="X556" s="191"/>
      <c r="Y556" s="191"/>
      <c r="Z556" s="191"/>
    </row>
    <row r="557" spans="1:26" ht="15.75" customHeight="1" x14ac:dyDescent="0.2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U557" s="191"/>
      <c r="V557" s="191"/>
      <c r="W557" s="191"/>
      <c r="X557" s="191"/>
      <c r="Y557" s="191"/>
      <c r="Z557" s="191"/>
    </row>
    <row r="558" spans="1:26" ht="15.75" customHeight="1" x14ac:dyDescent="0.2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U558" s="191"/>
      <c r="V558" s="191"/>
      <c r="W558" s="191"/>
      <c r="X558" s="191"/>
      <c r="Y558" s="191"/>
      <c r="Z558" s="191"/>
    </row>
    <row r="559" spans="1:26" ht="15.75" customHeight="1" x14ac:dyDescent="0.2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U559" s="191"/>
      <c r="V559" s="191"/>
      <c r="W559" s="191"/>
      <c r="X559" s="191"/>
      <c r="Y559" s="191"/>
      <c r="Z559" s="191"/>
    </row>
    <row r="560" spans="1:26" ht="15.75" customHeight="1" x14ac:dyDescent="0.2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U560" s="191"/>
      <c r="V560" s="191"/>
      <c r="W560" s="191"/>
      <c r="X560" s="191"/>
      <c r="Y560" s="191"/>
      <c r="Z560" s="191"/>
    </row>
    <row r="561" spans="1:26" ht="15.75" customHeight="1" x14ac:dyDescent="0.2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U561" s="191"/>
      <c r="V561" s="191"/>
      <c r="W561" s="191"/>
      <c r="X561" s="191"/>
      <c r="Y561" s="191"/>
      <c r="Z561" s="191"/>
    </row>
    <row r="562" spans="1:26" ht="15.75" customHeight="1" x14ac:dyDescent="0.2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U562" s="191"/>
      <c r="V562" s="191"/>
      <c r="W562" s="191"/>
      <c r="X562" s="191"/>
      <c r="Y562" s="191"/>
      <c r="Z562" s="191"/>
    </row>
    <row r="563" spans="1:26" ht="15.75" customHeight="1" x14ac:dyDescent="0.2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U563" s="191"/>
      <c r="V563" s="191"/>
      <c r="W563" s="191"/>
      <c r="X563" s="191"/>
      <c r="Y563" s="191"/>
      <c r="Z563" s="191"/>
    </row>
    <row r="564" spans="1:26" ht="15.75" customHeight="1" x14ac:dyDescent="0.2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U564" s="191"/>
      <c r="V564" s="191"/>
      <c r="W564" s="191"/>
      <c r="X564" s="191"/>
      <c r="Y564" s="191"/>
      <c r="Z564" s="191"/>
    </row>
    <row r="565" spans="1:26" ht="15.75" customHeight="1" x14ac:dyDescent="0.2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U565" s="191"/>
      <c r="V565" s="191"/>
      <c r="W565" s="191"/>
      <c r="X565" s="191"/>
      <c r="Y565" s="191"/>
      <c r="Z565" s="191"/>
    </row>
    <row r="566" spans="1:26" ht="15.75" customHeight="1" x14ac:dyDescent="0.2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U566" s="191"/>
      <c r="V566" s="191"/>
      <c r="W566" s="191"/>
      <c r="X566" s="191"/>
      <c r="Y566" s="191"/>
      <c r="Z566" s="191"/>
    </row>
    <row r="567" spans="1:26" ht="15.75" customHeight="1" x14ac:dyDescent="0.2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U567" s="191"/>
      <c r="V567" s="191"/>
      <c r="W567" s="191"/>
      <c r="X567" s="191"/>
      <c r="Y567" s="191"/>
      <c r="Z567" s="191"/>
    </row>
    <row r="568" spans="1:26" ht="15.75" customHeight="1" x14ac:dyDescent="0.2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U568" s="191"/>
      <c r="V568" s="191"/>
      <c r="W568" s="191"/>
      <c r="X568" s="191"/>
      <c r="Y568" s="191"/>
      <c r="Z568" s="191"/>
    </row>
    <row r="569" spans="1:26" ht="15.75" customHeight="1" x14ac:dyDescent="0.2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U569" s="191"/>
      <c r="V569" s="191"/>
      <c r="W569" s="191"/>
      <c r="X569" s="191"/>
      <c r="Y569" s="191"/>
      <c r="Z569" s="191"/>
    </row>
    <row r="570" spans="1:26" ht="15.75" customHeight="1" x14ac:dyDescent="0.2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U570" s="191"/>
      <c r="V570" s="191"/>
      <c r="W570" s="191"/>
      <c r="X570" s="191"/>
      <c r="Y570" s="191"/>
      <c r="Z570" s="191"/>
    </row>
    <row r="571" spans="1:26" ht="15.75" customHeight="1" x14ac:dyDescent="0.2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U571" s="191"/>
      <c r="V571" s="191"/>
      <c r="W571" s="191"/>
      <c r="X571" s="191"/>
      <c r="Y571" s="191"/>
      <c r="Z571" s="191"/>
    </row>
    <row r="572" spans="1:26" ht="15.75" customHeight="1" x14ac:dyDescent="0.2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U572" s="191"/>
      <c r="V572" s="191"/>
      <c r="W572" s="191"/>
      <c r="X572" s="191"/>
      <c r="Y572" s="191"/>
      <c r="Z572" s="191"/>
    </row>
    <row r="573" spans="1:26" ht="15.75" customHeight="1" x14ac:dyDescent="0.2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U573" s="191"/>
      <c r="V573" s="191"/>
      <c r="W573" s="191"/>
      <c r="X573" s="191"/>
      <c r="Y573" s="191"/>
      <c r="Z573" s="191"/>
    </row>
    <row r="574" spans="1:26" ht="15.75" customHeight="1" x14ac:dyDescent="0.2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U574" s="191"/>
      <c r="V574" s="191"/>
      <c r="W574" s="191"/>
      <c r="X574" s="191"/>
      <c r="Y574" s="191"/>
      <c r="Z574" s="191"/>
    </row>
    <row r="575" spans="1:26" ht="15.75" customHeight="1" x14ac:dyDescent="0.2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U575" s="191"/>
      <c r="V575" s="191"/>
      <c r="W575" s="191"/>
      <c r="X575" s="191"/>
      <c r="Y575" s="191"/>
      <c r="Z575" s="191"/>
    </row>
    <row r="576" spans="1:26" ht="15.75" customHeight="1" x14ac:dyDescent="0.2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U576" s="191"/>
      <c r="V576" s="191"/>
      <c r="W576" s="191"/>
      <c r="X576" s="191"/>
      <c r="Y576" s="191"/>
      <c r="Z576" s="191"/>
    </row>
    <row r="577" spans="1:26" ht="15.75" customHeight="1" x14ac:dyDescent="0.2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U577" s="191"/>
      <c r="V577" s="191"/>
      <c r="W577" s="191"/>
      <c r="X577" s="191"/>
      <c r="Y577" s="191"/>
      <c r="Z577" s="191"/>
    </row>
    <row r="578" spans="1:26" ht="15.75" customHeight="1" x14ac:dyDescent="0.2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U578" s="191"/>
      <c r="V578" s="191"/>
      <c r="W578" s="191"/>
      <c r="X578" s="191"/>
      <c r="Y578" s="191"/>
      <c r="Z578" s="191"/>
    </row>
    <row r="579" spans="1:26" ht="15.75" customHeight="1" x14ac:dyDescent="0.2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U579" s="191"/>
      <c r="V579" s="191"/>
      <c r="W579" s="191"/>
      <c r="X579" s="191"/>
      <c r="Y579" s="191"/>
      <c r="Z579" s="191"/>
    </row>
    <row r="580" spans="1:26" ht="15.75" customHeight="1" x14ac:dyDescent="0.2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U580" s="191"/>
      <c r="V580" s="191"/>
      <c r="W580" s="191"/>
      <c r="X580" s="191"/>
      <c r="Y580" s="191"/>
      <c r="Z580" s="191"/>
    </row>
    <row r="581" spans="1:26" ht="15.75" customHeight="1" x14ac:dyDescent="0.2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U581" s="191"/>
      <c r="V581" s="191"/>
      <c r="W581" s="191"/>
      <c r="X581" s="191"/>
      <c r="Y581" s="191"/>
      <c r="Z581" s="191"/>
    </row>
    <row r="582" spans="1:26" ht="15.75" customHeight="1" x14ac:dyDescent="0.2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U582" s="191"/>
      <c r="V582" s="191"/>
      <c r="W582" s="191"/>
      <c r="X582" s="191"/>
      <c r="Y582" s="191"/>
      <c r="Z582" s="191"/>
    </row>
    <row r="583" spans="1:26" ht="15.75" customHeight="1" x14ac:dyDescent="0.2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U583" s="191"/>
      <c r="V583" s="191"/>
      <c r="W583" s="191"/>
      <c r="X583" s="191"/>
      <c r="Y583" s="191"/>
      <c r="Z583" s="191"/>
    </row>
    <row r="584" spans="1:26" ht="15.75" customHeight="1" x14ac:dyDescent="0.2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U584" s="191"/>
      <c r="V584" s="191"/>
      <c r="W584" s="191"/>
      <c r="X584" s="191"/>
      <c r="Y584" s="191"/>
      <c r="Z584" s="191"/>
    </row>
    <row r="585" spans="1:26" ht="15.75" customHeight="1" x14ac:dyDescent="0.2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U585" s="191"/>
      <c r="V585" s="191"/>
      <c r="W585" s="191"/>
      <c r="X585" s="191"/>
      <c r="Y585" s="191"/>
      <c r="Z585" s="191"/>
    </row>
    <row r="586" spans="1:26" ht="15.75" customHeight="1" x14ac:dyDescent="0.2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U586" s="191"/>
      <c r="V586" s="191"/>
      <c r="W586" s="191"/>
      <c r="X586" s="191"/>
      <c r="Y586" s="191"/>
      <c r="Z586" s="191"/>
    </row>
    <row r="587" spans="1:26" ht="15.75" customHeight="1" x14ac:dyDescent="0.2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U587" s="191"/>
      <c r="V587" s="191"/>
      <c r="W587" s="191"/>
      <c r="X587" s="191"/>
      <c r="Y587" s="191"/>
      <c r="Z587" s="191"/>
    </row>
    <row r="588" spans="1:26" ht="15.75" customHeight="1" x14ac:dyDescent="0.2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U588" s="191"/>
      <c r="V588" s="191"/>
      <c r="W588" s="191"/>
      <c r="X588" s="191"/>
      <c r="Y588" s="191"/>
      <c r="Z588" s="191"/>
    </row>
    <row r="589" spans="1:26" ht="15.75" customHeight="1" x14ac:dyDescent="0.2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U589" s="191"/>
      <c r="V589" s="191"/>
      <c r="W589" s="191"/>
      <c r="X589" s="191"/>
      <c r="Y589" s="191"/>
      <c r="Z589" s="191"/>
    </row>
    <row r="590" spans="1:26" ht="15.75" customHeight="1" x14ac:dyDescent="0.2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U590" s="191"/>
      <c r="V590" s="191"/>
      <c r="W590" s="191"/>
      <c r="X590" s="191"/>
      <c r="Y590" s="191"/>
      <c r="Z590" s="191"/>
    </row>
    <row r="591" spans="1:26" ht="15.75" customHeight="1" x14ac:dyDescent="0.2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U591" s="191"/>
      <c r="V591" s="191"/>
      <c r="W591" s="191"/>
      <c r="X591" s="191"/>
      <c r="Y591" s="191"/>
      <c r="Z591" s="191"/>
    </row>
    <row r="592" spans="1:26" ht="15.75" customHeight="1" x14ac:dyDescent="0.2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U592" s="191"/>
      <c r="V592" s="191"/>
      <c r="W592" s="191"/>
      <c r="X592" s="191"/>
      <c r="Y592" s="191"/>
      <c r="Z592" s="191"/>
    </row>
    <row r="593" spans="1:26" ht="15.75" customHeight="1" x14ac:dyDescent="0.2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U593" s="191"/>
      <c r="V593" s="191"/>
      <c r="W593" s="191"/>
      <c r="X593" s="191"/>
      <c r="Y593" s="191"/>
      <c r="Z593" s="191"/>
    </row>
    <row r="594" spans="1:26" ht="15.75" customHeight="1" x14ac:dyDescent="0.2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U594" s="191"/>
      <c r="V594" s="191"/>
      <c r="W594" s="191"/>
      <c r="X594" s="191"/>
      <c r="Y594" s="191"/>
      <c r="Z594" s="191"/>
    </row>
    <row r="595" spans="1:26" ht="15.75" customHeight="1" x14ac:dyDescent="0.2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U595" s="191"/>
      <c r="V595" s="191"/>
      <c r="W595" s="191"/>
      <c r="X595" s="191"/>
      <c r="Y595" s="191"/>
      <c r="Z595" s="191"/>
    </row>
    <row r="596" spans="1:26" ht="15.75" customHeight="1" x14ac:dyDescent="0.2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U596" s="191"/>
      <c r="V596" s="191"/>
      <c r="W596" s="191"/>
      <c r="X596" s="191"/>
      <c r="Y596" s="191"/>
      <c r="Z596" s="191"/>
    </row>
    <row r="597" spans="1:26" ht="15.75" customHeight="1" x14ac:dyDescent="0.2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U597" s="191"/>
      <c r="V597" s="191"/>
      <c r="W597" s="191"/>
      <c r="X597" s="191"/>
      <c r="Y597" s="191"/>
      <c r="Z597" s="191"/>
    </row>
    <row r="598" spans="1:26" ht="15.75" customHeight="1" x14ac:dyDescent="0.2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U598" s="191"/>
      <c r="V598" s="191"/>
      <c r="W598" s="191"/>
      <c r="X598" s="191"/>
      <c r="Y598" s="191"/>
      <c r="Z598" s="191"/>
    </row>
    <row r="599" spans="1:26" ht="15.75" customHeight="1" x14ac:dyDescent="0.2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U599" s="191"/>
      <c r="V599" s="191"/>
      <c r="W599" s="191"/>
      <c r="X599" s="191"/>
      <c r="Y599" s="191"/>
      <c r="Z599" s="191"/>
    </row>
    <row r="600" spans="1:26" ht="15.75" customHeight="1" x14ac:dyDescent="0.2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U600" s="191"/>
      <c r="V600" s="191"/>
      <c r="W600" s="191"/>
      <c r="X600" s="191"/>
      <c r="Y600" s="191"/>
      <c r="Z600" s="191"/>
    </row>
    <row r="601" spans="1:26" ht="15.75" customHeight="1" x14ac:dyDescent="0.2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U601" s="191"/>
      <c r="V601" s="191"/>
      <c r="W601" s="191"/>
      <c r="X601" s="191"/>
      <c r="Y601" s="191"/>
      <c r="Z601" s="191"/>
    </row>
    <row r="602" spans="1:26" ht="15.75" customHeight="1" x14ac:dyDescent="0.2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U602" s="191"/>
      <c r="V602" s="191"/>
      <c r="W602" s="191"/>
      <c r="X602" s="191"/>
      <c r="Y602" s="191"/>
      <c r="Z602" s="191"/>
    </row>
    <row r="603" spans="1:26" ht="15.75" customHeight="1" x14ac:dyDescent="0.2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U603" s="191"/>
      <c r="V603" s="191"/>
      <c r="W603" s="191"/>
      <c r="X603" s="191"/>
      <c r="Y603" s="191"/>
      <c r="Z603" s="191"/>
    </row>
    <row r="604" spans="1:26" ht="15.75" customHeight="1" x14ac:dyDescent="0.2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U604" s="191"/>
      <c r="V604" s="191"/>
      <c r="W604" s="191"/>
      <c r="X604" s="191"/>
      <c r="Y604" s="191"/>
      <c r="Z604" s="191"/>
    </row>
    <row r="605" spans="1:26" ht="15.75" customHeight="1" x14ac:dyDescent="0.2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U605" s="191"/>
      <c r="V605" s="191"/>
      <c r="W605" s="191"/>
      <c r="X605" s="191"/>
      <c r="Y605" s="191"/>
      <c r="Z605" s="191"/>
    </row>
    <row r="606" spans="1:26" ht="15.75" customHeight="1" x14ac:dyDescent="0.2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U606" s="191"/>
      <c r="V606" s="191"/>
      <c r="W606" s="191"/>
      <c r="X606" s="191"/>
      <c r="Y606" s="191"/>
      <c r="Z606" s="191"/>
    </row>
    <row r="607" spans="1:26" ht="15.75" customHeight="1" x14ac:dyDescent="0.2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U607" s="191"/>
      <c r="V607" s="191"/>
      <c r="W607" s="191"/>
      <c r="X607" s="191"/>
      <c r="Y607" s="191"/>
      <c r="Z607" s="191"/>
    </row>
    <row r="608" spans="1:26" ht="15.75" customHeight="1" x14ac:dyDescent="0.2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U608" s="191"/>
      <c r="V608" s="191"/>
      <c r="W608" s="191"/>
      <c r="X608" s="191"/>
      <c r="Y608" s="191"/>
      <c r="Z608" s="191"/>
    </row>
    <row r="609" spans="1:26" ht="15.75" customHeight="1" x14ac:dyDescent="0.2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U609" s="191"/>
      <c r="V609" s="191"/>
      <c r="W609" s="191"/>
      <c r="X609" s="191"/>
      <c r="Y609" s="191"/>
      <c r="Z609" s="191"/>
    </row>
    <row r="610" spans="1:26" ht="15.75" customHeight="1" x14ac:dyDescent="0.2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U610" s="191"/>
      <c r="V610" s="191"/>
      <c r="W610" s="191"/>
      <c r="X610" s="191"/>
      <c r="Y610" s="191"/>
      <c r="Z610" s="191"/>
    </row>
    <row r="611" spans="1:26" ht="15.75" customHeight="1" x14ac:dyDescent="0.2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U611" s="191"/>
      <c r="V611" s="191"/>
      <c r="W611" s="191"/>
      <c r="X611" s="191"/>
      <c r="Y611" s="191"/>
      <c r="Z611" s="191"/>
    </row>
    <row r="612" spans="1:26" ht="15.75" customHeight="1" x14ac:dyDescent="0.2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U612" s="191"/>
      <c r="V612" s="191"/>
      <c r="W612" s="191"/>
      <c r="X612" s="191"/>
      <c r="Y612" s="191"/>
      <c r="Z612" s="191"/>
    </row>
    <row r="613" spans="1:26" ht="15.75" customHeight="1" x14ac:dyDescent="0.2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U613" s="191"/>
      <c r="V613" s="191"/>
      <c r="W613" s="191"/>
      <c r="X613" s="191"/>
      <c r="Y613" s="191"/>
      <c r="Z613" s="191"/>
    </row>
    <row r="614" spans="1:26" ht="15.75" customHeight="1" x14ac:dyDescent="0.2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U614" s="191"/>
      <c r="V614" s="191"/>
      <c r="W614" s="191"/>
      <c r="X614" s="191"/>
      <c r="Y614" s="191"/>
      <c r="Z614" s="191"/>
    </row>
    <row r="615" spans="1:26" ht="15.75" customHeight="1" x14ac:dyDescent="0.2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U615" s="191"/>
      <c r="V615" s="191"/>
      <c r="W615" s="191"/>
      <c r="X615" s="191"/>
      <c r="Y615" s="191"/>
      <c r="Z615" s="191"/>
    </row>
    <row r="616" spans="1:26" ht="15.75" customHeight="1" x14ac:dyDescent="0.2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U616" s="191"/>
      <c r="V616" s="191"/>
      <c r="W616" s="191"/>
      <c r="X616" s="191"/>
      <c r="Y616" s="191"/>
      <c r="Z616" s="191"/>
    </row>
    <row r="617" spans="1:26" ht="15.75" customHeight="1" x14ac:dyDescent="0.2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U617" s="191"/>
      <c r="V617" s="191"/>
      <c r="W617" s="191"/>
      <c r="X617" s="191"/>
      <c r="Y617" s="191"/>
      <c r="Z617" s="191"/>
    </row>
    <row r="618" spans="1:26" ht="15.75" customHeight="1" x14ac:dyDescent="0.2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U618" s="191"/>
      <c r="V618" s="191"/>
      <c r="W618" s="191"/>
      <c r="X618" s="191"/>
      <c r="Y618" s="191"/>
      <c r="Z618" s="191"/>
    </row>
    <row r="619" spans="1:26" ht="15.75" customHeight="1" x14ac:dyDescent="0.2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U619" s="191"/>
      <c r="V619" s="191"/>
      <c r="W619" s="191"/>
      <c r="X619" s="191"/>
      <c r="Y619" s="191"/>
      <c r="Z619" s="191"/>
    </row>
    <row r="620" spans="1:26" ht="15.75" customHeight="1" x14ac:dyDescent="0.2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U620" s="191"/>
      <c r="V620" s="191"/>
      <c r="W620" s="191"/>
      <c r="X620" s="191"/>
      <c r="Y620" s="191"/>
      <c r="Z620" s="191"/>
    </row>
    <row r="621" spans="1:26" ht="15.75" customHeight="1" x14ac:dyDescent="0.2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U621" s="191"/>
      <c r="V621" s="191"/>
      <c r="W621" s="191"/>
      <c r="X621" s="191"/>
      <c r="Y621" s="191"/>
      <c r="Z621" s="191"/>
    </row>
    <row r="622" spans="1:26" ht="15.75" customHeight="1" x14ac:dyDescent="0.2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U622" s="191"/>
      <c r="V622" s="191"/>
      <c r="W622" s="191"/>
      <c r="X622" s="191"/>
      <c r="Y622" s="191"/>
      <c r="Z622" s="191"/>
    </row>
    <row r="623" spans="1:26" ht="15.75" customHeight="1" x14ac:dyDescent="0.2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U623" s="191"/>
      <c r="V623" s="191"/>
      <c r="W623" s="191"/>
      <c r="X623" s="191"/>
      <c r="Y623" s="191"/>
      <c r="Z623" s="191"/>
    </row>
    <row r="624" spans="1:26" ht="15.75" customHeight="1" x14ac:dyDescent="0.2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U624" s="191"/>
      <c r="V624" s="191"/>
      <c r="W624" s="191"/>
      <c r="X624" s="191"/>
      <c r="Y624" s="191"/>
      <c r="Z624" s="191"/>
    </row>
    <row r="625" spans="1:26" ht="15.75" customHeight="1" x14ac:dyDescent="0.2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U625" s="191"/>
      <c r="V625" s="191"/>
      <c r="W625" s="191"/>
      <c r="X625" s="191"/>
      <c r="Y625" s="191"/>
      <c r="Z625" s="191"/>
    </row>
    <row r="626" spans="1:26" ht="15.75" customHeight="1" x14ac:dyDescent="0.2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U626" s="191"/>
      <c r="V626" s="191"/>
      <c r="W626" s="191"/>
      <c r="X626" s="191"/>
      <c r="Y626" s="191"/>
      <c r="Z626" s="191"/>
    </row>
    <row r="627" spans="1:26" ht="15.75" customHeight="1" x14ac:dyDescent="0.2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U627" s="191"/>
      <c r="V627" s="191"/>
      <c r="W627" s="191"/>
      <c r="X627" s="191"/>
      <c r="Y627" s="191"/>
      <c r="Z627" s="191"/>
    </row>
    <row r="628" spans="1:26" ht="15.75" customHeight="1" x14ac:dyDescent="0.2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U628" s="191"/>
      <c r="V628" s="191"/>
      <c r="W628" s="191"/>
      <c r="X628" s="191"/>
      <c r="Y628" s="191"/>
      <c r="Z628" s="191"/>
    </row>
    <row r="629" spans="1:26" ht="15.75" customHeight="1" x14ac:dyDescent="0.2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U629" s="191"/>
      <c r="V629" s="191"/>
      <c r="W629" s="191"/>
      <c r="X629" s="191"/>
      <c r="Y629" s="191"/>
      <c r="Z629" s="191"/>
    </row>
    <row r="630" spans="1:26" ht="15.75" customHeight="1" x14ac:dyDescent="0.2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U630" s="191"/>
      <c r="V630" s="191"/>
      <c r="W630" s="191"/>
      <c r="X630" s="191"/>
      <c r="Y630" s="191"/>
      <c r="Z630" s="191"/>
    </row>
    <row r="631" spans="1:26" ht="15.75" customHeight="1" x14ac:dyDescent="0.2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U631" s="191"/>
      <c r="V631" s="191"/>
      <c r="W631" s="191"/>
      <c r="X631" s="191"/>
      <c r="Y631" s="191"/>
      <c r="Z631" s="191"/>
    </row>
    <row r="632" spans="1:26" ht="15.75" customHeight="1" x14ac:dyDescent="0.2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U632" s="191"/>
      <c r="V632" s="191"/>
      <c r="W632" s="191"/>
      <c r="X632" s="191"/>
      <c r="Y632" s="191"/>
      <c r="Z632" s="191"/>
    </row>
    <row r="633" spans="1:26" ht="15.75" customHeight="1" x14ac:dyDescent="0.2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U633" s="191"/>
      <c r="V633" s="191"/>
      <c r="W633" s="191"/>
      <c r="X633" s="191"/>
      <c r="Y633" s="191"/>
      <c r="Z633" s="191"/>
    </row>
    <row r="634" spans="1:26" ht="15.75" customHeight="1" x14ac:dyDescent="0.2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U634" s="191"/>
      <c r="V634" s="191"/>
      <c r="W634" s="191"/>
      <c r="X634" s="191"/>
      <c r="Y634" s="191"/>
      <c r="Z634" s="191"/>
    </row>
    <row r="635" spans="1:26" ht="15.75" customHeight="1" x14ac:dyDescent="0.2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U635" s="191"/>
      <c r="V635" s="191"/>
      <c r="W635" s="191"/>
      <c r="X635" s="191"/>
      <c r="Y635" s="191"/>
      <c r="Z635" s="191"/>
    </row>
    <row r="636" spans="1:26" ht="15.75" customHeight="1" x14ac:dyDescent="0.2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U636" s="191"/>
      <c r="V636" s="191"/>
      <c r="W636" s="191"/>
      <c r="X636" s="191"/>
      <c r="Y636" s="191"/>
      <c r="Z636" s="191"/>
    </row>
    <row r="637" spans="1:26" ht="15.75" customHeight="1" x14ac:dyDescent="0.2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U637" s="191"/>
      <c r="V637" s="191"/>
      <c r="W637" s="191"/>
      <c r="X637" s="191"/>
      <c r="Y637" s="191"/>
      <c r="Z637" s="191"/>
    </row>
    <row r="638" spans="1:26" ht="15.75" customHeight="1" x14ac:dyDescent="0.2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U638" s="191"/>
      <c r="V638" s="191"/>
      <c r="W638" s="191"/>
      <c r="X638" s="191"/>
      <c r="Y638" s="191"/>
      <c r="Z638" s="191"/>
    </row>
    <row r="639" spans="1:26" ht="15.75" customHeight="1" x14ac:dyDescent="0.2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U639" s="191"/>
      <c r="V639" s="191"/>
      <c r="W639" s="191"/>
      <c r="X639" s="191"/>
      <c r="Y639" s="191"/>
      <c r="Z639" s="191"/>
    </row>
    <row r="640" spans="1:26" ht="15.75" customHeight="1" x14ac:dyDescent="0.2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U640" s="191"/>
      <c r="V640" s="191"/>
      <c r="W640" s="191"/>
      <c r="X640" s="191"/>
      <c r="Y640" s="191"/>
      <c r="Z640" s="191"/>
    </row>
    <row r="641" spans="1:26" ht="15.75" customHeight="1" x14ac:dyDescent="0.2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U641" s="191"/>
      <c r="V641" s="191"/>
      <c r="W641" s="191"/>
      <c r="X641" s="191"/>
      <c r="Y641" s="191"/>
      <c r="Z641" s="191"/>
    </row>
    <row r="642" spans="1:26" ht="15.75" customHeight="1" x14ac:dyDescent="0.2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U642" s="191"/>
      <c r="V642" s="191"/>
      <c r="W642" s="191"/>
      <c r="X642" s="191"/>
      <c r="Y642" s="191"/>
      <c r="Z642" s="191"/>
    </row>
    <row r="643" spans="1:26" ht="15.75" customHeight="1" x14ac:dyDescent="0.2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U643" s="191"/>
      <c r="V643" s="191"/>
      <c r="W643" s="191"/>
      <c r="X643" s="191"/>
      <c r="Y643" s="191"/>
      <c r="Z643" s="191"/>
    </row>
    <row r="644" spans="1:26" ht="15.75" customHeight="1" x14ac:dyDescent="0.2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U644" s="191"/>
      <c r="V644" s="191"/>
      <c r="W644" s="191"/>
      <c r="X644" s="191"/>
      <c r="Y644" s="191"/>
      <c r="Z644" s="191"/>
    </row>
    <row r="645" spans="1:26" ht="15.75" customHeight="1" x14ac:dyDescent="0.2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U645" s="191"/>
      <c r="V645" s="191"/>
      <c r="W645" s="191"/>
      <c r="X645" s="191"/>
      <c r="Y645" s="191"/>
      <c r="Z645" s="191"/>
    </row>
    <row r="646" spans="1:26" ht="15.75" customHeight="1" x14ac:dyDescent="0.2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U646" s="191"/>
      <c r="V646" s="191"/>
      <c r="W646" s="191"/>
      <c r="X646" s="191"/>
      <c r="Y646" s="191"/>
      <c r="Z646" s="191"/>
    </row>
    <row r="647" spans="1:26" ht="15.75" customHeight="1" x14ac:dyDescent="0.2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U647" s="191"/>
      <c r="V647" s="191"/>
      <c r="W647" s="191"/>
      <c r="X647" s="191"/>
      <c r="Y647" s="191"/>
      <c r="Z647" s="191"/>
    </row>
    <row r="648" spans="1:26" ht="15.75" customHeight="1" x14ac:dyDescent="0.2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U648" s="191"/>
      <c r="V648" s="191"/>
      <c r="W648" s="191"/>
      <c r="X648" s="191"/>
      <c r="Y648" s="191"/>
      <c r="Z648" s="191"/>
    </row>
    <row r="649" spans="1:26" ht="15.75" customHeight="1" x14ac:dyDescent="0.2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U649" s="191"/>
      <c r="V649" s="191"/>
      <c r="W649" s="191"/>
      <c r="X649" s="191"/>
      <c r="Y649" s="191"/>
      <c r="Z649" s="191"/>
    </row>
    <row r="650" spans="1:26" ht="15.75" customHeight="1" x14ac:dyDescent="0.2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U650" s="191"/>
      <c r="V650" s="191"/>
      <c r="W650" s="191"/>
      <c r="X650" s="191"/>
      <c r="Y650" s="191"/>
      <c r="Z650" s="191"/>
    </row>
    <row r="651" spans="1:26" ht="15.75" customHeight="1" x14ac:dyDescent="0.2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U651" s="191"/>
      <c r="V651" s="191"/>
      <c r="W651" s="191"/>
      <c r="X651" s="191"/>
      <c r="Y651" s="191"/>
      <c r="Z651" s="191"/>
    </row>
    <row r="652" spans="1:26" ht="15.75" customHeight="1" x14ac:dyDescent="0.2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U652" s="191"/>
      <c r="V652" s="191"/>
      <c r="W652" s="191"/>
      <c r="X652" s="191"/>
      <c r="Y652" s="191"/>
      <c r="Z652" s="191"/>
    </row>
    <row r="653" spans="1:26" ht="15.75" customHeight="1" x14ac:dyDescent="0.2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U653" s="191"/>
      <c r="V653" s="191"/>
      <c r="W653" s="191"/>
      <c r="X653" s="191"/>
      <c r="Y653" s="191"/>
      <c r="Z653" s="191"/>
    </row>
    <row r="654" spans="1:26" ht="15.75" customHeight="1" x14ac:dyDescent="0.2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U654" s="191"/>
      <c r="V654" s="191"/>
      <c r="W654" s="191"/>
      <c r="X654" s="191"/>
      <c r="Y654" s="191"/>
      <c r="Z654" s="191"/>
    </row>
    <row r="655" spans="1:26" ht="15.75" customHeight="1" x14ac:dyDescent="0.2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U655" s="191"/>
      <c r="V655" s="191"/>
      <c r="W655" s="191"/>
      <c r="X655" s="191"/>
      <c r="Y655" s="191"/>
      <c r="Z655" s="191"/>
    </row>
    <row r="656" spans="1:26" ht="15.75" customHeight="1" x14ac:dyDescent="0.2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U656" s="191"/>
      <c r="V656" s="191"/>
      <c r="W656" s="191"/>
      <c r="X656" s="191"/>
      <c r="Y656" s="191"/>
      <c r="Z656" s="191"/>
    </row>
    <row r="657" spans="1:26" ht="15.75" customHeight="1" x14ac:dyDescent="0.2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U657" s="191"/>
      <c r="V657" s="191"/>
      <c r="W657" s="191"/>
      <c r="X657" s="191"/>
      <c r="Y657" s="191"/>
      <c r="Z657" s="191"/>
    </row>
    <row r="658" spans="1:26" ht="15.75" customHeight="1" x14ac:dyDescent="0.2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U658" s="191"/>
      <c r="V658" s="191"/>
      <c r="W658" s="191"/>
      <c r="X658" s="191"/>
      <c r="Y658" s="191"/>
      <c r="Z658" s="191"/>
    </row>
    <row r="659" spans="1:26" ht="15.75" customHeight="1" x14ac:dyDescent="0.2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U659" s="191"/>
      <c r="V659" s="191"/>
      <c r="W659" s="191"/>
      <c r="X659" s="191"/>
      <c r="Y659" s="191"/>
      <c r="Z659" s="191"/>
    </row>
    <row r="660" spans="1:26" ht="15.75" customHeight="1" x14ac:dyDescent="0.2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U660" s="191"/>
      <c r="V660" s="191"/>
      <c r="W660" s="191"/>
      <c r="X660" s="191"/>
      <c r="Y660" s="191"/>
      <c r="Z660" s="191"/>
    </row>
    <row r="661" spans="1:26" ht="15.75" customHeight="1" x14ac:dyDescent="0.2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U661" s="191"/>
      <c r="V661" s="191"/>
      <c r="W661" s="191"/>
      <c r="X661" s="191"/>
      <c r="Y661" s="191"/>
      <c r="Z661" s="191"/>
    </row>
    <row r="662" spans="1:26" ht="15.75" customHeight="1" x14ac:dyDescent="0.2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U662" s="191"/>
      <c r="V662" s="191"/>
      <c r="W662" s="191"/>
      <c r="X662" s="191"/>
      <c r="Y662" s="191"/>
      <c r="Z662" s="191"/>
    </row>
    <row r="663" spans="1:26" ht="15.75" customHeight="1" x14ac:dyDescent="0.2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U663" s="191"/>
      <c r="V663" s="191"/>
      <c r="W663" s="191"/>
      <c r="X663" s="191"/>
      <c r="Y663" s="191"/>
      <c r="Z663" s="191"/>
    </row>
    <row r="664" spans="1:26" ht="15.75" customHeight="1" x14ac:dyDescent="0.2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U664" s="191"/>
      <c r="V664" s="191"/>
      <c r="W664" s="191"/>
      <c r="X664" s="191"/>
      <c r="Y664" s="191"/>
      <c r="Z664" s="191"/>
    </row>
    <row r="665" spans="1:26" ht="15.75" customHeight="1" x14ac:dyDescent="0.2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U665" s="191"/>
      <c r="V665" s="191"/>
      <c r="W665" s="191"/>
      <c r="X665" s="191"/>
      <c r="Y665" s="191"/>
      <c r="Z665" s="191"/>
    </row>
    <row r="666" spans="1:26" ht="15.75" customHeight="1" x14ac:dyDescent="0.2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U666" s="191"/>
      <c r="V666" s="191"/>
      <c r="W666" s="191"/>
      <c r="X666" s="191"/>
      <c r="Y666" s="191"/>
      <c r="Z666" s="191"/>
    </row>
    <row r="667" spans="1:26" ht="15.75" customHeight="1" x14ac:dyDescent="0.2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U667" s="191"/>
      <c r="V667" s="191"/>
      <c r="W667" s="191"/>
      <c r="X667" s="191"/>
      <c r="Y667" s="191"/>
      <c r="Z667" s="191"/>
    </row>
    <row r="668" spans="1:26" ht="15.75" customHeight="1" x14ac:dyDescent="0.2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U668" s="191"/>
      <c r="V668" s="191"/>
      <c r="W668" s="191"/>
      <c r="X668" s="191"/>
      <c r="Y668" s="191"/>
      <c r="Z668" s="191"/>
    </row>
    <row r="669" spans="1:26" ht="15.75" customHeight="1" x14ac:dyDescent="0.2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U669" s="191"/>
      <c r="V669" s="191"/>
      <c r="W669" s="191"/>
      <c r="X669" s="191"/>
      <c r="Y669" s="191"/>
      <c r="Z669" s="191"/>
    </row>
    <row r="670" spans="1:26" ht="15.75" customHeight="1" x14ac:dyDescent="0.2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U670" s="191"/>
      <c r="V670" s="191"/>
      <c r="W670" s="191"/>
      <c r="X670" s="191"/>
      <c r="Y670" s="191"/>
      <c r="Z670" s="191"/>
    </row>
    <row r="671" spans="1:26" ht="15.75" customHeight="1" x14ac:dyDescent="0.2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U671" s="191"/>
      <c r="V671" s="191"/>
      <c r="W671" s="191"/>
      <c r="X671" s="191"/>
      <c r="Y671" s="191"/>
      <c r="Z671" s="191"/>
    </row>
    <row r="672" spans="1:26" ht="15.75" customHeight="1" x14ac:dyDescent="0.2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U672" s="191"/>
      <c r="V672" s="191"/>
      <c r="W672" s="191"/>
      <c r="X672" s="191"/>
      <c r="Y672" s="191"/>
      <c r="Z672" s="191"/>
    </row>
    <row r="673" spans="1:26" ht="15.75" customHeight="1" x14ac:dyDescent="0.2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U673" s="191"/>
      <c r="V673" s="191"/>
      <c r="W673" s="191"/>
      <c r="X673" s="191"/>
      <c r="Y673" s="191"/>
      <c r="Z673" s="191"/>
    </row>
    <row r="674" spans="1:26" ht="15.75" customHeight="1" x14ac:dyDescent="0.2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U674" s="191"/>
      <c r="V674" s="191"/>
      <c r="W674" s="191"/>
      <c r="X674" s="191"/>
      <c r="Y674" s="191"/>
      <c r="Z674" s="191"/>
    </row>
    <row r="675" spans="1:26" ht="15.75" customHeight="1" x14ac:dyDescent="0.2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U675" s="191"/>
      <c r="V675" s="191"/>
      <c r="W675" s="191"/>
      <c r="X675" s="191"/>
      <c r="Y675" s="191"/>
      <c r="Z675" s="191"/>
    </row>
    <row r="676" spans="1:26" ht="15.75" customHeight="1" x14ac:dyDescent="0.2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U676" s="191"/>
      <c r="V676" s="191"/>
      <c r="W676" s="191"/>
      <c r="X676" s="191"/>
      <c r="Y676" s="191"/>
      <c r="Z676" s="191"/>
    </row>
    <row r="677" spans="1:26" ht="15.75" customHeight="1" x14ac:dyDescent="0.2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U677" s="191"/>
      <c r="V677" s="191"/>
      <c r="W677" s="191"/>
      <c r="X677" s="191"/>
      <c r="Y677" s="191"/>
      <c r="Z677" s="191"/>
    </row>
    <row r="678" spans="1:26" ht="15.75" customHeight="1" x14ac:dyDescent="0.2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U678" s="191"/>
      <c r="V678" s="191"/>
      <c r="W678" s="191"/>
      <c r="X678" s="191"/>
      <c r="Y678" s="191"/>
      <c r="Z678" s="191"/>
    </row>
    <row r="679" spans="1:26" ht="15.75" customHeight="1" x14ac:dyDescent="0.2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U679" s="191"/>
      <c r="V679" s="191"/>
      <c r="W679" s="191"/>
      <c r="X679" s="191"/>
      <c r="Y679" s="191"/>
      <c r="Z679" s="191"/>
    </row>
    <row r="680" spans="1:26" ht="15.75" customHeight="1" x14ac:dyDescent="0.2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U680" s="191"/>
      <c r="V680" s="191"/>
      <c r="W680" s="191"/>
      <c r="X680" s="191"/>
      <c r="Y680" s="191"/>
      <c r="Z680" s="191"/>
    </row>
    <row r="681" spans="1:26" ht="15.75" customHeight="1" x14ac:dyDescent="0.2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U681" s="191"/>
      <c r="V681" s="191"/>
      <c r="W681" s="191"/>
      <c r="X681" s="191"/>
      <c r="Y681" s="191"/>
      <c r="Z681" s="191"/>
    </row>
    <row r="682" spans="1:26" ht="15.75" customHeight="1" x14ac:dyDescent="0.2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U682" s="191"/>
      <c r="V682" s="191"/>
      <c r="W682" s="191"/>
      <c r="X682" s="191"/>
      <c r="Y682" s="191"/>
      <c r="Z682" s="191"/>
    </row>
    <row r="683" spans="1:26" ht="15.75" customHeight="1" x14ac:dyDescent="0.2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U683" s="191"/>
      <c r="V683" s="191"/>
      <c r="W683" s="191"/>
      <c r="X683" s="191"/>
      <c r="Y683" s="191"/>
      <c r="Z683" s="191"/>
    </row>
    <row r="684" spans="1:26" ht="15.75" customHeight="1" x14ac:dyDescent="0.2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U684" s="191"/>
      <c r="V684" s="191"/>
      <c r="W684" s="191"/>
      <c r="X684" s="191"/>
      <c r="Y684" s="191"/>
      <c r="Z684" s="191"/>
    </row>
    <row r="685" spans="1:26" ht="15.75" customHeight="1" x14ac:dyDescent="0.2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U685" s="191"/>
      <c r="V685" s="191"/>
      <c r="W685" s="191"/>
      <c r="X685" s="191"/>
      <c r="Y685" s="191"/>
      <c r="Z685" s="191"/>
    </row>
    <row r="686" spans="1:26" ht="15.75" customHeight="1" x14ac:dyDescent="0.2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U686" s="191"/>
      <c r="V686" s="191"/>
      <c r="W686" s="191"/>
      <c r="X686" s="191"/>
      <c r="Y686" s="191"/>
      <c r="Z686" s="191"/>
    </row>
    <row r="687" spans="1:26" ht="15.75" customHeight="1" x14ac:dyDescent="0.2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U687" s="191"/>
      <c r="V687" s="191"/>
      <c r="W687" s="191"/>
      <c r="X687" s="191"/>
      <c r="Y687" s="191"/>
      <c r="Z687" s="191"/>
    </row>
    <row r="688" spans="1:26" ht="15.75" customHeight="1" x14ac:dyDescent="0.2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U688" s="191"/>
      <c r="V688" s="191"/>
      <c r="W688" s="191"/>
      <c r="X688" s="191"/>
      <c r="Y688" s="191"/>
      <c r="Z688" s="191"/>
    </row>
    <row r="689" spans="1:26" ht="15.75" customHeight="1" x14ac:dyDescent="0.2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U689" s="191"/>
      <c r="V689" s="191"/>
      <c r="W689" s="191"/>
      <c r="X689" s="191"/>
      <c r="Y689" s="191"/>
      <c r="Z689" s="191"/>
    </row>
    <row r="690" spans="1:26" ht="15.75" customHeight="1" x14ac:dyDescent="0.2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U690" s="191"/>
      <c r="V690" s="191"/>
      <c r="W690" s="191"/>
      <c r="X690" s="191"/>
      <c r="Y690" s="191"/>
      <c r="Z690" s="191"/>
    </row>
    <row r="691" spans="1:26" ht="15.75" customHeight="1" x14ac:dyDescent="0.2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U691" s="191"/>
      <c r="V691" s="191"/>
      <c r="W691" s="191"/>
      <c r="X691" s="191"/>
      <c r="Y691" s="191"/>
      <c r="Z691" s="191"/>
    </row>
    <row r="692" spans="1:26" ht="15.75" customHeight="1" x14ac:dyDescent="0.2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U692" s="191"/>
      <c r="V692" s="191"/>
      <c r="W692" s="191"/>
      <c r="X692" s="191"/>
      <c r="Y692" s="191"/>
      <c r="Z692" s="191"/>
    </row>
    <row r="693" spans="1:26" ht="15.75" customHeight="1" x14ac:dyDescent="0.2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U693" s="191"/>
      <c r="V693" s="191"/>
      <c r="W693" s="191"/>
      <c r="X693" s="191"/>
      <c r="Y693" s="191"/>
      <c r="Z693" s="191"/>
    </row>
    <row r="694" spans="1:26" ht="15.75" customHeight="1" x14ac:dyDescent="0.2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U694" s="191"/>
      <c r="V694" s="191"/>
      <c r="W694" s="191"/>
      <c r="X694" s="191"/>
      <c r="Y694" s="191"/>
      <c r="Z694" s="191"/>
    </row>
    <row r="695" spans="1:26" ht="15.75" customHeight="1" x14ac:dyDescent="0.2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U695" s="191"/>
      <c r="V695" s="191"/>
      <c r="W695" s="191"/>
      <c r="X695" s="191"/>
      <c r="Y695" s="191"/>
      <c r="Z695" s="191"/>
    </row>
    <row r="696" spans="1:26" ht="15.75" customHeight="1" x14ac:dyDescent="0.2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U696" s="191"/>
      <c r="V696" s="191"/>
      <c r="W696" s="191"/>
      <c r="X696" s="191"/>
      <c r="Y696" s="191"/>
      <c r="Z696" s="191"/>
    </row>
    <row r="697" spans="1:26" ht="15.75" customHeight="1" x14ac:dyDescent="0.2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U697" s="191"/>
      <c r="V697" s="191"/>
      <c r="W697" s="191"/>
      <c r="X697" s="191"/>
      <c r="Y697" s="191"/>
      <c r="Z697" s="191"/>
    </row>
    <row r="698" spans="1:26" ht="15.75" customHeight="1" x14ac:dyDescent="0.2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U698" s="191"/>
      <c r="V698" s="191"/>
      <c r="W698" s="191"/>
      <c r="X698" s="191"/>
      <c r="Y698" s="191"/>
      <c r="Z698" s="191"/>
    </row>
    <row r="699" spans="1:26" ht="15.75" customHeight="1" x14ac:dyDescent="0.2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U699" s="191"/>
      <c r="V699" s="191"/>
      <c r="W699" s="191"/>
      <c r="X699" s="191"/>
      <c r="Y699" s="191"/>
      <c r="Z699" s="191"/>
    </row>
    <row r="700" spans="1:26" ht="15.75" customHeight="1" x14ac:dyDescent="0.2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U700" s="191"/>
      <c r="V700" s="191"/>
      <c r="W700" s="191"/>
      <c r="X700" s="191"/>
      <c r="Y700" s="191"/>
      <c r="Z700" s="191"/>
    </row>
    <row r="701" spans="1:26" ht="15.75" customHeight="1" x14ac:dyDescent="0.2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U701" s="191"/>
      <c r="V701" s="191"/>
      <c r="W701" s="191"/>
      <c r="X701" s="191"/>
      <c r="Y701" s="191"/>
      <c r="Z701" s="191"/>
    </row>
    <row r="702" spans="1:26" ht="15.75" customHeight="1" x14ac:dyDescent="0.2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U702" s="191"/>
      <c r="V702" s="191"/>
      <c r="W702" s="191"/>
      <c r="X702" s="191"/>
      <c r="Y702" s="191"/>
      <c r="Z702" s="191"/>
    </row>
    <row r="703" spans="1:26" ht="15.75" customHeight="1" x14ac:dyDescent="0.2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U703" s="191"/>
      <c r="V703" s="191"/>
      <c r="W703" s="191"/>
      <c r="X703" s="191"/>
      <c r="Y703" s="191"/>
      <c r="Z703" s="191"/>
    </row>
    <row r="704" spans="1:26" ht="15.75" customHeight="1" x14ac:dyDescent="0.2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U704" s="191"/>
      <c r="V704" s="191"/>
      <c r="W704" s="191"/>
      <c r="X704" s="191"/>
      <c r="Y704" s="191"/>
      <c r="Z704" s="191"/>
    </row>
    <row r="705" spans="1:26" ht="15.75" customHeight="1" x14ac:dyDescent="0.2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U705" s="191"/>
      <c r="V705" s="191"/>
      <c r="W705" s="191"/>
      <c r="X705" s="191"/>
      <c r="Y705" s="191"/>
      <c r="Z705" s="191"/>
    </row>
    <row r="706" spans="1:26" ht="15.75" customHeight="1" x14ac:dyDescent="0.2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U706" s="191"/>
      <c r="V706" s="191"/>
      <c r="W706" s="191"/>
      <c r="X706" s="191"/>
      <c r="Y706" s="191"/>
      <c r="Z706" s="191"/>
    </row>
    <row r="707" spans="1:26" ht="15.75" customHeight="1" x14ac:dyDescent="0.2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U707" s="191"/>
      <c r="V707" s="191"/>
      <c r="W707" s="191"/>
      <c r="X707" s="191"/>
      <c r="Y707" s="191"/>
      <c r="Z707" s="191"/>
    </row>
    <row r="708" spans="1:26" ht="15.75" customHeight="1" x14ac:dyDescent="0.2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U708" s="191"/>
      <c r="V708" s="191"/>
      <c r="W708" s="191"/>
      <c r="X708" s="191"/>
      <c r="Y708" s="191"/>
      <c r="Z708" s="191"/>
    </row>
    <row r="709" spans="1:26" ht="15.75" customHeight="1" x14ac:dyDescent="0.2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U709" s="191"/>
      <c r="V709" s="191"/>
      <c r="W709" s="191"/>
      <c r="X709" s="191"/>
      <c r="Y709" s="191"/>
      <c r="Z709" s="191"/>
    </row>
    <row r="710" spans="1:26" ht="15.75" customHeight="1" x14ac:dyDescent="0.2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U710" s="191"/>
      <c r="V710" s="191"/>
      <c r="W710" s="191"/>
      <c r="X710" s="191"/>
      <c r="Y710" s="191"/>
      <c r="Z710" s="191"/>
    </row>
    <row r="711" spans="1:26" ht="15.75" customHeight="1" x14ac:dyDescent="0.2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U711" s="191"/>
      <c r="V711" s="191"/>
      <c r="W711" s="191"/>
      <c r="X711" s="191"/>
      <c r="Y711" s="191"/>
      <c r="Z711" s="191"/>
    </row>
    <row r="712" spans="1:26" ht="15.75" customHeight="1" x14ac:dyDescent="0.2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U712" s="191"/>
      <c r="V712" s="191"/>
      <c r="W712" s="191"/>
      <c r="X712" s="191"/>
      <c r="Y712" s="191"/>
      <c r="Z712" s="191"/>
    </row>
    <row r="713" spans="1:26" ht="15.75" customHeight="1" x14ac:dyDescent="0.2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U713" s="191"/>
      <c r="V713" s="191"/>
      <c r="W713" s="191"/>
      <c r="X713" s="191"/>
      <c r="Y713" s="191"/>
      <c r="Z713" s="191"/>
    </row>
    <row r="714" spans="1:26" ht="15.75" customHeight="1" x14ac:dyDescent="0.2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U714" s="191"/>
      <c r="V714" s="191"/>
      <c r="W714" s="191"/>
      <c r="X714" s="191"/>
      <c r="Y714" s="191"/>
      <c r="Z714" s="191"/>
    </row>
    <row r="715" spans="1:26" ht="15.75" customHeight="1" x14ac:dyDescent="0.2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U715" s="191"/>
      <c r="V715" s="191"/>
      <c r="W715" s="191"/>
      <c r="X715" s="191"/>
      <c r="Y715" s="191"/>
      <c r="Z715" s="191"/>
    </row>
    <row r="716" spans="1:26" ht="15.75" customHeight="1" x14ac:dyDescent="0.2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U716" s="191"/>
      <c r="V716" s="191"/>
      <c r="W716" s="191"/>
      <c r="X716" s="191"/>
      <c r="Y716" s="191"/>
      <c r="Z716" s="191"/>
    </row>
    <row r="717" spans="1:26" ht="15.75" customHeight="1" x14ac:dyDescent="0.2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U717" s="191"/>
      <c r="V717" s="191"/>
      <c r="W717" s="191"/>
      <c r="X717" s="191"/>
      <c r="Y717" s="191"/>
      <c r="Z717" s="191"/>
    </row>
    <row r="718" spans="1:26" ht="15.75" customHeight="1" x14ac:dyDescent="0.2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U718" s="191"/>
      <c r="V718" s="191"/>
      <c r="W718" s="191"/>
      <c r="X718" s="191"/>
      <c r="Y718" s="191"/>
      <c r="Z718" s="191"/>
    </row>
    <row r="719" spans="1:26" ht="15.75" customHeight="1" x14ac:dyDescent="0.2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U719" s="191"/>
      <c r="V719" s="191"/>
      <c r="W719" s="191"/>
      <c r="X719" s="191"/>
      <c r="Y719" s="191"/>
      <c r="Z719" s="191"/>
    </row>
    <row r="720" spans="1:26" ht="15.75" customHeight="1" x14ac:dyDescent="0.2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U720" s="191"/>
      <c r="V720" s="191"/>
      <c r="W720" s="191"/>
      <c r="X720" s="191"/>
      <c r="Y720" s="191"/>
      <c r="Z720" s="191"/>
    </row>
    <row r="721" spans="1:26" ht="15.75" customHeight="1" x14ac:dyDescent="0.2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U721" s="191"/>
      <c r="V721" s="191"/>
      <c r="W721" s="191"/>
      <c r="X721" s="191"/>
      <c r="Y721" s="191"/>
      <c r="Z721" s="191"/>
    </row>
    <row r="722" spans="1:26" ht="15.75" customHeight="1" x14ac:dyDescent="0.2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U722" s="191"/>
      <c r="V722" s="191"/>
      <c r="W722" s="191"/>
      <c r="X722" s="191"/>
      <c r="Y722" s="191"/>
      <c r="Z722" s="191"/>
    </row>
    <row r="723" spans="1:26" ht="15.75" customHeight="1" x14ac:dyDescent="0.2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U723" s="191"/>
      <c r="V723" s="191"/>
      <c r="W723" s="191"/>
      <c r="X723" s="191"/>
      <c r="Y723" s="191"/>
      <c r="Z723" s="191"/>
    </row>
    <row r="724" spans="1:26" ht="15.75" customHeight="1" x14ac:dyDescent="0.2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U724" s="191"/>
      <c r="V724" s="191"/>
      <c r="W724" s="191"/>
      <c r="X724" s="191"/>
      <c r="Y724" s="191"/>
      <c r="Z724" s="191"/>
    </row>
    <row r="725" spans="1:26" ht="15.75" customHeight="1" x14ac:dyDescent="0.2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U725" s="191"/>
      <c r="V725" s="191"/>
      <c r="W725" s="191"/>
      <c r="X725" s="191"/>
      <c r="Y725" s="191"/>
      <c r="Z725" s="191"/>
    </row>
    <row r="726" spans="1:26" ht="15.75" customHeight="1" x14ac:dyDescent="0.2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U726" s="191"/>
      <c r="V726" s="191"/>
      <c r="W726" s="191"/>
      <c r="X726" s="191"/>
      <c r="Y726" s="191"/>
      <c r="Z726" s="191"/>
    </row>
    <row r="727" spans="1:26" ht="15.75" customHeight="1" x14ac:dyDescent="0.2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U727" s="191"/>
      <c r="V727" s="191"/>
      <c r="W727" s="191"/>
      <c r="X727" s="191"/>
      <c r="Y727" s="191"/>
      <c r="Z727" s="191"/>
    </row>
    <row r="728" spans="1:26" ht="15.75" customHeight="1" x14ac:dyDescent="0.2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U728" s="191"/>
      <c r="V728" s="191"/>
      <c r="W728" s="191"/>
      <c r="X728" s="191"/>
      <c r="Y728" s="191"/>
      <c r="Z728" s="191"/>
    </row>
    <row r="729" spans="1:26" ht="15.75" customHeight="1" x14ac:dyDescent="0.2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U729" s="191"/>
      <c r="V729" s="191"/>
      <c r="W729" s="191"/>
      <c r="X729" s="191"/>
      <c r="Y729" s="191"/>
      <c r="Z729" s="191"/>
    </row>
    <row r="730" spans="1:26" ht="15.75" customHeight="1" x14ac:dyDescent="0.2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U730" s="191"/>
      <c r="V730" s="191"/>
      <c r="W730" s="191"/>
      <c r="X730" s="191"/>
      <c r="Y730" s="191"/>
      <c r="Z730" s="191"/>
    </row>
    <row r="731" spans="1:26" ht="15.75" customHeight="1" x14ac:dyDescent="0.2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U731" s="191"/>
      <c r="V731" s="191"/>
      <c r="W731" s="191"/>
      <c r="X731" s="191"/>
      <c r="Y731" s="191"/>
      <c r="Z731" s="191"/>
    </row>
    <row r="732" spans="1:26" ht="15.75" customHeight="1" x14ac:dyDescent="0.2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U732" s="191"/>
      <c r="V732" s="191"/>
      <c r="W732" s="191"/>
      <c r="X732" s="191"/>
      <c r="Y732" s="191"/>
      <c r="Z732" s="191"/>
    </row>
    <row r="733" spans="1:26" ht="15.75" customHeight="1" x14ac:dyDescent="0.2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U733" s="191"/>
      <c r="V733" s="191"/>
      <c r="W733" s="191"/>
      <c r="X733" s="191"/>
      <c r="Y733" s="191"/>
      <c r="Z733" s="191"/>
    </row>
    <row r="734" spans="1:26" ht="15.75" customHeight="1" x14ac:dyDescent="0.2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U734" s="191"/>
      <c r="V734" s="191"/>
      <c r="W734" s="191"/>
      <c r="X734" s="191"/>
      <c r="Y734" s="191"/>
      <c r="Z734" s="191"/>
    </row>
    <row r="735" spans="1:26" ht="15.75" customHeight="1" x14ac:dyDescent="0.2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U735" s="191"/>
      <c r="V735" s="191"/>
      <c r="W735" s="191"/>
      <c r="X735" s="191"/>
      <c r="Y735" s="191"/>
      <c r="Z735" s="191"/>
    </row>
    <row r="736" spans="1:26" ht="15.75" customHeight="1" x14ac:dyDescent="0.2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U736" s="191"/>
      <c r="V736" s="191"/>
      <c r="W736" s="191"/>
      <c r="X736" s="191"/>
      <c r="Y736" s="191"/>
      <c r="Z736" s="191"/>
    </row>
    <row r="737" spans="1:26" ht="15.75" customHeight="1" x14ac:dyDescent="0.2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U737" s="191"/>
      <c r="V737" s="191"/>
      <c r="W737" s="191"/>
      <c r="X737" s="191"/>
      <c r="Y737" s="191"/>
      <c r="Z737" s="191"/>
    </row>
    <row r="738" spans="1:26" ht="15.75" customHeight="1" x14ac:dyDescent="0.2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U738" s="191"/>
      <c r="V738" s="191"/>
      <c r="W738" s="191"/>
      <c r="X738" s="191"/>
      <c r="Y738" s="191"/>
      <c r="Z738" s="191"/>
    </row>
    <row r="739" spans="1:26" ht="15.75" customHeight="1" x14ac:dyDescent="0.2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U739" s="191"/>
      <c r="V739" s="191"/>
      <c r="W739" s="191"/>
      <c r="X739" s="191"/>
      <c r="Y739" s="191"/>
      <c r="Z739" s="191"/>
    </row>
    <row r="740" spans="1:26" ht="15.75" customHeight="1" x14ac:dyDescent="0.2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U740" s="191"/>
      <c r="V740" s="191"/>
      <c r="W740" s="191"/>
      <c r="X740" s="191"/>
      <c r="Y740" s="191"/>
      <c r="Z740" s="191"/>
    </row>
    <row r="741" spans="1:26" ht="15.75" customHeight="1" x14ac:dyDescent="0.2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U741" s="191"/>
      <c r="V741" s="191"/>
      <c r="W741" s="191"/>
      <c r="X741" s="191"/>
      <c r="Y741" s="191"/>
      <c r="Z741" s="191"/>
    </row>
    <row r="742" spans="1:26" ht="15.75" customHeight="1" x14ac:dyDescent="0.2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U742" s="191"/>
      <c r="V742" s="191"/>
      <c r="W742" s="191"/>
      <c r="X742" s="191"/>
      <c r="Y742" s="191"/>
      <c r="Z742" s="191"/>
    </row>
    <row r="743" spans="1:26" ht="15.75" customHeight="1" x14ac:dyDescent="0.2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U743" s="191"/>
      <c r="V743" s="191"/>
      <c r="W743" s="191"/>
      <c r="X743" s="191"/>
      <c r="Y743" s="191"/>
      <c r="Z743" s="191"/>
    </row>
    <row r="744" spans="1:26" ht="15.75" customHeight="1" x14ac:dyDescent="0.2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U744" s="191"/>
      <c r="V744" s="191"/>
      <c r="W744" s="191"/>
      <c r="X744" s="191"/>
      <c r="Y744" s="191"/>
      <c r="Z744" s="191"/>
    </row>
    <row r="745" spans="1:26" ht="15.75" customHeight="1" x14ac:dyDescent="0.2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U745" s="191"/>
      <c r="V745" s="191"/>
      <c r="W745" s="191"/>
      <c r="X745" s="191"/>
      <c r="Y745" s="191"/>
      <c r="Z745" s="191"/>
    </row>
    <row r="746" spans="1:26" ht="15.75" customHeight="1" x14ac:dyDescent="0.2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U746" s="191"/>
      <c r="V746" s="191"/>
      <c r="W746" s="191"/>
      <c r="X746" s="191"/>
      <c r="Y746" s="191"/>
      <c r="Z746" s="191"/>
    </row>
    <row r="747" spans="1:26" ht="15.75" customHeight="1" x14ac:dyDescent="0.2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U747" s="191"/>
      <c r="V747" s="191"/>
      <c r="W747" s="191"/>
      <c r="X747" s="191"/>
      <c r="Y747" s="191"/>
      <c r="Z747" s="191"/>
    </row>
    <row r="748" spans="1:26" ht="15.75" customHeight="1" x14ac:dyDescent="0.2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U748" s="191"/>
      <c r="V748" s="191"/>
      <c r="W748" s="191"/>
      <c r="X748" s="191"/>
      <c r="Y748" s="191"/>
      <c r="Z748" s="191"/>
    </row>
    <row r="749" spans="1:26" ht="15.75" customHeight="1" x14ac:dyDescent="0.2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U749" s="191"/>
      <c r="V749" s="191"/>
      <c r="W749" s="191"/>
      <c r="X749" s="191"/>
      <c r="Y749" s="191"/>
      <c r="Z749" s="191"/>
    </row>
    <row r="750" spans="1:26" ht="15.75" customHeight="1" x14ac:dyDescent="0.2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U750" s="191"/>
      <c r="V750" s="191"/>
      <c r="W750" s="191"/>
      <c r="X750" s="191"/>
      <c r="Y750" s="191"/>
      <c r="Z750" s="191"/>
    </row>
    <row r="751" spans="1:26" ht="15.75" customHeight="1" x14ac:dyDescent="0.2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U751" s="191"/>
      <c r="V751" s="191"/>
      <c r="W751" s="191"/>
      <c r="X751" s="191"/>
      <c r="Y751" s="191"/>
      <c r="Z751" s="191"/>
    </row>
    <row r="752" spans="1:26" ht="15.75" customHeight="1" x14ac:dyDescent="0.2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U752" s="191"/>
      <c r="V752" s="191"/>
      <c r="W752" s="191"/>
      <c r="X752" s="191"/>
      <c r="Y752" s="191"/>
      <c r="Z752" s="191"/>
    </row>
    <row r="753" spans="1:26" ht="15.75" customHeight="1" x14ac:dyDescent="0.2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U753" s="191"/>
      <c r="V753" s="191"/>
      <c r="W753" s="191"/>
      <c r="X753" s="191"/>
      <c r="Y753" s="191"/>
      <c r="Z753" s="191"/>
    </row>
    <row r="754" spans="1:26" ht="15.75" customHeight="1" x14ac:dyDescent="0.2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U754" s="191"/>
      <c r="V754" s="191"/>
      <c r="W754" s="191"/>
      <c r="X754" s="191"/>
      <c r="Y754" s="191"/>
      <c r="Z754" s="191"/>
    </row>
    <row r="755" spans="1:26" ht="15.75" customHeight="1" x14ac:dyDescent="0.2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U755" s="191"/>
      <c r="V755" s="191"/>
      <c r="W755" s="191"/>
      <c r="X755" s="191"/>
      <c r="Y755" s="191"/>
      <c r="Z755" s="191"/>
    </row>
    <row r="756" spans="1:26" ht="15.75" customHeight="1" x14ac:dyDescent="0.2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U756" s="191"/>
      <c r="V756" s="191"/>
      <c r="W756" s="191"/>
      <c r="X756" s="191"/>
      <c r="Y756" s="191"/>
      <c r="Z756" s="191"/>
    </row>
    <row r="757" spans="1:26" ht="15.75" customHeight="1" x14ac:dyDescent="0.2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U757" s="191"/>
      <c r="V757" s="191"/>
      <c r="W757" s="191"/>
      <c r="X757" s="191"/>
      <c r="Y757" s="191"/>
      <c r="Z757" s="191"/>
    </row>
    <row r="758" spans="1:26" ht="15.75" customHeight="1" x14ac:dyDescent="0.2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U758" s="191"/>
      <c r="V758" s="191"/>
      <c r="W758" s="191"/>
      <c r="X758" s="191"/>
      <c r="Y758" s="191"/>
      <c r="Z758" s="191"/>
    </row>
    <row r="759" spans="1:26" ht="15.75" customHeight="1" x14ac:dyDescent="0.2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U759" s="191"/>
      <c r="V759" s="191"/>
      <c r="W759" s="191"/>
      <c r="X759" s="191"/>
      <c r="Y759" s="191"/>
      <c r="Z759" s="191"/>
    </row>
    <row r="760" spans="1:26" ht="15.75" customHeight="1" x14ac:dyDescent="0.2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U760" s="191"/>
      <c r="V760" s="191"/>
      <c r="W760" s="191"/>
      <c r="X760" s="191"/>
      <c r="Y760" s="191"/>
      <c r="Z760" s="191"/>
    </row>
    <row r="761" spans="1:26" ht="15.75" customHeight="1" x14ac:dyDescent="0.2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U761" s="191"/>
      <c r="V761" s="191"/>
      <c r="W761" s="191"/>
      <c r="X761" s="191"/>
      <c r="Y761" s="191"/>
      <c r="Z761" s="191"/>
    </row>
    <row r="762" spans="1:26" ht="15.75" customHeight="1" x14ac:dyDescent="0.2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U762" s="191"/>
      <c r="V762" s="191"/>
      <c r="W762" s="191"/>
      <c r="X762" s="191"/>
      <c r="Y762" s="191"/>
      <c r="Z762" s="191"/>
    </row>
    <row r="763" spans="1:26" ht="15.75" customHeight="1" x14ac:dyDescent="0.2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U763" s="191"/>
      <c r="V763" s="191"/>
      <c r="W763" s="191"/>
      <c r="X763" s="191"/>
      <c r="Y763" s="191"/>
      <c r="Z763" s="191"/>
    </row>
    <row r="764" spans="1:26" ht="15.75" customHeight="1" x14ac:dyDescent="0.2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U764" s="191"/>
      <c r="V764" s="191"/>
      <c r="W764" s="191"/>
      <c r="X764" s="191"/>
      <c r="Y764" s="191"/>
      <c r="Z764" s="191"/>
    </row>
    <row r="765" spans="1:26" ht="15.75" customHeight="1" x14ac:dyDescent="0.2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U765" s="191"/>
      <c r="V765" s="191"/>
      <c r="W765" s="191"/>
      <c r="X765" s="191"/>
      <c r="Y765" s="191"/>
      <c r="Z765" s="191"/>
    </row>
    <row r="766" spans="1:26" ht="15.75" customHeight="1" x14ac:dyDescent="0.2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U766" s="191"/>
      <c r="V766" s="191"/>
      <c r="W766" s="191"/>
      <c r="X766" s="191"/>
      <c r="Y766" s="191"/>
      <c r="Z766" s="191"/>
    </row>
    <row r="767" spans="1:26" ht="15.75" customHeight="1" x14ac:dyDescent="0.2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U767" s="191"/>
      <c r="V767" s="191"/>
      <c r="W767" s="191"/>
      <c r="X767" s="191"/>
      <c r="Y767" s="191"/>
      <c r="Z767" s="191"/>
    </row>
    <row r="768" spans="1:26" ht="15.75" customHeight="1" x14ac:dyDescent="0.2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U768" s="191"/>
      <c r="V768" s="191"/>
      <c r="W768" s="191"/>
      <c r="X768" s="191"/>
      <c r="Y768" s="191"/>
      <c r="Z768" s="191"/>
    </row>
    <row r="769" spans="1:26" ht="15.75" customHeight="1" x14ac:dyDescent="0.2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U769" s="191"/>
      <c r="V769" s="191"/>
      <c r="W769" s="191"/>
      <c r="X769" s="191"/>
      <c r="Y769" s="191"/>
      <c r="Z769" s="191"/>
    </row>
    <row r="770" spans="1:26" ht="15.75" customHeight="1" x14ac:dyDescent="0.2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U770" s="191"/>
      <c r="V770" s="191"/>
      <c r="W770" s="191"/>
      <c r="X770" s="191"/>
      <c r="Y770" s="191"/>
      <c r="Z770" s="191"/>
    </row>
    <row r="771" spans="1:26" ht="15.75" customHeight="1" x14ac:dyDescent="0.2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U771" s="191"/>
      <c r="V771" s="191"/>
      <c r="W771" s="191"/>
      <c r="X771" s="191"/>
      <c r="Y771" s="191"/>
      <c r="Z771" s="191"/>
    </row>
    <row r="772" spans="1:26" ht="15.75" customHeight="1" x14ac:dyDescent="0.2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U772" s="191"/>
      <c r="V772" s="191"/>
      <c r="W772" s="191"/>
      <c r="X772" s="191"/>
      <c r="Y772" s="191"/>
      <c r="Z772" s="191"/>
    </row>
    <row r="773" spans="1:26" ht="15.75" customHeight="1" x14ac:dyDescent="0.2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U773" s="191"/>
      <c r="V773" s="191"/>
      <c r="W773" s="191"/>
      <c r="X773" s="191"/>
      <c r="Y773" s="191"/>
      <c r="Z773" s="191"/>
    </row>
    <row r="774" spans="1:26" ht="15.75" customHeight="1" x14ac:dyDescent="0.2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U774" s="191"/>
      <c r="V774" s="191"/>
      <c r="W774" s="191"/>
      <c r="X774" s="191"/>
      <c r="Y774" s="191"/>
      <c r="Z774" s="191"/>
    </row>
    <row r="775" spans="1:26" ht="15.75" customHeight="1" x14ac:dyDescent="0.2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U775" s="191"/>
      <c r="V775" s="191"/>
      <c r="W775" s="191"/>
      <c r="X775" s="191"/>
      <c r="Y775" s="191"/>
      <c r="Z775" s="191"/>
    </row>
    <row r="776" spans="1:26" ht="15.75" customHeight="1" x14ac:dyDescent="0.2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U776" s="191"/>
      <c r="V776" s="191"/>
      <c r="W776" s="191"/>
      <c r="X776" s="191"/>
      <c r="Y776" s="191"/>
      <c r="Z776" s="191"/>
    </row>
    <row r="777" spans="1:26" ht="15.75" customHeight="1" x14ac:dyDescent="0.2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U777" s="191"/>
      <c r="V777" s="191"/>
      <c r="W777" s="191"/>
      <c r="X777" s="191"/>
      <c r="Y777" s="191"/>
      <c r="Z777" s="191"/>
    </row>
    <row r="778" spans="1:26" ht="15.75" customHeight="1" x14ac:dyDescent="0.2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U778" s="191"/>
      <c r="V778" s="191"/>
      <c r="W778" s="191"/>
      <c r="X778" s="191"/>
      <c r="Y778" s="191"/>
      <c r="Z778" s="191"/>
    </row>
    <row r="779" spans="1:26" ht="15.75" customHeight="1" x14ac:dyDescent="0.2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U779" s="191"/>
      <c r="V779" s="191"/>
      <c r="W779" s="191"/>
      <c r="X779" s="191"/>
      <c r="Y779" s="191"/>
      <c r="Z779" s="191"/>
    </row>
    <row r="780" spans="1:26" ht="15.75" customHeight="1" x14ac:dyDescent="0.2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U780" s="191"/>
      <c r="V780" s="191"/>
      <c r="W780" s="191"/>
      <c r="X780" s="191"/>
      <c r="Y780" s="191"/>
      <c r="Z780" s="191"/>
    </row>
    <row r="781" spans="1:26" ht="15.75" customHeight="1" x14ac:dyDescent="0.2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U781" s="191"/>
      <c r="V781" s="191"/>
      <c r="W781" s="191"/>
      <c r="X781" s="191"/>
      <c r="Y781" s="191"/>
      <c r="Z781" s="191"/>
    </row>
    <row r="782" spans="1:26" ht="15.75" customHeight="1" x14ac:dyDescent="0.2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U782" s="191"/>
      <c r="V782" s="191"/>
      <c r="W782" s="191"/>
      <c r="X782" s="191"/>
      <c r="Y782" s="191"/>
      <c r="Z782" s="191"/>
    </row>
    <row r="783" spans="1:26" ht="15.75" customHeight="1" x14ac:dyDescent="0.2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U783" s="191"/>
      <c r="V783" s="191"/>
      <c r="W783" s="191"/>
      <c r="X783" s="191"/>
      <c r="Y783" s="191"/>
      <c r="Z783" s="191"/>
    </row>
    <row r="784" spans="1:26" ht="15.75" customHeight="1" x14ac:dyDescent="0.2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U784" s="191"/>
      <c r="V784" s="191"/>
      <c r="W784" s="191"/>
      <c r="X784" s="191"/>
      <c r="Y784" s="191"/>
      <c r="Z784" s="191"/>
    </row>
    <row r="785" spans="1:26" ht="15.75" customHeight="1" x14ac:dyDescent="0.2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U785" s="191"/>
      <c r="V785" s="191"/>
      <c r="W785" s="191"/>
      <c r="X785" s="191"/>
      <c r="Y785" s="191"/>
      <c r="Z785" s="191"/>
    </row>
    <row r="786" spans="1:26" ht="15.75" customHeight="1" x14ac:dyDescent="0.2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U786" s="191"/>
      <c r="V786" s="191"/>
      <c r="W786" s="191"/>
      <c r="X786" s="191"/>
      <c r="Y786" s="191"/>
      <c r="Z786" s="191"/>
    </row>
    <row r="787" spans="1:26" ht="15.75" customHeight="1" x14ac:dyDescent="0.2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U787" s="191"/>
      <c r="V787" s="191"/>
      <c r="W787" s="191"/>
      <c r="X787" s="191"/>
      <c r="Y787" s="191"/>
      <c r="Z787" s="191"/>
    </row>
    <row r="788" spans="1:26" ht="15.75" customHeight="1" x14ac:dyDescent="0.2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U788" s="191"/>
      <c r="V788" s="191"/>
      <c r="W788" s="191"/>
      <c r="X788" s="191"/>
      <c r="Y788" s="191"/>
      <c r="Z788" s="191"/>
    </row>
    <row r="789" spans="1:26" ht="15.75" customHeight="1" x14ac:dyDescent="0.2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U789" s="191"/>
      <c r="V789" s="191"/>
      <c r="W789" s="191"/>
      <c r="X789" s="191"/>
      <c r="Y789" s="191"/>
      <c r="Z789" s="191"/>
    </row>
    <row r="790" spans="1:26" ht="15.75" customHeight="1" x14ac:dyDescent="0.2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U790" s="191"/>
      <c r="V790" s="191"/>
      <c r="W790" s="191"/>
      <c r="X790" s="191"/>
      <c r="Y790" s="191"/>
      <c r="Z790" s="191"/>
    </row>
    <row r="791" spans="1:26" ht="15.75" customHeight="1" x14ac:dyDescent="0.2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U791" s="191"/>
      <c r="V791" s="191"/>
      <c r="W791" s="191"/>
      <c r="X791" s="191"/>
      <c r="Y791" s="191"/>
      <c r="Z791" s="191"/>
    </row>
    <row r="792" spans="1:26" ht="15.75" customHeight="1" x14ac:dyDescent="0.2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U792" s="191"/>
      <c r="V792" s="191"/>
      <c r="W792" s="191"/>
      <c r="X792" s="191"/>
      <c r="Y792" s="191"/>
      <c r="Z792" s="191"/>
    </row>
    <row r="793" spans="1:26" ht="15.75" customHeight="1" x14ac:dyDescent="0.2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U793" s="191"/>
      <c r="V793" s="191"/>
      <c r="W793" s="191"/>
      <c r="X793" s="191"/>
      <c r="Y793" s="191"/>
      <c r="Z793" s="191"/>
    </row>
    <row r="794" spans="1:26" ht="15.75" customHeight="1" x14ac:dyDescent="0.2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U794" s="191"/>
      <c r="V794" s="191"/>
      <c r="W794" s="191"/>
      <c r="X794" s="191"/>
      <c r="Y794" s="191"/>
      <c r="Z794" s="191"/>
    </row>
    <row r="795" spans="1:26" ht="15.75" customHeight="1" x14ac:dyDescent="0.2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U795" s="191"/>
      <c r="V795" s="191"/>
      <c r="W795" s="191"/>
      <c r="X795" s="191"/>
      <c r="Y795" s="191"/>
      <c r="Z795" s="191"/>
    </row>
    <row r="796" spans="1:26" ht="15.75" customHeight="1" x14ac:dyDescent="0.2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U796" s="191"/>
      <c r="V796" s="191"/>
      <c r="W796" s="191"/>
      <c r="X796" s="191"/>
      <c r="Y796" s="191"/>
      <c r="Z796" s="191"/>
    </row>
    <row r="797" spans="1:26" ht="15.75" customHeight="1" x14ac:dyDescent="0.2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U797" s="191"/>
      <c r="V797" s="191"/>
      <c r="W797" s="191"/>
      <c r="X797" s="191"/>
      <c r="Y797" s="191"/>
      <c r="Z797" s="191"/>
    </row>
    <row r="798" spans="1:26" ht="15.75" customHeight="1" x14ac:dyDescent="0.2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U798" s="191"/>
      <c r="V798" s="191"/>
      <c r="W798" s="191"/>
      <c r="X798" s="191"/>
      <c r="Y798" s="191"/>
      <c r="Z798" s="191"/>
    </row>
    <row r="799" spans="1:26" ht="15.75" customHeight="1" x14ac:dyDescent="0.2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U799" s="191"/>
      <c r="V799" s="191"/>
      <c r="W799" s="191"/>
      <c r="X799" s="191"/>
      <c r="Y799" s="191"/>
      <c r="Z799" s="191"/>
    </row>
    <row r="800" spans="1:26" ht="15.75" customHeight="1" x14ac:dyDescent="0.2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U800" s="191"/>
      <c r="V800" s="191"/>
      <c r="W800" s="191"/>
      <c r="X800" s="191"/>
      <c r="Y800" s="191"/>
      <c r="Z800" s="191"/>
    </row>
    <row r="801" spans="1:26" ht="15.75" customHeight="1" x14ac:dyDescent="0.2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U801" s="191"/>
      <c r="V801" s="191"/>
      <c r="W801" s="191"/>
      <c r="X801" s="191"/>
      <c r="Y801" s="191"/>
      <c r="Z801" s="191"/>
    </row>
    <row r="802" spans="1:26" ht="15.75" customHeight="1" x14ac:dyDescent="0.2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U802" s="191"/>
      <c r="V802" s="191"/>
      <c r="W802" s="191"/>
      <c r="X802" s="191"/>
      <c r="Y802" s="191"/>
      <c r="Z802" s="191"/>
    </row>
    <row r="803" spans="1:26" ht="15.75" customHeight="1" x14ac:dyDescent="0.2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U803" s="191"/>
      <c r="V803" s="191"/>
      <c r="W803" s="191"/>
      <c r="X803" s="191"/>
      <c r="Y803" s="191"/>
      <c r="Z803" s="191"/>
    </row>
    <row r="804" spans="1:26" ht="15.75" customHeight="1" x14ac:dyDescent="0.2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U804" s="191"/>
      <c r="V804" s="191"/>
      <c r="W804" s="191"/>
      <c r="X804" s="191"/>
      <c r="Y804" s="191"/>
      <c r="Z804" s="191"/>
    </row>
    <row r="805" spans="1:26" ht="15.75" customHeight="1" x14ac:dyDescent="0.2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U805" s="191"/>
      <c r="V805" s="191"/>
      <c r="W805" s="191"/>
      <c r="X805" s="191"/>
      <c r="Y805" s="191"/>
      <c r="Z805" s="191"/>
    </row>
    <row r="806" spans="1:26" ht="15.75" customHeight="1" x14ac:dyDescent="0.2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U806" s="191"/>
      <c r="V806" s="191"/>
      <c r="W806" s="191"/>
      <c r="X806" s="191"/>
      <c r="Y806" s="191"/>
      <c r="Z806" s="191"/>
    </row>
    <row r="807" spans="1:26" ht="15.75" customHeight="1" x14ac:dyDescent="0.2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U807" s="191"/>
      <c r="V807" s="191"/>
      <c r="W807" s="191"/>
      <c r="X807" s="191"/>
      <c r="Y807" s="191"/>
      <c r="Z807" s="191"/>
    </row>
    <row r="808" spans="1:26" ht="15.75" customHeight="1" x14ac:dyDescent="0.2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U808" s="191"/>
      <c r="V808" s="191"/>
      <c r="W808" s="191"/>
      <c r="X808" s="191"/>
      <c r="Y808" s="191"/>
      <c r="Z808" s="191"/>
    </row>
    <row r="809" spans="1:26" ht="15.75" customHeight="1" x14ac:dyDescent="0.2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U809" s="191"/>
      <c r="V809" s="191"/>
      <c r="W809" s="191"/>
      <c r="X809" s="191"/>
      <c r="Y809" s="191"/>
      <c r="Z809" s="191"/>
    </row>
    <row r="810" spans="1:26" ht="15.75" customHeight="1" x14ac:dyDescent="0.2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U810" s="191"/>
      <c r="V810" s="191"/>
      <c r="W810" s="191"/>
      <c r="X810" s="191"/>
      <c r="Y810" s="191"/>
      <c r="Z810" s="191"/>
    </row>
    <row r="811" spans="1:26" ht="15.75" customHeight="1" x14ac:dyDescent="0.2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U811" s="191"/>
      <c r="V811" s="191"/>
      <c r="W811" s="191"/>
      <c r="X811" s="191"/>
      <c r="Y811" s="191"/>
      <c r="Z811" s="191"/>
    </row>
    <row r="812" spans="1:26" ht="15.75" customHeight="1" x14ac:dyDescent="0.2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U812" s="191"/>
      <c r="V812" s="191"/>
      <c r="W812" s="191"/>
      <c r="X812" s="191"/>
      <c r="Y812" s="191"/>
      <c r="Z812" s="191"/>
    </row>
    <row r="813" spans="1:26" ht="15.75" customHeight="1" x14ac:dyDescent="0.2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U813" s="191"/>
      <c r="V813" s="191"/>
      <c r="W813" s="191"/>
      <c r="X813" s="191"/>
      <c r="Y813" s="191"/>
      <c r="Z813" s="191"/>
    </row>
    <row r="814" spans="1:26" ht="15.75" customHeight="1" x14ac:dyDescent="0.2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U814" s="191"/>
      <c r="V814" s="191"/>
      <c r="W814" s="191"/>
      <c r="X814" s="191"/>
      <c r="Y814" s="191"/>
      <c r="Z814" s="191"/>
    </row>
    <row r="815" spans="1:26" ht="15.75" customHeight="1" x14ac:dyDescent="0.2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U815" s="191"/>
      <c r="V815" s="191"/>
      <c r="W815" s="191"/>
      <c r="X815" s="191"/>
      <c r="Y815" s="191"/>
      <c r="Z815" s="191"/>
    </row>
    <row r="816" spans="1:26" ht="15.75" customHeight="1" x14ac:dyDescent="0.2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U816" s="191"/>
      <c r="V816" s="191"/>
      <c r="W816" s="191"/>
      <c r="X816" s="191"/>
      <c r="Y816" s="191"/>
      <c r="Z816" s="191"/>
    </row>
    <row r="817" spans="1:26" ht="15.75" customHeight="1" x14ac:dyDescent="0.2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U817" s="191"/>
      <c r="V817" s="191"/>
      <c r="W817" s="191"/>
      <c r="X817" s="191"/>
      <c r="Y817" s="191"/>
      <c r="Z817" s="191"/>
    </row>
    <row r="818" spans="1:26" ht="15.75" customHeight="1" x14ac:dyDescent="0.2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U818" s="191"/>
      <c r="V818" s="191"/>
      <c r="W818" s="191"/>
      <c r="X818" s="191"/>
      <c r="Y818" s="191"/>
      <c r="Z818" s="191"/>
    </row>
    <row r="819" spans="1:26" ht="15.75" customHeight="1" x14ac:dyDescent="0.2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U819" s="191"/>
      <c r="V819" s="191"/>
      <c r="W819" s="191"/>
      <c r="X819" s="191"/>
      <c r="Y819" s="191"/>
      <c r="Z819" s="191"/>
    </row>
    <row r="820" spans="1:26" ht="15.75" customHeight="1" x14ac:dyDescent="0.2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U820" s="191"/>
      <c r="V820" s="191"/>
      <c r="W820" s="191"/>
      <c r="X820" s="191"/>
      <c r="Y820" s="191"/>
      <c r="Z820" s="191"/>
    </row>
    <row r="821" spans="1:26" ht="15.75" customHeight="1" x14ac:dyDescent="0.2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U821" s="191"/>
      <c r="V821" s="191"/>
      <c r="W821" s="191"/>
      <c r="X821" s="191"/>
      <c r="Y821" s="191"/>
      <c r="Z821" s="191"/>
    </row>
    <row r="822" spans="1:26" ht="15.75" customHeight="1" x14ac:dyDescent="0.2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U822" s="191"/>
      <c r="V822" s="191"/>
      <c r="W822" s="191"/>
      <c r="X822" s="191"/>
      <c r="Y822" s="191"/>
      <c r="Z822" s="191"/>
    </row>
    <row r="823" spans="1:26" ht="15.75" customHeight="1" x14ac:dyDescent="0.2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U823" s="191"/>
      <c r="V823" s="191"/>
      <c r="W823" s="191"/>
      <c r="X823" s="191"/>
      <c r="Y823" s="191"/>
      <c r="Z823" s="191"/>
    </row>
    <row r="824" spans="1:26" ht="15.75" customHeight="1" x14ac:dyDescent="0.2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U824" s="191"/>
      <c r="V824" s="191"/>
      <c r="W824" s="191"/>
      <c r="X824" s="191"/>
      <c r="Y824" s="191"/>
      <c r="Z824" s="191"/>
    </row>
    <row r="825" spans="1:26" ht="15.75" customHeight="1" x14ac:dyDescent="0.2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U825" s="191"/>
      <c r="V825" s="191"/>
      <c r="W825" s="191"/>
      <c r="X825" s="191"/>
      <c r="Y825" s="191"/>
      <c r="Z825" s="191"/>
    </row>
    <row r="826" spans="1:26" ht="15.75" customHeight="1" x14ac:dyDescent="0.2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U826" s="191"/>
      <c r="V826" s="191"/>
      <c r="W826" s="191"/>
      <c r="X826" s="191"/>
      <c r="Y826" s="191"/>
      <c r="Z826" s="191"/>
    </row>
    <row r="827" spans="1:26" ht="15.75" customHeight="1" x14ac:dyDescent="0.2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U827" s="191"/>
      <c r="V827" s="191"/>
      <c r="W827" s="191"/>
      <c r="X827" s="191"/>
      <c r="Y827" s="191"/>
      <c r="Z827" s="191"/>
    </row>
    <row r="828" spans="1:26" ht="15.75" customHeight="1" x14ac:dyDescent="0.2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U828" s="191"/>
      <c r="V828" s="191"/>
      <c r="W828" s="191"/>
      <c r="X828" s="191"/>
      <c r="Y828" s="191"/>
      <c r="Z828" s="191"/>
    </row>
    <row r="829" spans="1:26" ht="15.75" customHeight="1" x14ac:dyDescent="0.2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U829" s="191"/>
      <c r="V829" s="191"/>
      <c r="W829" s="191"/>
      <c r="X829" s="191"/>
      <c r="Y829" s="191"/>
      <c r="Z829" s="191"/>
    </row>
    <row r="830" spans="1:26" ht="15.75" customHeight="1" x14ac:dyDescent="0.2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U830" s="191"/>
      <c r="V830" s="191"/>
      <c r="W830" s="191"/>
      <c r="X830" s="191"/>
      <c r="Y830" s="191"/>
      <c r="Z830" s="191"/>
    </row>
    <row r="831" spans="1:26" ht="15.75" customHeight="1" x14ac:dyDescent="0.2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U831" s="191"/>
      <c r="V831" s="191"/>
      <c r="W831" s="191"/>
      <c r="X831" s="191"/>
      <c r="Y831" s="191"/>
      <c r="Z831" s="191"/>
    </row>
    <row r="832" spans="1:26" ht="15.75" customHeight="1" x14ac:dyDescent="0.2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U832" s="191"/>
      <c r="V832" s="191"/>
      <c r="W832" s="191"/>
      <c r="X832" s="191"/>
      <c r="Y832" s="191"/>
      <c r="Z832" s="191"/>
    </row>
    <row r="833" spans="1:26" ht="15.75" customHeight="1" x14ac:dyDescent="0.2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U833" s="191"/>
      <c r="V833" s="191"/>
      <c r="W833" s="191"/>
      <c r="X833" s="191"/>
      <c r="Y833" s="191"/>
      <c r="Z833" s="191"/>
    </row>
    <row r="834" spans="1:26" ht="15.75" customHeight="1" x14ac:dyDescent="0.2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U834" s="191"/>
      <c r="V834" s="191"/>
      <c r="W834" s="191"/>
      <c r="X834" s="191"/>
      <c r="Y834" s="191"/>
      <c r="Z834" s="191"/>
    </row>
    <row r="835" spans="1:26" ht="15.75" customHeight="1" x14ac:dyDescent="0.2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U835" s="191"/>
      <c r="V835" s="191"/>
      <c r="W835" s="191"/>
      <c r="X835" s="191"/>
      <c r="Y835" s="191"/>
      <c r="Z835" s="191"/>
    </row>
    <row r="836" spans="1:26" ht="15.75" customHeight="1" x14ac:dyDescent="0.2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U836" s="191"/>
      <c r="V836" s="191"/>
      <c r="W836" s="191"/>
      <c r="X836" s="191"/>
      <c r="Y836" s="191"/>
      <c r="Z836" s="191"/>
    </row>
    <row r="837" spans="1:26" ht="15.75" customHeight="1" x14ac:dyDescent="0.2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U837" s="191"/>
      <c r="V837" s="191"/>
      <c r="W837" s="191"/>
      <c r="X837" s="191"/>
      <c r="Y837" s="191"/>
      <c r="Z837" s="191"/>
    </row>
    <row r="838" spans="1:26" ht="15.75" customHeight="1" x14ac:dyDescent="0.2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U838" s="191"/>
      <c r="V838" s="191"/>
      <c r="W838" s="191"/>
      <c r="X838" s="191"/>
      <c r="Y838" s="191"/>
      <c r="Z838" s="191"/>
    </row>
    <row r="839" spans="1:26" ht="15.75" customHeight="1" x14ac:dyDescent="0.2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U839" s="191"/>
      <c r="V839" s="191"/>
      <c r="W839" s="191"/>
      <c r="X839" s="191"/>
      <c r="Y839" s="191"/>
      <c r="Z839" s="191"/>
    </row>
    <row r="840" spans="1:26" ht="15.75" customHeight="1" x14ac:dyDescent="0.2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U840" s="191"/>
      <c r="V840" s="191"/>
      <c r="W840" s="191"/>
      <c r="X840" s="191"/>
      <c r="Y840" s="191"/>
      <c r="Z840" s="191"/>
    </row>
    <row r="841" spans="1:26" ht="15.75" customHeight="1" x14ac:dyDescent="0.2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U841" s="191"/>
      <c r="V841" s="191"/>
      <c r="W841" s="191"/>
      <c r="X841" s="191"/>
      <c r="Y841" s="191"/>
      <c r="Z841" s="191"/>
    </row>
    <row r="842" spans="1:26" ht="15.75" customHeight="1" x14ac:dyDescent="0.2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U842" s="191"/>
      <c r="V842" s="191"/>
      <c r="W842" s="191"/>
      <c r="X842" s="191"/>
      <c r="Y842" s="191"/>
      <c r="Z842" s="191"/>
    </row>
    <row r="843" spans="1:26" ht="15.75" customHeight="1" x14ac:dyDescent="0.2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U843" s="191"/>
      <c r="V843" s="191"/>
      <c r="W843" s="191"/>
      <c r="X843" s="191"/>
      <c r="Y843" s="191"/>
      <c r="Z843" s="191"/>
    </row>
    <row r="844" spans="1:26" ht="15.75" customHeight="1" x14ac:dyDescent="0.2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U844" s="191"/>
      <c r="V844" s="191"/>
      <c r="W844" s="191"/>
      <c r="X844" s="191"/>
      <c r="Y844" s="191"/>
      <c r="Z844" s="191"/>
    </row>
    <row r="845" spans="1:26" ht="15.75" customHeight="1" x14ac:dyDescent="0.2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U845" s="191"/>
      <c r="V845" s="191"/>
      <c r="W845" s="191"/>
      <c r="X845" s="191"/>
      <c r="Y845" s="191"/>
      <c r="Z845" s="191"/>
    </row>
    <row r="846" spans="1:26" ht="15.75" customHeight="1" x14ac:dyDescent="0.2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U846" s="191"/>
      <c r="V846" s="191"/>
      <c r="W846" s="191"/>
      <c r="X846" s="191"/>
      <c r="Y846" s="191"/>
      <c r="Z846" s="191"/>
    </row>
    <row r="847" spans="1:26" ht="15.75" customHeight="1" x14ac:dyDescent="0.2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U847" s="191"/>
      <c r="V847" s="191"/>
      <c r="W847" s="191"/>
      <c r="X847" s="191"/>
      <c r="Y847" s="191"/>
      <c r="Z847" s="191"/>
    </row>
    <row r="848" spans="1:26" ht="15.75" customHeight="1" x14ac:dyDescent="0.2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U848" s="191"/>
      <c r="V848" s="191"/>
      <c r="W848" s="191"/>
      <c r="X848" s="191"/>
      <c r="Y848" s="191"/>
      <c r="Z848" s="191"/>
    </row>
    <row r="849" spans="1:26" ht="15.75" customHeight="1" x14ac:dyDescent="0.2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U849" s="191"/>
      <c r="V849" s="191"/>
      <c r="W849" s="191"/>
      <c r="X849" s="191"/>
      <c r="Y849" s="191"/>
      <c r="Z849" s="191"/>
    </row>
    <row r="850" spans="1:26" ht="15.75" customHeight="1" x14ac:dyDescent="0.2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U850" s="191"/>
      <c r="V850" s="191"/>
      <c r="W850" s="191"/>
      <c r="X850" s="191"/>
      <c r="Y850" s="191"/>
      <c r="Z850" s="191"/>
    </row>
    <row r="851" spans="1:26" ht="15.75" customHeight="1" x14ac:dyDescent="0.2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U851" s="191"/>
      <c r="V851" s="191"/>
      <c r="W851" s="191"/>
      <c r="X851" s="191"/>
      <c r="Y851" s="191"/>
      <c r="Z851" s="191"/>
    </row>
    <row r="852" spans="1:26" ht="15.75" customHeight="1" x14ac:dyDescent="0.2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U852" s="191"/>
      <c r="V852" s="191"/>
      <c r="W852" s="191"/>
      <c r="X852" s="191"/>
      <c r="Y852" s="191"/>
      <c r="Z852" s="191"/>
    </row>
    <row r="853" spans="1:26" ht="15.75" customHeight="1" x14ac:dyDescent="0.2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U853" s="191"/>
      <c r="V853" s="191"/>
      <c r="W853" s="191"/>
      <c r="X853" s="191"/>
      <c r="Y853" s="191"/>
      <c r="Z853" s="191"/>
    </row>
    <row r="854" spans="1:26" ht="15.75" customHeight="1" x14ac:dyDescent="0.2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U854" s="191"/>
      <c r="V854" s="191"/>
      <c r="W854" s="191"/>
      <c r="X854" s="191"/>
      <c r="Y854" s="191"/>
      <c r="Z854" s="191"/>
    </row>
    <row r="855" spans="1:26" ht="15.75" customHeight="1" x14ac:dyDescent="0.2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U855" s="191"/>
      <c r="V855" s="191"/>
      <c r="W855" s="191"/>
      <c r="X855" s="191"/>
      <c r="Y855" s="191"/>
      <c r="Z855" s="191"/>
    </row>
    <row r="856" spans="1:26" ht="15.75" customHeight="1" x14ac:dyDescent="0.2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U856" s="191"/>
      <c r="V856" s="191"/>
      <c r="W856" s="191"/>
      <c r="X856" s="191"/>
      <c r="Y856" s="191"/>
      <c r="Z856" s="191"/>
    </row>
    <row r="857" spans="1:26" ht="15.75" customHeight="1" x14ac:dyDescent="0.2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U857" s="191"/>
      <c r="V857" s="191"/>
      <c r="W857" s="191"/>
      <c r="X857" s="191"/>
      <c r="Y857" s="191"/>
      <c r="Z857" s="191"/>
    </row>
    <row r="858" spans="1:26" ht="15.75" customHeight="1" x14ac:dyDescent="0.2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U858" s="191"/>
      <c r="V858" s="191"/>
      <c r="W858" s="191"/>
      <c r="X858" s="191"/>
      <c r="Y858" s="191"/>
      <c r="Z858" s="191"/>
    </row>
    <row r="859" spans="1:26" ht="15.75" customHeight="1" x14ac:dyDescent="0.2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U859" s="191"/>
      <c r="V859" s="191"/>
      <c r="W859" s="191"/>
      <c r="X859" s="191"/>
      <c r="Y859" s="191"/>
      <c r="Z859" s="191"/>
    </row>
    <row r="860" spans="1:26" ht="15.75" customHeight="1" x14ac:dyDescent="0.2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U860" s="191"/>
      <c r="V860" s="191"/>
      <c r="W860" s="191"/>
      <c r="X860" s="191"/>
      <c r="Y860" s="191"/>
      <c r="Z860" s="191"/>
    </row>
    <row r="861" spans="1:26" ht="15.75" customHeight="1" x14ac:dyDescent="0.2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U861" s="191"/>
      <c r="V861" s="191"/>
      <c r="W861" s="191"/>
      <c r="X861" s="191"/>
      <c r="Y861" s="191"/>
      <c r="Z861" s="191"/>
    </row>
    <row r="862" spans="1:26" ht="15.75" customHeight="1" x14ac:dyDescent="0.2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U862" s="191"/>
      <c r="V862" s="191"/>
      <c r="W862" s="191"/>
      <c r="X862" s="191"/>
      <c r="Y862" s="191"/>
      <c r="Z862" s="191"/>
    </row>
    <row r="863" spans="1:26" ht="15.75" customHeight="1" x14ac:dyDescent="0.2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U863" s="191"/>
      <c r="V863" s="191"/>
      <c r="W863" s="191"/>
      <c r="X863" s="191"/>
      <c r="Y863" s="191"/>
      <c r="Z863" s="191"/>
    </row>
    <row r="864" spans="1:26" ht="15.75" customHeight="1" x14ac:dyDescent="0.2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U864" s="191"/>
      <c r="V864" s="191"/>
      <c r="W864" s="191"/>
      <c r="X864" s="191"/>
      <c r="Y864" s="191"/>
      <c r="Z864" s="191"/>
    </row>
    <row r="865" spans="1:26" ht="15.75" customHeight="1" x14ac:dyDescent="0.2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U865" s="191"/>
      <c r="V865" s="191"/>
      <c r="W865" s="191"/>
      <c r="X865" s="191"/>
      <c r="Y865" s="191"/>
      <c r="Z865" s="191"/>
    </row>
    <row r="866" spans="1:26" ht="15.75" customHeight="1" x14ac:dyDescent="0.2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U866" s="191"/>
      <c r="V866" s="191"/>
      <c r="W866" s="191"/>
      <c r="X866" s="191"/>
      <c r="Y866" s="191"/>
      <c r="Z866" s="191"/>
    </row>
    <row r="867" spans="1:26" ht="15.75" customHeight="1" x14ac:dyDescent="0.2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U867" s="191"/>
      <c r="V867" s="191"/>
      <c r="W867" s="191"/>
      <c r="X867" s="191"/>
      <c r="Y867" s="191"/>
      <c r="Z867" s="191"/>
    </row>
    <row r="868" spans="1:26" ht="15.75" customHeight="1" x14ac:dyDescent="0.2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U868" s="191"/>
      <c r="V868" s="191"/>
      <c r="W868" s="191"/>
      <c r="X868" s="191"/>
      <c r="Y868" s="191"/>
      <c r="Z868" s="191"/>
    </row>
    <row r="869" spans="1:26" ht="15.75" customHeight="1" x14ac:dyDescent="0.2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U869" s="191"/>
      <c r="V869" s="191"/>
      <c r="W869" s="191"/>
      <c r="X869" s="191"/>
      <c r="Y869" s="191"/>
      <c r="Z869" s="191"/>
    </row>
    <row r="870" spans="1:26" ht="15.75" customHeight="1" x14ac:dyDescent="0.2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U870" s="191"/>
      <c r="V870" s="191"/>
      <c r="W870" s="191"/>
      <c r="X870" s="191"/>
      <c r="Y870" s="191"/>
      <c r="Z870" s="191"/>
    </row>
    <row r="871" spans="1:26" ht="15.75" customHeight="1" x14ac:dyDescent="0.2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U871" s="191"/>
      <c r="V871" s="191"/>
      <c r="W871" s="191"/>
      <c r="X871" s="191"/>
      <c r="Y871" s="191"/>
      <c r="Z871" s="191"/>
    </row>
    <row r="872" spans="1:26" ht="15.75" customHeight="1" x14ac:dyDescent="0.2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U872" s="191"/>
      <c r="V872" s="191"/>
      <c r="W872" s="191"/>
      <c r="X872" s="191"/>
      <c r="Y872" s="191"/>
      <c r="Z872" s="191"/>
    </row>
    <row r="873" spans="1:26" ht="15.75" customHeight="1" x14ac:dyDescent="0.2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U873" s="191"/>
      <c r="V873" s="191"/>
      <c r="W873" s="191"/>
      <c r="X873" s="191"/>
      <c r="Y873" s="191"/>
      <c r="Z873" s="191"/>
    </row>
    <row r="874" spans="1:26" ht="15.75" customHeight="1" x14ac:dyDescent="0.2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U874" s="191"/>
      <c r="V874" s="191"/>
      <c r="W874" s="191"/>
      <c r="X874" s="191"/>
      <c r="Y874" s="191"/>
      <c r="Z874" s="191"/>
    </row>
    <row r="875" spans="1:26" ht="15.75" customHeight="1" x14ac:dyDescent="0.2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U875" s="191"/>
      <c r="V875" s="191"/>
      <c r="W875" s="191"/>
      <c r="X875" s="191"/>
      <c r="Y875" s="191"/>
      <c r="Z875" s="191"/>
    </row>
    <row r="876" spans="1:26" ht="15.75" customHeight="1" x14ac:dyDescent="0.2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U876" s="191"/>
      <c r="V876" s="191"/>
      <c r="W876" s="191"/>
      <c r="X876" s="191"/>
      <c r="Y876" s="191"/>
      <c r="Z876" s="191"/>
    </row>
    <row r="877" spans="1:26" ht="15.75" customHeight="1" x14ac:dyDescent="0.2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U877" s="191"/>
      <c r="V877" s="191"/>
      <c r="W877" s="191"/>
      <c r="X877" s="191"/>
      <c r="Y877" s="191"/>
      <c r="Z877" s="191"/>
    </row>
    <row r="878" spans="1:26" ht="15.75" customHeight="1" x14ac:dyDescent="0.2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U878" s="191"/>
      <c r="V878" s="191"/>
      <c r="W878" s="191"/>
      <c r="X878" s="191"/>
      <c r="Y878" s="191"/>
      <c r="Z878" s="191"/>
    </row>
    <row r="879" spans="1:26" ht="15.75" customHeight="1" x14ac:dyDescent="0.2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U879" s="191"/>
      <c r="V879" s="191"/>
      <c r="W879" s="191"/>
      <c r="X879" s="191"/>
      <c r="Y879" s="191"/>
      <c r="Z879" s="191"/>
    </row>
    <row r="880" spans="1:26" ht="15.75" customHeight="1" x14ac:dyDescent="0.2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U880" s="191"/>
      <c r="V880" s="191"/>
      <c r="W880" s="191"/>
      <c r="X880" s="191"/>
      <c r="Y880" s="191"/>
      <c r="Z880" s="191"/>
    </row>
    <row r="881" spans="1:26" ht="15.75" customHeight="1" x14ac:dyDescent="0.2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U881" s="191"/>
      <c r="V881" s="191"/>
      <c r="W881" s="191"/>
      <c r="X881" s="191"/>
      <c r="Y881" s="191"/>
      <c r="Z881" s="191"/>
    </row>
    <row r="882" spans="1:26" ht="15.75" customHeight="1" x14ac:dyDescent="0.2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U882" s="191"/>
      <c r="V882" s="191"/>
      <c r="W882" s="191"/>
      <c r="X882" s="191"/>
      <c r="Y882" s="191"/>
      <c r="Z882" s="191"/>
    </row>
    <row r="883" spans="1:26" ht="15.75" customHeight="1" x14ac:dyDescent="0.2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U883" s="191"/>
      <c r="V883" s="191"/>
      <c r="W883" s="191"/>
      <c r="X883" s="191"/>
      <c r="Y883" s="191"/>
      <c r="Z883" s="191"/>
    </row>
    <row r="884" spans="1:26" ht="15.75" customHeight="1" x14ac:dyDescent="0.2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U884" s="191"/>
      <c r="V884" s="191"/>
      <c r="W884" s="191"/>
      <c r="X884" s="191"/>
      <c r="Y884" s="191"/>
      <c r="Z884" s="191"/>
    </row>
    <row r="885" spans="1:26" ht="15.75" customHeight="1" x14ac:dyDescent="0.2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U885" s="191"/>
      <c r="V885" s="191"/>
      <c r="W885" s="191"/>
      <c r="X885" s="191"/>
      <c r="Y885" s="191"/>
      <c r="Z885" s="191"/>
    </row>
    <row r="886" spans="1:26" ht="15.75" customHeight="1" x14ac:dyDescent="0.2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U886" s="191"/>
      <c r="V886" s="191"/>
      <c r="W886" s="191"/>
      <c r="X886" s="191"/>
      <c r="Y886" s="191"/>
      <c r="Z886" s="191"/>
    </row>
    <row r="887" spans="1:26" ht="15.75" customHeight="1" x14ac:dyDescent="0.2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U887" s="191"/>
      <c r="V887" s="191"/>
      <c r="W887" s="191"/>
      <c r="X887" s="191"/>
      <c r="Y887" s="191"/>
      <c r="Z887" s="191"/>
    </row>
    <row r="888" spans="1:26" ht="15.75" customHeight="1" x14ac:dyDescent="0.2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U888" s="191"/>
      <c r="V888" s="191"/>
      <c r="W888" s="191"/>
      <c r="X888" s="191"/>
      <c r="Y888" s="191"/>
      <c r="Z888" s="191"/>
    </row>
    <row r="889" spans="1:26" ht="15.75" customHeight="1" x14ac:dyDescent="0.2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U889" s="191"/>
      <c r="V889" s="191"/>
      <c r="W889" s="191"/>
      <c r="X889" s="191"/>
      <c r="Y889" s="191"/>
      <c r="Z889" s="191"/>
    </row>
    <row r="890" spans="1:26" ht="15.75" customHeight="1" x14ac:dyDescent="0.2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U890" s="191"/>
      <c r="V890" s="191"/>
      <c r="W890" s="191"/>
      <c r="X890" s="191"/>
      <c r="Y890" s="191"/>
      <c r="Z890" s="191"/>
    </row>
    <row r="891" spans="1:26" ht="15.75" customHeight="1" x14ac:dyDescent="0.2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U891" s="191"/>
      <c r="V891" s="191"/>
      <c r="W891" s="191"/>
      <c r="X891" s="191"/>
      <c r="Y891" s="191"/>
      <c r="Z891" s="191"/>
    </row>
    <row r="892" spans="1:26" ht="15.75" customHeight="1" x14ac:dyDescent="0.2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U892" s="191"/>
      <c r="V892" s="191"/>
      <c r="W892" s="191"/>
      <c r="X892" s="191"/>
      <c r="Y892" s="191"/>
      <c r="Z892" s="191"/>
    </row>
    <row r="893" spans="1:26" ht="15.75" customHeight="1" x14ac:dyDescent="0.2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U893" s="191"/>
      <c r="V893" s="191"/>
      <c r="W893" s="191"/>
      <c r="X893" s="191"/>
      <c r="Y893" s="191"/>
      <c r="Z893" s="191"/>
    </row>
    <row r="894" spans="1:26" ht="15.75" customHeight="1" x14ac:dyDescent="0.2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U894" s="191"/>
      <c r="V894" s="191"/>
      <c r="W894" s="191"/>
      <c r="X894" s="191"/>
      <c r="Y894" s="191"/>
      <c r="Z894" s="191"/>
    </row>
    <row r="895" spans="1:26" ht="15.75" customHeight="1" x14ac:dyDescent="0.2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U895" s="191"/>
      <c r="V895" s="191"/>
      <c r="W895" s="191"/>
      <c r="X895" s="191"/>
      <c r="Y895" s="191"/>
      <c r="Z895" s="191"/>
    </row>
    <row r="896" spans="1:26" ht="15.75" customHeight="1" x14ac:dyDescent="0.2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U896" s="191"/>
      <c r="V896" s="191"/>
      <c r="W896" s="191"/>
      <c r="X896" s="191"/>
      <c r="Y896" s="191"/>
      <c r="Z896" s="191"/>
    </row>
    <row r="897" spans="1:26" ht="15.75" customHeight="1" x14ac:dyDescent="0.2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U897" s="191"/>
      <c r="V897" s="191"/>
      <c r="W897" s="191"/>
      <c r="X897" s="191"/>
      <c r="Y897" s="191"/>
      <c r="Z897" s="191"/>
    </row>
    <row r="898" spans="1:26" ht="15.75" customHeight="1" x14ac:dyDescent="0.2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U898" s="191"/>
      <c r="V898" s="191"/>
      <c r="W898" s="191"/>
      <c r="X898" s="191"/>
      <c r="Y898" s="191"/>
      <c r="Z898" s="191"/>
    </row>
    <row r="899" spans="1:26" ht="15.75" customHeight="1" x14ac:dyDescent="0.2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U899" s="191"/>
      <c r="V899" s="191"/>
      <c r="W899" s="191"/>
      <c r="X899" s="191"/>
      <c r="Y899" s="191"/>
      <c r="Z899" s="191"/>
    </row>
    <row r="900" spans="1:26" ht="15.75" customHeight="1" x14ac:dyDescent="0.2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U900" s="191"/>
      <c r="V900" s="191"/>
      <c r="W900" s="191"/>
      <c r="X900" s="191"/>
      <c r="Y900" s="191"/>
      <c r="Z900" s="191"/>
    </row>
    <row r="901" spans="1:26" ht="15.75" customHeight="1" x14ac:dyDescent="0.2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U901" s="191"/>
      <c r="V901" s="191"/>
      <c r="W901" s="191"/>
      <c r="X901" s="191"/>
      <c r="Y901" s="191"/>
      <c r="Z901" s="191"/>
    </row>
    <row r="902" spans="1:26" ht="15.75" customHeight="1" x14ac:dyDescent="0.2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U902" s="191"/>
      <c r="V902" s="191"/>
      <c r="W902" s="191"/>
      <c r="X902" s="191"/>
      <c r="Y902" s="191"/>
      <c r="Z902" s="191"/>
    </row>
    <row r="903" spans="1:26" ht="15.75" customHeight="1" x14ac:dyDescent="0.2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U903" s="191"/>
      <c r="V903" s="191"/>
      <c r="W903" s="191"/>
      <c r="X903" s="191"/>
      <c r="Y903" s="191"/>
      <c r="Z903" s="191"/>
    </row>
    <row r="904" spans="1:26" ht="15.75" customHeight="1" x14ac:dyDescent="0.2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U904" s="191"/>
      <c r="V904" s="191"/>
      <c r="W904" s="191"/>
      <c r="X904" s="191"/>
      <c r="Y904" s="191"/>
      <c r="Z904" s="191"/>
    </row>
    <row r="905" spans="1:26" ht="15.75" customHeight="1" x14ac:dyDescent="0.2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U905" s="191"/>
      <c r="V905" s="191"/>
      <c r="W905" s="191"/>
      <c r="X905" s="191"/>
      <c r="Y905" s="191"/>
      <c r="Z905" s="191"/>
    </row>
    <row r="906" spans="1:26" ht="15.75" customHeight="1" x14ac:dyDescent="0.2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U906" s="191"/>
      <c r="V906" s="191"/>
      <c r="W906" s="191"/>
      <c r="X906" s="191"/>
      <c r="Y906" s="191"/>
      <c r="Z906" s="191"/>
    </row>
    <row r="907" spans="1:26" ht="15.75" customHeight="1" x14ac:dyDescent="0.2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U907" s="191"/>
      <c r="V907" s="191"/>
      <c r="W907" s="191"/>
      <c r="X907" s="191"/>
      <c r="Y907" s="191"/>
      <c r="Z907" s="191"/>
    </row>
    <row r="908" spans="1:26" ht="15.75" customHeight="1" x14ac:dyDescent="0.2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U908" s="191"/>
      <c r="V908" s="191"/>
      <c r="W908" s="191"/>
      <c r="X908" s="191"/>
      <c r="Y908" s="191"/>
      <c r="Z908" s="191"/>
    </row>
    <row r="909" spans="1:26" ht="15.75" customHeight="1" x14ac:dyDescent="0.2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U909" s="191"/>
      <c r="V909" s="191"/>
      <c r="W909" s="191"/>
      <c r="X909" s="191"/>
      <c r="Y909" s="191"/>
      <c r="Z909" s="191"/>
    </row>
    <row r="910" spans="1:26" ht="15.75" customHeight="1" x14ac:dyDescent="0.2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U910" s="191"/>
      <c r="V910" s="191"/>
      <c r="W910" s="191"/>
      <c r="X910" s="191"/>
      <c r="Y910" s="191"/>
      <c r="Z910" s="191"/>
    </row>
    <row r="911" spans="1:26" ht="15.75" customHeight="1" x14ac:dyDescent="0.2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U911" s="191"/>
      <c r="V911" s="191"/>
      <c r="W911" s="191"/>
      <c r="X911" s="191"/>
      <c r="Y911" s="191"/>
      <c r="Z911" s="191"/>
    </row>
    <row r="912" spans="1:26" ht="15.75" customHeight="1" x14ac:dyDescent="0.2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U912" s="191"/>
      <c r="V912" s="191"/>
      <c r="W912" s="191"/>
      <c r="X912" s="191"/>
      <c r="Y912" s="191"/>
      <c r="Z912" s="191"/>
    </row>
    <row r="913" spans="1:26" ht="15.75" customHeight="1" x14ac:dyDescent="0.2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U913" s="191"/>
      <c r="V913" s="191"/>
      <c r="W913" s="191"/>
      <c r="X913" s="191"/>
      <c r="Y913" s="191"/>
      <c r="Z913" s="191"/>
    </row>
    <row r="914" spans="1:26" ht="15.75" customHeight="1" x14ac:dyDescent="0.2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U914" s="191"/>
      <c r="V914" s="191"/>
      <c r="W914" s="191"/>
      <c r="X914" s="191"/>
      <c r="Y914" s="191"/>
      <c r="Z914" s="191"/>
    </row>
    <row r="915" spans="1:26" ht="15.75" customHeight="1" x14ac:dyDescent="0.2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U915" s="191"/>
      <c r="V915" s="191"/>
      <c r="W915" s="191"/>
      <c r="X915" s="191"/>
      <c r="Y915" s="191"/>
      <c r="Z915" s="191"/>
    </row>
    <row r="916" spans="1:26" ht="15.75" customHeight="1" x14ac:dyDescent="0.2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U916" s="191"/>
      <c r="V916" s="191"/>
      <c r="W916" s="191"/>
      <c r="X916" s="191"/>
      <c r="Y916" s="191"/>
      <c r="Z916" s="191"/>
    </row>
    <row r="917" spans="1:26" ht="15.75" customHeight="1" x14ac:dyDescent="0.2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U917" s="191"/>
      <c r="V917" s="191"/>
      <c r="W917" s="191"/>
      <c r="X917" s="191"/>
      <c r="Y917" s="191"/>
      <c r="Z917" s="191"/>
    </row>
    <row r="918" spans="1:26" ht="15.75" customHeight="1" x14ac:dyDescent="0.2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U918" s="191"/>
      <c r="V918" s="191"/>
      <c r="W918" s="191"/>
      <c r="X918" s="191"/>
      <c r="Y918" s="191"/>
      <c r="Z918" s="191"/>
    </row>
    <row r="919" spans="1:26" ht="15.75" customHeight="1" x14ac:dyDescent="0.2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U919" s="191"/>
      <c r="V919" s="191"/>
      <c r="W919" s="191"/>
      <c r="X919" s="191"/>
      <c r="Y919" s="191"/>
      <c r="Z919" s="191"/>
    </row>
    <row r="920" spans="1:26" ht="15.75" customHeight="1" x14ac:dyDescent="0.2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U920" s="191"/>
      <c r="V920" s="191"/>
      <c r="W920" s="191"/>
      <c r="X920" s="191"/>
      <c r="Y920" s="191"/>
      <c r="Z920" s="191"/>
    </row>
    <row r="921" spans="1:26" ht="15.75" customHeight="1" x14ac:dyDescent="0.2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U921" s="191"/>
      <c r="V921" s="191"/>
      <c r="W921" s="191"/>
      <c r="X921" s="191"/>
      <c r="Y921" s="191"/>
      <c r="Z921" s="191"/>
    </row>
    <row r="922" spans="1:26" ht="15.75" customHeight="1" x14ac:dyDescent="0.2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U922" s="191"/>
      <c r="V922" s="191"/>
      <c r="W922" s="191"/>
      <c r="X922" s="191"/>
      <c r="Y922" s="191"/>
      <c r="Z922" s="191"/>
    </row>
    <row r="923" spans="1:26" ht="15.75" customHeight="1" x14ac:dyDescent="0.2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U923" s="191"/>
      <c r="V923" s="191"/>
      <c r="W923" s="191"/>
      <c r="X923" s="191"/>
      <c r="Y923" s="191"/>
      <c r="Z923" s="191"/>
    </row>
    <row r="924" spans="1:26" ht="15.75" customHeight="1" x14ac:dyDescent="0.2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U924" s="191"/>
      <c r="V924" s="191"/>
      <c r="W924" s="191"/>
      <c r="X924" s="191"/>
      <c r="Y924" s="191"/>
      <c r="Z924" s="191"/>
    </row>
    <row r="925" spans="1:26" ht="15.75" customHeight="1" x14ac:dyDescent="0.2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U925" s="191"/>
      <c r="V925" s="191"/>
      <c r="W925" s="191"/>
      <c r="X925" s="191"/>
      <c r="Y925" s="191"/>
      <c r="Z925" s="191"/>
    </row>
    <row r="926" spans="1:26" ht="15.75" customHeight="1" x14ac:dyDescent="0.2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U926" s="191"/>
      <c r="V926" s="191"/>
      <c r="W926" s="191"/>
      <c r="X926" s="191"/>
      <c r="Y926" s="191"/>
      <c r="Z926" s="191"/>
    </row>
    <row r="927" spans="1:26" ht="15.75" customHeight="1" x14ac:dyDescent="0.2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U927" s="191"/>
      <c r="V927" s="191"/>
      <c r="W927" s="191"/>
      <c r="X927" s="191"/>
      <c r="Y927" s="191"/>
      <c r="Z927" s="191"/>
    </row>
    <row r="928" spans="1:26" ht="15.75" customHeight="1" x14ac:dyDescent="0.2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U928" s="191"/>
      <c r="V928" s="191"/>
      <c r="W928" s="191"/>
      <c r="X928" s="191"/>
      <c r="Y928" s="191"/>
      <c r="Z928" s="191"/>
    </row>
    <row r="929" spans="1:26" ht="15.75" customHeight="1" x14ac:dyDescent="0.2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U929" s="191"/>
      <c r="V929" s="191"/>
      <c r="W929" s="191"/>
      <c r="X929" s="191"/>
      <c r="Y929" s="191"/>
      <c r="Z929" s="191"/>
    </row>
    <row r="930" spans="1:26" ht="15.75" customHeight="1" x14ac:dyDescent="0.2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U930" s="191"/>
      <c r="V930" s="191"/>
      <c r="W930" s="191"/>
      <c r="X930" s="191"/>
      <c r="Y930" s="191"/>
      <c r="Z930" s="191"/>
    </row>
    <row r="931" spans="1:26" ht="15.75" customHeight="1" x14ac:dyDescent="0.2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U931" s="191"/>
      <c r="V931" s="191"/>
      <c r="W931" s="191"/>
      <c r="X931" s="191"/>
      <c r="Y931" s="191"/>
      <c r="Z931" s="191"/>
    </row>
    <row r="932" spans="1:26" ht="15.75" customHeight="1" x14ac:dyDescent="0.2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U932" s="191"/>
      <c r="V932" s="191"/>
      <c r="W932" s="191"/>
      <c r="X932" s="191"/>
      <c r="Y932" s="191"/>
      <c r="Z932" s="191"/>
    </row>
    <row r="933" spans="1:26" ht="15.75" customHeight="1" x14ac:dyDescent="0.2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U933" s="191"/>
      <c r="V933" s="191"/>
      <c r="W933" s="191"/>
      <c r="X933" s="191"/>
      <c r="Y933" s="191"/>
      <c r="Z933" s="191"/>
    </row>
    <row r="934" spans="1:26" ht="15.75" customHeight="1" x14ac:dyDescent="0.2">
      <c r="A934" s="191"/>
      <c r="B934" s="191"/>
      <c r="C934" s="191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U934" s="191"/>
      <c r="V934" s="191"/>
      <c r="W934" s="191"/>
      <c r="X934" s="191"/>
      <c r="Y934" s="191"/>
      <c r="Z934" s="191"/>
    </row>
    <row r="935" spans="1:26" ht="15.75" customHeight="1" x14ac:dyDescent="0.2">
      <c r="A935" s="191"/>
      <c r="B935" s="191"/>
      <c r="C935" s="191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U935" s="191"/>
      <c r="V935" s="191"/>
      <c r="W935" s="191"/>
      <c r="X935" s="191"/>
      <c r="Y935" s="191"/>
      <c r="Z935" s="191"/>
    </row>
    <row r="936" spans="1:26" ht="15.75" customHeight="1" x14ac:dyDescent="0.2">
      <c r="A936" s="191"/>
      <c r="B936" s="191"/>
      <c r="C936" s="19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U936" s="191"/>
      <c r="V936" s="191"/>
      <c r="W936" s="191"/>
      <c r="X936" s="191"/>
      <c r="Y936" s="191"/>
      <c r="Z936" s="191"/>
    </row>
    <row r="937" spans="1:26" ht="15.75" customHeight="1" x14ac:dyDescent="0.2">
      <c r="A937" s="191"/>
      <c r="B937" s="191"/>
      <c r="C937" s="191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U937" s="191"/>
      <c r="V937" s="191"/>
      <c r="W937" s="191"/>
      <c r="X937" s="191"/>
      <c r="Y937" s="191"/>
      <c r="Z937" s="191"/>
    </row>
    <row r="938" spans="1:26" ht="15.75" customHeight="1" x14ac:dyDescent="0.2">
      <c r="A938" s="191"/>
      <c r="B938" s="191"/>
      <c r="C938" s="191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U938" s="191"/>
      <c r="V938" s="191"/>
      <c r="W938" s="191"/>
      <c r="X938" s="191"/>
      <c r="Y938" s="191"/>
      <c r="Z938" s="191"/>
    </row>
    <row r="939" spans="1:26" ht="15.75" customHeight="1" x14ac:dyDescent="0.2">
      <c r="A939" s="191"/>
      <c r="B939" s="191"/>
      <c r="C939" s="191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U939" s="191"/>
      <c r="V939" s="191"/>
      <c r="W939" s="191"/>
      <c r="X939" s="191"/>
      <c r="Y939" s="191"/>
      <c r="Z939" s="191"/>
    </row>
    <row r="940" spans="1:26" ht="15.75" customHeight="1" x14ac:dyDescent="0.2">
      <c r="A940" s="191"/>
      <c r="B940" s="191"/>
      <c r="C940" s="191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U940" s="191"/>
      <c r="V940" s="191"/>
      <c r="W940" s="191"/>
      <c r="X940" s="191"/>
      <c r="Y940" s="191"/>
      <c r="Z940" s="191"/>
    </row>
    <row r="941" spans="1:26" ht="15.75" customHeight="1" x14ac:dyDescent="0.2">
      <c r="A941" s="191"/>
      <c r="B941" s="191"/>
      <c r="C941" s="191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U941" s="191"/>
      <c r="V941" s="191"/>
      <c r="W941" s="191"/>
      <c r="X941" s="191"/>
      <c r="Y941" s="191"/>
      <c r="Z941" s="191"/>
    </row>
    <row r="942" spans="1:26" ht="15.75" customHeight="1" x14ac:dyDescent="0.2">
      <c r="A942" s="191"/>
      <c r="B942" s="191"/>
      <c r="C942" s="191"/>
      <c r="D942" s="191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U942" s="191"/>
      <c r="V942" s="191"/>
      <c r="W942" s="191"/>
      <c r="X942" s="191"/>
      <c r="Y942" s="191"/>
      <c r="Z942" s="191"/>
    </row>
    <row r="943" spans="1:26" ht="15.75" customHeight="1" x14ac:dyDescent="0.2">
      <c r="A943" s="191"/>
      <c r="B943" s="191"/>
      <c r="C943" s="191"/>
      <c r="D943" s="191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U943" s="191"/>
      <c r="V943" s="191"/>
      <c r="W943" s="191"/>
      <c r="X943" s="191"/>
      <c r="Y943" s="191"/>
      <c r="Z943" s="191"/>
    </row>
    <row r="944" spans="1:26" ht="15.75" customHeight="1" x14ac:dyDescent="0.2">
      <c r="A944" s="191"/>
      <c r="B944" s="191"/>
      <c r="C944" s="191"/>
      <c r="D944" s="191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U944" s="191"/>
      <c r="V944" s="191"/>
      <c r="W944" s="191"/>
      <c r="X944" s="191"/>
      <c r="Y944" s="191"/>
      <c r="Z944" s="191"/>
    </row>
    <row r="945" spans="1:26" ht="15.75" customHeight="1" x14ac:dyDescent="0.2">
      <c r="A945" s="191"/>
      <c r="B945" s="191"/>
      <c r="C945" s="191"/>
      <c r="D945" s="191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U945" s="191"/>
      <c r="V945" s="191"/>
      <c r="W945" s="191"/>
      <c r="X945" s="191"/>
      <c r="Y945" s="191"/>
      <c r="Z945" s="191"/>
    </row>
    <row r="946" spans="1:26" ht="15.75" customHeight="1" x14ac:dyDescent="0.2">
      <c r="A946" s="191"/>
      <c r="B946" s="191"/>
      <c r="C946" s="191"/>
      <c r="D946" s="191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U946" s="191"/>
      <c r="V946" s="191"/>
      <c r="W946" s="191"/>
      <c r="X946" s="191"/>
      <c r="Y946" s="191"/>
      <c r="Z946" s="191"/>
    </row>
    <row r="947" spans="1:26" ht="15.75" customHeight="1" x14ac:dyDescent="0.2">
      <c r="A947" s="191"/>
      <c r="B947" s="191"/>
      <c r="C947" s="191"/>
      <c r="D947" s="191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U947" s="191"/>
      <c r="V947" s="191"/>
      <c r="W947" s="191"/>
      <c r="X947" s="191"/>
      <c r="Y947" s="191"/>
      <c r="Z947" s="191"/>
    </row>
    <row r="948" spans="1:26" ht="15.75" customHeight="1" x14ac:dyDescent="0.2">
      <c r="A948" s="191"/>
      <c r="B948" s="191"/>
      <c r="C948" s="191"/>
      <c r="D948" s="191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U948" s="191"/>
      <c r="V948" s="191"/>
      <c r="W948" s="191"/>
      <c r="X948" s="191"/>
      <c r="Y948" s="191"/>
      <c r="Z948" s="191"/>
    </row>
    <row r="949" spans="1:26" ht="15.75" customHeight="1" x14ac:dyDescent="0.2">
      <c r="A949" s="191"/>
      <c r="B949" s="191"/>
      <c r="C949" s="191"/>
      <c r="D949" s="191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U949" s="191"/>
      <c r="V949" s="191"/>
      <c r="W949" s="191"/>
      <c r="X949" s="191"/>
      <c r="Y949" s="191"/>
      <c r="Z949" s="191"/>
    </row>
    <row r="950" spans="1:26" ht="15.75" customHeight="1" x14ac:dyDescent="0.2">
      <c r="A950" s="191"/>
      <c r="B950" s="191"/>
      <c r="C950" s="191"/>
      <c r="D950" s="191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U950" s="191"/>
      <c r="V950" s="191"/>
      <c r="W950" s="191"/>
      <c r="X950" s="191"/>
      <c r="Y950" s="191"/>
      <c r="Z950" s="191"/>
    </row>
    <row r="951" spans="1:26" ht="15.75" customHeight="1" x14ac:dyDescent="0.2">
      <c r="A951" s="191"/>
      <c r="B951" s="191"/>
      <c r="C951" s="191"/>
      <c r="D951" s="191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U951" s="191"/>
      <c r="V951" s="191"/>
      <c r="W951" s="191"/>
      <c r="X951" s="191"/>
      <c r="Y951" s="191"/>
      <c r="Z951" s="191"/>
    </row>
    <row r="952" spans="1:26" ht="15.75" customHeight="1" x14ac:dyDescent="0.2">
      <c r="A952" s="191"/>
      <c r="B952" s="191"/>
      <c r="C952" s="191"/>
      <c r="D952" s="191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U952" s="191"/>
      <c r="V952" s="191"/>
      <c r="W952" s="191"/>
      <c r="X952" s="191"/>
      <c r="Y952" s="191"/>
      <c r="Z952" s="191"/>
    </row>
    <row r="953" spans="1:26" ht="15.75" customHeight="1" x14ac:dyDescent="0.2">
      <c r="A953" s="191"/>
      <c r="B953" s="191"/>
      <c r="C953" s="191"/>
      <c r="D953" s="191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U953" s="191"/>
      <c r="V953" s="191"/>
      <c r="W953" s="191"/>
      <c r="X953" s="191"/>
      <c r="Y953" s="191"/>
      <c r="Z953" s="191"/>
    </row>
    <row r="954" spans="1:26" ht="15.75" customHeight="1" x14ac:dyDescent="0.2">
      <c r="A954" s="191"/>
      <c r="B954" s="191"/>
      <c r="C954" s="191"/>
      <c r="D954" s="191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U954" s="191"/>
      <c r="V954" s="191"/>
      <c r="W954" s="191"/>
      <c r="X954" s="191"/>
      <c r="Y954" s="191"/>
      <c r="Z954" s="191"/>
    </row>
    <row r="955" spans="1:26" ht="15.75" customHeight="1" x14ac:dyDescent="0.2">
      <c r="A955" s="191"/>
      <c r="B955" s="191"/>
      <c r="C955" s="191"/>
      <c r="D955" s="191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U955" s="191"/>
      <c r="V955" s="191"/>
      <c r="W955" s="191"/>
      <c r="X955" s="191"/>
      <c r="Y955" s="191"/>
      <c r="Z955" s="191"/>
    </row>
    <row r="956" spans="1:26" ht="15.75" customHeight="1" x14ac:dyDescent="0.2">
      <c r="A956" s="191"/>
      <c r="B956" s="191"/>
      <c r="C956" s="191"/>
      <c r="D956" s="191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U956" s="191"/>
      <c r="V956" s="191"/>
      <c r="W956" s="191"/>
      <c r="X956" s="191"/>
      <c r="Y956" s="191"/>
      <c r="Z956" s="191"/>
    </row>
    <row r="957" spans="1:26" ht="15.75" customHeight="1" x14ac:dyDescent="0.2">
      <c r="A957" s="191"/>
      <c r="B957" s="191"/>
      <c r="C957" s="191"/>
      <c r="D957" s="191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U957" s="191"/>
      <c r="V957" s="191"/>
      <c r="W957" s="191"/>
      <c r="X957" s="191"/>
      <c r="Y957" s="191"/>
      <c r="Z957" s="191"/>
    </row>
    <row r="958" spans="1:26" ht="15.75" customHeight="1" x14ac:dyDescent="0.2">
      <c r="A958" s="191"/>
      <c r="B958" s="191"/>
      <c r="C958" s="191"/>
      <c r="D958" s="191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U958" s="191"/>
      <c r="V958" s="191"/>
      <c r="W958" s="191"/>
      <c r="X958" s="191"/>
      <c r="Y958" s="191"/>
      <c r="Z958" s="191"/>
    </row>
    <row r="959" spans="1:26" ht="15.75" customHeight="1" x14ac:dyDescent="0.2">
      <c r="A959" s="191"/>
      <c r="B959" s="191"/>
      <c r="C959" s="191"/>
      <c r="D959" s="191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U959" s="191"/>
      <c r="V959" s="191"/>
      <c r="W959" s="191"/>
      <c r="X959" s="191"/>
      <c r="Y959" s="191"/>
      <c r="Z959" s="191"/>
    </row>
    <row r="960" spans="1:26" ht="15.75" customHeight="1" x14ac:dyDescent="0.2">
      <c r="A960" s="191"/>
      <c r="B960" s="191"/>
      <c r="C960" s="191"/>
      <c r="D960" s="191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U960" s="191"/>
      <c r="V960" s="191"/>
      <c r="W960" s="191"/>
      <c r="X960" s="191"/>
      <c r="Y960" s="191"/>
      <c r="Z960" s="191"/>
    </row>
    <row r="961" spans="1:26" ht="15.75" customHeight="1" x14ac:dyDescent="0.2">
      <c r="A961" s="191"/>
      <c r="B961" s="191"/>
      <c r="C961" s="191"/>
      <c r="D961" s="191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U961" s="191"/>
      <c r="V961" s="191"/>
      <c r="W961" s="191"/>
      <c r="X961" s="191"/>
      <c r="Y961" s="191"/>
      <c r="Z961" s="191"/>
    </row>
    <row r="962" spans="1:26" ht="15.75" customHeight="1" x14ac:dyDescent="0.2">
      <c r="A962" s="191"/>
      <c r="B962" s="191"/>
      <c r="C962" s="191"/>
      <c r="D962" s="191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U962" s="191"/>
      <c r="V962" s="191"/>
      <c r="W962" s="191"/>
      <c r="X962" s="191"/>
      <c r="Y962" s="191"/>
      <c r="Z962" s="191"/>
    </row>
    <row r="963" spans="1:26" ht="15.75" customHeight="1" x14ac:dyDescent="0.2">
      <c r="A963" s="191"/>
      <c r="B963" s="191"/>
      <c r="C963" s="191"/>
      <c r="D963" s="191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U963" s="191"/>
      <c r="V963" s="191"/>
      <c r="W963" s="191"/>
      <c r="X963" s="191"/>
      <c r="Y963" s="191"/>
      <c r="Z963" s="191"/>
    </row>
    <row r="964" spans="1:26" ht="15.75" customHeight="1" x14ac:dyDescent="0.2">
      <c r="A964" s="191"/>
      <c r="B964" s="191"/>
      <c r="C964" s="191"/>
      <c r="D964" s="191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U964" s="191"/>
      <c r="V964" s="191"/>
      <c r="W964" s="191"/>
      <c r="X964" s="191"/>
      <c r="Y964" s="191"/>
      <c r="Z964" s="191"/>
    </row>
    <row r="965" spans="1:26" ht="15.75" customHeight="1" x14ac:dyDescent="0.2">
      <c r="A965" s="191"/>
      <c r="B965" s="191"/>
      <c r="C965" s="191"/>
      <c r="D965" s="191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U965" s="191"/>
      <c r="V965" s="191"/>
      <c r="W965" s="191"/>
      <c r="X965" s="191"/>
      <c r="Y965" s="191"/>
      <c r="Z965" s="191"/>
    </row>
    <row r="966" spans="1:26" ht="15.75" customHeight="1" x14ac:dyDescent="0.2">
      <c r="A966" s="191"/>
      <c r="B966" s="191"/>
      <c r="C966" s="191"/>
      <c r="D966" s="191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U966" s="191"/>
      <c r="V966" s="191"/>
      <c r="W966" s="191"/>
      <c r="X966" s="191"/>
      <c r="Y966" s="191"/>
      <c r="Z966" s="191"/>
    </row>
    <row r="967" spans="1:26" ht="15.75" customHeight="1" x14ac:dyDescent="0.2">
      <c r="A967" s="191"/>
      <c r="B967" s="191"/>
      <c r="C967" s="191"/>
      <c r="D967" s="191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U967" s="191"/>
      <c r="V967" s="191"/>
      <c r="W967" s="191"/>
      <c r="X967" s="191"/>
      <c r="Y967" s="191"/>
      <c r="Z967" s="191"/>
    </row>
    <row r="968" spans="1:26" ht="15.75" customHeight="1" x14ac:dyDescent="0.2">
      <c r="A968" s="191"/>
      <c r="B968" s="191"/>
      <c r="C968" s="191"/>
      <c r="D968" s="191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U968" s="191"/>
      <c r="V968" s="191"/>
      <c r="W968" s="191"/>
      <c r="X968" s="191"/>
      <c r="Y968" s="191"/>
      <c r="Z968" s="191"/>
    </row>
    <row r="969" spans="1:26" ht="15.75" customHeight="1" x14ac:dyDescent="0.2">
      <c r="A969" s="191"/>
      <c r="B969" s="191"/>
      <c r="C969" s="191"/>
      <c r="D969" s="191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U969" s="191"/>
      <c r="V969" s="191"/>
      <c r="W969" s="191"/>
      <c r="X969" s="191"/>
      <c r="Y969" s="191"/>
      <c r="Z969" s="191"/>
    </row>
    <row r="970" spans="1:26" ht="15.75" customHeight="1" x14ac:dyDescent="0.2">
      <c r="A970" s="191"/>
      <c r="B970" s="191"/>
      <c r="C970" s="191"/>
      <c r="D970" s="191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U970" s="191"/>
      <c r="V970" s="191"/>
      <c r="W970" s="191"/>
      <c r="X970" s="191"/>
      <c r="Y970" s="191"/>
      <c r="Z970" s="191"/>
    </row>
    <row r="971" spans="1:26" ht="15.75" customHeight="1" x14ac:dyDescent="0.2">
      <c r="A971" s="191"/>
      <c r="B971" s="191"/>
      <c r="C971" s="191"/>
      <c r="D971" s="191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U971" s="191"/>
      <c r="V971" s="191"/>
      <c r="W971" s="191"/>
      <c r="X971" s="191"/>
      <c r="Y971" s="191"/>
      <c r="Z971" s="191"/>
    </row>
    <row r="972" spans="1:26" ht="15.75" customHeight="1" x14ac:dyDescent="0.2">
      <c r="A972" s="191"/>
      <c r="B972" s="191"/>
      <c r="C972" s="191"/>
      <c r="D972" s="191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U972" s="191"/>
      <c r="V972" s="191"/>
      <c r="W972" s="191"/>
      <c r="X972" s="191"/>
      <c r="Y972" s="191"/>
      <c r="Z972" s="191"/>
    </row>
    <row r="973" spans="1:26" ht="15.75" customHeight="1" x14ac:dyDescent="0.2">
      <c r="A973" s="191"/>
      <c r="B973" s="191"/>
      <c r="C973" s="191"/>
      <c r="D973" s="191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U973" s="191"/>
      <c r="V973" s="191"/>
      <c r="W973" s="191"/>
      <c r="X973" s="191"/>
      <c r="Y973" s="191"/>
      <c r="Z973" s="191"/>
    </row>
    <row r="974" spans="1:26" ht="15.75" customHeight="1" x14ac:dyDescent="0.2">
      <c r="A974" s="191"/>
      <c r="B974" s="191"/>
      <c r="C974" s="191"/>
      <c r="D974" s="191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U974" s="191"/>
      <c r="V974" s="191"/>
      <c r="W974" s="191"/>
      <c r="X974" s="191"/>
      <c r="Y974" s="191"/>
      <c r="Z974" s="191"/>
    </row>
    <row r="975" spans="1:26" ht="15.75" customHeight="1" x14ac:dyDescent="0.2">
      <c r="A975" s="191"/>
      <c r="B975" s="191"/>
      <c r="C975" s="191"/>
      <c r="D975" s="191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U975" s="191"/>
      <c r="V975" s="191"/>
      <c r="W975" s="191"/>
      <c r="X975" s="191"/>
      <c r="Y975" s="191"/>
      <c r="Z975" s="191"/>
    </row>
    <row r="976" spans="1:26" ht="15.75" customHeight="1" x14ac:dyDescent="0.2">
      <c r="A976" s="191"/>
      <c r="B976" s="191"/>
      <c r="C976" s="191"/>
      <c r="D976" s="191"/>
      <c r="E976" s="191"/>
      <c r="F976" s="191"/>
      <c r="G976" s="191"/>
      <c r="H976" s="191"/>
      <c r="I976" s="191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U976" s="191"/>
      <c r="V976" s="191"/>
      <c r="W976" s="191"/>
      <c r="X976" s="191"/>
      <c r="Y976" s="191"/>
      <c r="Z976" s="191"/>
    </row>
    <row r="977" spans="1:26" ht="15.75" customHeight="1" x14ac:dyDescent="0.2">
      <c r="A977" s="191"/>
      <c r="B977" s="191"/>
      <c r="C977" s="191"/>
      <c r="D977" s="191"/>
      <c r="E977" s="191"/>
      <c r="F977" s="191"/>
      <c r="G977" s="191"/>
      <c r="H977" s="191"/>
      <c r="I977" s="191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U977" s="191"/>
      <c r="V977" s="191"/>
      <c r="W977" s="191"/>
      <c r="X977" s="191"/>
      <c r="Y977" s="191"/>
      <c r="Z977" s="191"/>
    </row>
    <row r="978" spans="1:26" ht="15.75" customHeight="1" x14ac:dyDescent="0.2">
      <c r="A978" s="191"/>
      <c r="B978" s="191"/>
      <c r="C978" s="191"/>
      <c r="D978" s="191"/>
      <c r="E978" s="191"/>
      <c r="F978" s="191"/>
      <c r="G978" s="191"/>
      <c r="H978" s="191"/>
      <c r="I978" s="191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U978" s="191"/>
      <c r="V978" s="191"/>
      <c r="W978" s="191"/>
      <c r="X978" s="191"/>
      <c r="Y978" s="191"/>
      <c r="Z978" s="191"/>
    </row>
    <row r="979" spans="1:26" ht="15.75" customHeight="1" x14ac:dyDescent="0.2">
      <c r="A979" s="191"/>
      <c r="B979" s="191"/>
      <c r="C979" s="191"/>
      <c r="D979" s="191"/>
      <c r="E979" s="191"/>
      <c r="F979" s="191"/>
      <c r="G979" s="191"/>
      <c r="H979" s="191"/>
      <c r="I979" s="191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U979" s="191"/>
      <c r="V979" s="191"/>
      <c r="W979" s="191"/>
      <c r="X979" s="191"/>
      <c r="Y979" s="191"/>
      <c r="Z979" s="191"/>
    </row>
    <row r="980" spans="1:26" ht="15.75" customHeight="1" x14ac:dyDescent="0.2">
      <c r="A980" s="191"/>
      <c r="B980" s="191"/>
      <c r="C980" s="191"/>
      <c r="D980" s="191"/>
      <c r="E980" s="191"/>
      <c r="F980" s="191"/>
      <c r="G980" s="191"/>
      <c r="H980" s="191"/>
      <c r="I980" s="191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U980" s="191"/>
      <c r="V980" s="191"/>
      <c r="W980" s="191"/>
      <c r="X980" s="191"/>
      <c r="Y980" s="191"/>
      <c r="Z980" s="191"/>
    </row>
    <row r="981" spans="1:26" ht="15.75" customHeight="1" x14ac:dyDescent="0.2">
      <c r="A981" s="191"/>
      <c r="B981" s="191"/>
      <c r="C981" s="191"/>
      <c r="D981" s="191"/>
      <c r="E981" s="191"/>
      <c r="F981" s="191"/>
      <c r="G981" s="191"/>
      <c r="H981" s="191"/>
      <c r="I981" s="191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U981" s="191"/>
      <c r="V981" s="191"/>
      <c r="W981" s="191"/>
      <c r="X981" s="191"/>
      <c r="Y981" s="191"/>
      <c r="Z981" s="191"/>
    </row>
    <row r="982" spans="1:26" ht="15.75" customHeight="1" x14ac:dyDescent="0.2">
      <c r="A982" s="191"/>
      <c r="B982" s="191"/>
      <c r="C982" s="191"/>
      <c r="D982" s="191"/>
      <c r="E982" s="191"/>
      <c r="F982" s="191"/>
      <c r="G982" s="191"/>
      <c r="H982" s="191"/>
      <c r="I982" s="191"/>
      <c r="J982" s="191"/>
      <c r="K982" s="191"/>
      <c r="L982" s="191"/>
      <c r="M982" s="191"/>
      <c r="N982" s="191"/>
      <c r="O982" s="191"/>
      <c r="P982" s="191"/>
      <c r="Q982" s="191"/>
      <c r="R982" s="191"/>
      <c r="S982" s="191"/>
      <c r="U982" s="191"/>
      <c r="V982" s="191"/>
      <c r="W982" s="191"/>
      <c r="X982" s="191"/>
      <c r="Y982" s="191"/>
      <c r="Z982" s="191"/>
    </row>
    <row r="983" spans="1:26" ht="15.75" customHeight="1" x14ac:dyDescent="0.2">
      <c r="A983" s="191"/>
      <c r="B983" s="191"/>
      <c r="C983" s="191"/>
      <c r="D983" s="191"/>
      <c r="E983" s="191"/>
      <c r="F983" s="191"/>
      <c r="G983" s="191"/>
      <c r="H983" s="191"/>
      <c r="I983" s="191"/>
      <c r="J983" s="191"/>
      <c r="K983" s="191"/>
      <c r="L983" s="191"/>
      <c r="M983" s="191"/>
      <c r="N983" s="191"/>
      <c r="O983" s="191"/>
      <c r="P983" s="191"/>
      <c r="Q983" s="191"/>
      <c r="R983" s="191"/>
      <c r="S983" s="191"/>
      <c r="U983" s="191"/>
      <c r="V983" s="191"/>
      <c r="W983" s="191"/>
      <c r="X983" s="191"/>
      <c r="Y983" s="191"/>
      <c r="Z983" s="191"/>
    </row>
    <row r="984" spans="1:26" ht="15.75" customHeight="1" x14ac:dyDescent="0.2">
      <c r="A984" s="191"/>
      <c r="B984" s="191"/>
      <c r="C984" s="191"/>
      <c r="D984" s="191"/>
      <c r="E984" s="191"/>
      <c r="F984" s="191"/>
      <c r="G984" s="191"/>
      <c r="H984" s="191"/>
      <c r="I984" s="191"/>
      <c r="J984" s="191"/>
      <c r="K984" s="191"/>
      <c r="L984" s="191"/>
      <c r="M984" s="191"/>
      <c r="N984" s="191"/>
      <c r="O984" s="191"/>
      <c r="P984" s="191"/>
      <c r="Q984" s="191"/>
      <c r="R984" s="191"/>
      <c r="S984" s="191"/>
      <c r="U984" s="191"/>
      <c r="V984" s="191"/>
      <c r="W984" s="191"/>
      <c r="X984" s="191"/>
      <c r="Y984" s="191"/>
      <c r="Z984" s="191"/>
    </row>
    <row r="985" spans="1:26" ht="15.75" customHeight="1" x14ac:dyDescent="0.2">
      <c r="A985" s="191"/>
      <c r="B985" s="191"/>
      <c r="C985" s="191"/>
      <c r="D985" s="191"/>
      <c r="E985" s="191"/>
      <c r="F985" s="191"/>
      <c r="G985" s="191"/>
      <c r="H985" s="191"/>
      <c r="I985" s="191"/>
      <c r="J985" s="191"/>
      <c r="K985" s="191"/>
      <c r="L985" s="191"/>
      <c r="M985" s="191"/>
      <c r="N985" s="191"/>
      <c r="O985" s="191"/>
      <c r="P985" s="191"/>
      <c r="Q985" s="191"/>
      <c r="R985" s="191"/>
      <c r="S985" s="191"/>
      <c r="U985" s="191"/>
      <c r="V985" s="191"/>
      <c r="W985" s="191"/>
      <c r="X985" s="191"/>
      <c r="Y985" s="191"/>
      <c r="Z985" s="191"/>
    </row>
    <row r="986" spans="1:26" ht="15.75" customHeight="1" x14ac:dyDescent="0.2">
      <c r="A986" s="191"/>
      <c r="B986" s="191"/>
      <c r="C986" s="191"/>
      <c r="D986" s="191"/>
      <c r="E986" s="191"/>
      <c r="F986" s="191"/>
      <c r="G986" s="191"/>
      <c r="H986" s="191"/>
      <c r="I986" s="191"/>
      <c r="J986" s="191"/>
      <c r="K986" s="191"/>
      <c r="L986" s="191"/>
      <c r="M986" s="191"/>
      <c r="N986" s="191"/>
      <c r="O986" s="191"/>
      <c r="P986" s="191"/>
      <c r="Q986" s="191"/>
      <c r="R986" s="191"/>
      <c r="S986" s="191"/>
      <c r="U986" s="191"/>
      <c r="V986" s="191"/>
      <c r="W986" s="191"/>
      <c r="X986" s="191"/>
      <c r="Y986" s="191"/>
      <c r="Z986" s="191"/>
    </row>
    <row r="987" spans="1:26" ht="15.75" customHeight="1" x14ac:dyDescent="0.2">
      <c r="A987" s="191"/>
      <c r="B987" s="191"/>
      <c r="C987" s="191"/>
      <c r="D987" s="191"/>
      <c r="E987" s="191"/>
      <c r="F987" s="191"/>
      <c r="G987" s="191"/>
      <c r="H987" s="191"/>
      <c r="I987" s="191"/>
      <c r="J987" s="191"/>
      <c r="K987" s="191"/>
      <c r="L987" s="191"/>
      <c r="M987" s="191"/>
      <c r="N987" s="191"/>
      <c r="O987" s="191"/>
      <c r="P987" s="191"/>
      <c r="Q987" s="191"/>
      <c r="R987" s="191"/>
      <c r="S987" s="191"/>
      <c r="U987" s="191"/>
      <c r="V987" s="191"/>
      <c r="W987" s="191"/>
      <c r="X987" s="191"/>
      <c r="Y987" s="191"/>
      <c r="Z987" s="191"/>
    </row>
    <row r="988" spans="1:26" ht="15.75" customHeight="1" x14ac:dyDescent="0.2">
      <c r="A988" s="191"/>
      <c r="B988" s="191"/>
      <c r="C988" s="191"/>
      <c r="D988" s="191"/>
      <c r="E988" s="191"/>
      <c r="F988" s="191"/>
      <c r="G988" s="191"/>
      <c r="H988" s="191"/>
      <c r="I988" s="191"/>
      <c r="J988" s="191"/>
      <c r="K988" s="191"/>
      <c r="L988" s="191"/>
      <c r="M988" s="191"/>
      <c r="N988" s="191"/>
      <c r="O988" s="191"/>
      <c r="P988" s="191"/>
      <c r="Q988" s="191"/>
      <c r="R988" s="191"/>
      <c r="S988" s="191"/>
      <c r="U988" s="191"/>
      <c r="V988" s="191"/>
      <c r="W988" s="191"/>
      <c r="X988" s="191"/>
      <c r="Y988" s="191"/>
      <c r="Z988" s="191"/>
    </row>
    <row r="989" spans="1:26" ht="15.75" customHeight="1" x14ac:dyDescent="0.2">
      <c r="A989" s="191"/>
      <c r="B989" s="191"/>
      <c r="C989" s="191"/>
      <c r="D989" s="191"/>
      <c r="E989" s="191"/>
      <c r="F989" s="191"/>
      <c r="G989" s="191"/>
      <c r="H989" s="191"/>
      <c r="I989" s="191"/>
      <c r="J989" s="191"/>
      <c r="K989" s="191"/>
      <c r="L989" s="191"/>
      <c r="M989" s="191"/>
      <c r="N989" s="191"/>
      <c r="O989" s="191"/>
      <c r="P989" s="191"/>
      <c r="Q989" s="191"/>
      <c r="R989" s="191"/>
      <c r="S989" s="191"/>
      <c r="U989" s="191"/>
      <c r="V989" s="191"/>
      <c r="W989" s="191"/>
      <c r="X989" s="191"/>
      <c r="Y989" s="191"/>
      <c r="Z989" s="191"/>
    </row>
    <row r="990" spans="1:26" ht="15.75" customHeight="1" x14ac:dyDescent="0.2">
      <c r="A990" s="191"/>
      <c r="B990" s="191"/>
      <c r="C990" s="191"/>
      <c r="D990" s="191"/>
      <c r="E990" s="191"/>
      <c r="F990" s="191"/>
      <c r="G990" s="191"/>
      <c r="H990" s="191"/>
      <c r="I990" s="191"/>
      <c r="J990" s="191"/>
      <c r="K990" s="191"/>
      <c r="L990" s="191"/>
      <c r="M990" s="191"/>
      <c r="N990" s="191"/>
      <c r="O990" s="191"/>
      <c r="P990" s="191"/>
      <c r="Q990" s="191"/>
      <c r="R990" s="191"/>
      <c r="S990" s="191"/>
      <c r="U990" s="191"/>
      <c r="V990" s="191"/>
      <c r="W990" s="191"/>
      <c r="X990" s="191"/>
      <c r="Y990" s="191"/>
      <c r="Z990" s="191"/>
    </row>
    <row r="991" spans="1:26" ht="15.75" customHeight="1" x14ac:dyDescent="0.2">
      <c r="A991" s="191"/>
      <c r="B991" s="191"/>
      <c r="C991" s="191"/>
      <c r="D991" s="191"/>
      <c r="E991" s="191"/>
      <c r="F991" s="191"/>
      <c r="G991" s="191"/>
      <c r="H991" s="191"/>
      <c r="I991" s="191"/>
      <c r="J991" s="191"/>
      <c r="K991" s="191"/>
      <c r="L991" s="191"/>
      <c r="M991" s="191"/>
      <c r="N991" s="191"/>
      <c r="O991" s="191"/>
      <c r="P991" s="191"/>
      <c r="Q991" s="191"/>
      <c r="R991" s="191"/>
      <c r="S991" s="191"/>
      <c r="U991" s="191"/>
      <c r="V991" s="191"/>
      <c r="W991" s="191"/>
      <c r="X991" s="191"/>
      <c r="Y991" s="191"/>
      <c r="Z991" s="191"/>
    </row>
    <row r="992" spans="1:26" ht="15.75" customHeight="1" x14ac:dyDescent="0.2">
      <c r="A992" s="191"/>
      <c r="B992" s="191"/>
      <c r="C992" s="191"/>
      <c r="D992" s="191"/>
      <c r="E992" s="191"/>
      <c r="F992" s="191"/>
      <c r="G992" s="191"/>
      <c r="H992" s="191"/>
      <c r="I992" s="191"/>
      <c r="J992" s="191"/>
      <c r="K992" s="191"/>
      <c r="L992" s="191"/>
      <c r="M992" s="191"/>
      <c r="N992" s="191"/>
      <c r="O992" s="191"/>
      <c r="P992" s="191"/>
      <c r="Q992" s="191"/>
      <c r="R992" s="191"/>
      <c r="S992" s="191"/>
      <c r="U992" s="191"/>
      <c r="V992" s="191"/>
      <c r="W992" s="191"/>
      <c r="X992" s="191"/>
      <c r="Y992" s="191"/>
      <c r="Z992" s="191"/>
    </row>
    <row r="993" spans="1:26" ht="15.75" customHeight="1" x14ac:dyDescent="0.2">
      <c r="A993" s="191"/>
      <c r="B993" s="191"/>
      <c r="C993" s="191"/>
      <c r="D993" s="191"/>
      <c r="E993" s="191"/>
      <c r="F993" s="191"/>
      <c r="G993" s="191"/>
      <c r="H993" s="191"/>
      <c r="I993" s="191"/>
      <c r="J993" s="191"/>
      <c r="K993" s="191"/>
      <c r="L993" s="191"/>
      <c r="M993" s="191"/>
      <c r="N993" s="191"/>
      <c r="O993" s="191"/>
      <c r="P993" s="191"/>
      <c r="Q993" s="191"/>
      <c r="R993" s="191"/>
      <c r="S993" s="191"/>
      <c r="U993" s="191"/>
      <c r="V993" s="191"/>
      <c r="W993" s="191"/>
      <c r="X993" s="191"/>
      <c r="Y993" s="191"/>
      <c r="Z993" s="191"/>
    </row>
    <row r="994" spans="1:26" ht="15.75" customHeight="1" x14ac:dyDescent="0.2">
      <c r="A994" s="191"/>
      <c r="B994" s="191"/>
      <c r="C994" s="191"/>
      <c r="D994" s="191"/>
      <c r="E994" s="191"/>
      <c r="F994" s="191"/>
      <c r="G994" s="191"/>
      <c r="H994" s="191"/>
      <c r="I994" s="191"/>
      <c r="J994" s="191"/>
      <c r="K994" s="191"/>
      <c r="L994" s="191"/>
      <c r="M994" s="191"/>
      <c r="N994" s="191"/>
      <c r="O994" s="191"/>
      <c r="P994" s="191"/>
      <c r="Q994" s="191"/>
      <c r="R994" s="191"/>
      <c r="S994" s="191"/>
      <c r="U994" s="191"/>
      <c r="V994" s="191"/>
      <c r="W994" s="191"/>
      <c r="X994" s="191"/>
      <c r="Y994" s="191"/>
      <c r="Z994" s="191"/>
    </row>
    <row r="995" spans="1:26" ht="15.75" customHeight="1" x14ac:dyDescent="0.2">
      <c r="A995" s="191"/>
      <c r="B995" s="191"/>
      <c r="C995" s="191"/>
      <c r="D995" s="191"/>
      <c r="E995" s="191"/>
      <c r="F995" s="191"/>
      <c r="G995" s="191"/>
      <c r="H995" s="191"/>
      <c r="I995" s="191"/>
      <c r="J995" s="191"/>
      <c r="K995" s="191"/>
      <c r="L995" s="191"/>
      <c r="M995" s="191"/>
      <c r="N995" s="191"/>
      <c r="O995" s="191"/>
      <c r="P995" s="191"/>
      <c r="Q995" s="191"/>
      <c r="R995" s="191"/>
      <c r="S995" s="191"/>
      <c r="U995" s="191"/>
      <c r="V995" s="191"/>
      <c r="W995" s="191"/>
      <c r="X995" s="191"/>
      <c r="Y995" s="191"/>
      <c r="Z995" s="191"/>
    </row>
    <row r="996" spans="1:26" ht="15.75" customHeight="1" x14ac:dyDescent="0.2">
      <c r="A996" s="191"/>
      <c r="B996" s="191"/>
      <c r="C996" s="191"/>
      <c r="D996" s="191"/>
      <c r="E996" s="191"/>
      <c r="F996" s="191"/>
      <c r="G996" s="191"/>
      <c r="H996" s="191"/>
      <c r="I996" s="191"/>
      <c r="J996" s="191"/>
      <c r="K996" s="191"/>
      <c r="L996" s="191"/>
      <c r="M996" s="191"/>
      <c r="N996" s="191"/>
      <c r="O996" s="191"/>
      <c r="P996" s="191"/>
      <c r="Q996" s="191"/>
      <c r="R996" s="191"/>
      <c r="S996" s="191"/>
      <c r="U996" s="191"/>
      <c r="V996" s="191"/>
      <c r="W996" s="191"/>
      <c r="X996" s="191"/>
      <c r="Y996" s="191"/>
      <c r="Z996" s="191"/>
    </row>
    <row r="997" spans="1:26" ht="15.75" customHeight="1" x14ac:dyDescent="0.2">
      <c r="A997" s="191"/>
      <c r="B997" s="191"/>
      <c r="C997" s="191"/>
      <c r="D997" s="191"/>
      <c r="E997" s="191"/>
      <c r="F997" s="191"/>
      <c r="G997" s="191"/>
      <c r="H997" s="191"/>
      <c r="I997" s="191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U997" s="191"/>
      <c r="V997" s="191"/>
      <c r="W997" s="191"/>
      <c r="X997" s="191"/>
      <c r="Y997" s="191"/>
      <c r="Z997" s="191"/>
    </row>
    <row r="998" spans="1:26" ht="15.75" customHeight="1" x14ac:dyDescent="0.2">
      <c r="A998" s="191"/>
      <c r="B998" s="191"/>
      <c r="C998" s="191"/>
      <c r="D998" s="191"/>
      <c r="E998" s="191"/>
      <c r="F998" s="191"/>
      <c r="G998" s="191"/>
      <c r="H998" s="191"/>
      <c r="I998" s="191"/>
      <c r="J998" s="191"/>
      <c r="K998" s="191"/>
      <c r="L998" s="191"/>
      <c r="M998" s="191"/>
      <c r="N998" s="191"/>
      <c r="O998" s="191"/>
      <c r="P998" s="191"/>
      <c r="Q998" s="191"/>
      <c r="R998" s="191"/>
      <c r="S998" s="191"/>
      <c r="U998" s="191"/>
      <c r="V998" s="191"/>
      <c r="W998" s="191"/>
      <c r="X998" s="191"/>
      <c r="Y998" s="191"/>
      <c r="Z998" s="191"/>
    </row>
    <row r="999" spans="1:26" ht="15.75" customHeight="1" x14ac:dyDescent="0.2">
      <c r="A999" s="191"/>
      <c r="B999" s="191"/>
      <c r="C999" s="191"/>
      <c r="D999" s="191"/>
      <c r="E999" s="191"/>
      <c r="F999" s="191"/>
      <c r="G999" s="191"/>
      <c r="H999" s="191"/>
      <c r="I999" s="191"/>
      <c r="J999" s="191"/>
      <c r="K999" s="191"/>
      <c r="L999" s="191"/>
      <c r="M999" s="191"/>
      <c r="N999" s="191"/>
      <c r="O999" s="191"/>
      <c r="P999" s="191"/>
      <c r="Q999" s="191"/>
      <c r="R999" s="191"/>
      <c r="S999" s="191"/>
      <c r="U999" s="191"/>
      <c r="V999" s="191"/>
      <c r="W999" s="191"/>
      <c r="X999" s="191"/>
      <c r="Y999" s="191"/>
      <c r="Z999" s="191"/>
    </row>
    <row r="1000" spans="1:26" ht="15.75" customHeight="1" x14ac:dyDescent="0.2">
      <c r="A1000" s="191"/>
      <c r="B1000" s="191"/>
      <c r="C1000" s="191"/>
      <c r="D1000" s="191"/>
      <c r="E1000" s="191"/>
      <c r="F1000" s="191"/>
      <c r="G1000" s="191"/>
      <c r="H1000" s="191"/>
      <c r="I1000" s="191"/>
      <c r="J1000" s="191"/>
      <c r="K1000" s="191"/>
      <c r="L1000" s="191"/>
      <c r="M1000" s="191"/>
      <c r="N1000" s="191"/>
      <c r="O1000" s="191"/>
      <c r="P1000" s="191"/>
      <c r="Q1000" s="191"/>
      <c r="R1000" s="191"/>
      <c r="S1000" s="191"/>
      <c r="U1000" s="191"/>
      <c r="V1000" s="191"/>
      <c r="W1000" s="191"/>
      <c r="X1000" s="191"/>
      <c r="Y1000" s="191"/>
      <c r="Z1000" s="191"/>
    </row>
  </sheetData>
  <mergeCells count="3">
    <mergeCell ref="A6:E6"/>
    <mergeCell ref="B52:F52"/>
    <mergeCell ref="A60:E60"/>
  </mergeCells>
  <pageMargins left="0.11" right="0.11" top="0.75" bottom="0.75" header="0.3" footer="0.3"/>
  <pageSetup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DFEE-298A-4B6B-92B1-FC558A3BE36C}">
  <sheetPr>
    <pageSetUpPr fitToPage="1"/>
  </sheetPr>
  <dimension ref="A1:U68"/>
  <sheetViews>
    <sheetView zoomScaleNormal="100" workbookViewId="0">
      <selection activeCell="A5" sqref="A5"/>
    </sheetView>
  </sheetViews>
  <sheetFormatPr defaultColWidth="9.140625" defaultRowHeight="14.25" x14ac:dyDescent="0.2"/>
  <cols>
    <col min="1" max="1" width="3.42578125" style="132" customWidth="1"/>
    <col min="2" max="2" width="1.42578125" style="132" customWidth="1"/>
    <col min="3" max="3" width="1.85546875" style="132" customWidth="1"/>
    <col min="4" max="4" width="2.140625" style="132" customWidth="1"/>
    <col min="5" max="5" width="33" style="132" customWidth="1"/>
    <col min="6" max="9" width="10.42578125" style="132" customWidth="1"/>
    <col min="10" max="10" width="10" style="132" customWidth="1"/>
    <col min="11" max="12" width="10.140625" style="132" customWidth="1"/>
    <col min="13" max="13" width="9.85546875" style="132" customWidth="1"/>
    <col min="14" max="17" width="9.140625" style="132"/>
    <col min="18" max="18" width="11.42578125" style="132" customWidth="1"/>
    <col min="19" max="19" width="11.85546875" style="159" customWidth="1"/>
    <col min="20" max="16384" width="9.140625" style="132"/>
  </cols>
  <sheetData>
    <row r="1" spans="1:19" ht="6" customHeight="1" x14ac:dyDescent="0.2"/>
    <row r="2" spans="1:19" ht="15" x14ac:dyDescent="0.25">
      <c r="A2" s="134" t="s">
        <v>0</v>
      </c>
      <c r="B2" s="134"/>
      <c r="C2" s="134"/>
      <c r="D2" s="134"/>
      <c r="E2" s="134"/>
    </row>
    <row r="3" spans="1:19" ht="15" x14ac:dyDescent="0.25">
      <c r="A3" s="134" t="s">
        <v>175</v>
      </c>
      <c r="B3" s="134"/>
      <c r="C3" s="134"/>
      <c r="D3" s="134"/>
      <c r="E3" s="134"/>
    </row>
    <row r="4" spans="1:19" x14ac:dyDescent="0.2">
      <c r="A4" s="132" t="s">
        <v>2</v>
      </c>
    </row>
    <row r="5" spans="1:19" x14ac:dyDescent="0.2">
      <c r="A5" s="135"/>
      <c r="G5" s="160"/>
      <c r="H5" s="160"/>
      <c r="I5" s="160"/>
      <c r="J5" s="160"/>
    </row>
    <row r="6" spans="1:19" ht="6" customHeight="1" x14ac:dyDescent="0.2"/>
    <row r="7" spans="1:19" s="137" customFormat="1" ht="25.5" customHeight="1" thickBot="1" x14ac:dyDescent="0.25">
      <c r="A7" s="171" t="s">
        <v>3</v>
      </c>
      <c r="B7" s="171"/>
      <c r="C7" s="171"/>
      <c r="D7" s="171"/>
      <c r="E7" s="171"/>
      <c r="F7" s="136" t="s">
        <v>4</v>
      </c>
      <c r="G7" s="136" t="s">
        <v>5</v>
      </c>
      <c r="H7" s="136" t="s">
        <v>6</v>
      </c>
      <c r="I7" s="136" t="s">
        <v>7</v>
      </c>
      <c r="J7" s="136" t="s">
        <v>8</v>
      </c>
      <c r="K7" s="136" t="s">
        <v>9</v>
      </c>
      <c r="L7" s="136" t="s">
        <v>10</v>
      </c>
      <c r="M7" s="136" t="s">
        <v>11</v>
      </c>
      <c r="N7" s="136" t="s">
        <v>12</v>
      </c>
      <c r="O7" s="136" t="s">
        <v>13</v>
      </c>
      <c r="P7" s="136" t="s">
        <v>56</v>
      </c>
      <c r="Q7" s="136" t="s">
        <v>57</v>
      </c>
      <c r="R7" s="136" t="s">
        <v>14</v>
      </c>
      <c r="S7" s="159"/>
    </row>
    <row r="8" spans="1:19" ht="6.75" customHeight="1" thickTop="1" x14ac:dyDescent="0.2"/>
    <row r="9" spans="1:19" ht="15" x14ac:dyDescent="0.25">
      <c r="B9" s="134" t="s">
        <v>15</v>
      </c>
      <c r="C9" s="134"/>
      <c r="D9" s="134"/>
      <c r="E9" s="134"/>
      <c r="F9" s="138">
        <v>421801</v>
      </c>
      <c r="G9" s="138">
        <v>224016</v>
      </c>
      <c r="H9" s="138">
        <v>287923</v>
      </c>
      <c r="I9" s="138">
        <v>537196</v>
      </c>
      <c r="J9" s="138">
        <v>382089</v>
      </c>
      <c r="K9" s="138">
        <v>296524</v>
      </c>
      <c r="L9" s="138">
        <v>457374</v>
      </c>
      <c r="M9" s="138">
        <v>386337</v>
      </c>
      <c r="N9" s="138">
        <v>299653</v>
      </c>
      <c r="O9" s="138">
        <v>473124</v>
      </c>
      <c r="P9" s="138">
        <v>338312</v>
      </c>
      <c r="Q9" s="138">
        <v>314674</v>
      </c>
      <c r="R9" s="138">
        <v>4419023</v>
      </c>
    </row>
    <row r="10" spans="1:19" ht="15" x14ac:dyDescent="0.25">
      <c r="C10" s="132" t="s">
        <v>16</v>
      </c>
      <c r="F10" s="138">
        <v>385170</v>
      </c>
      <c r="G10" s="138">
        <v>211311</v>
      </c>
      <c r="H10" s="138">
        <v>223885</v>
      </c>
      <c r="I10" s="138">
        <v>461780</v>
      </c>
      <c r="J10" s="138">
        <v>303908</v>
      </c>
      <c r="K10" s="138">
        <v>249316</v>
      </c>
      <c r="L10" s="138">
        <v>402832</v>
      </c>
      <c r="M10" s="138">
        <v>320218</v>
      </c>
      <c r="N10" s="138">
        <v>253449</v>
      </c>
      <c r="O10" s="138">
        <v>414856</v>
      </c>
      <c r="P10" s="138">
        <v>322381</v>
      </c>
      <c r="Q10" s="138">
        <v>251587</v>
      </c>
      <c r="R10" s="138">
        <v>3800693</v>
      </c>
    </row>
    <row r="11" spans="1:19" x14ac:dyDescent="0.2">
      <c r="D11" s="132" t="s">
        <v>17</v>
      </c>
      <c r="F11" s="132">
        <v>308435</v>
      </c>
      <c r="G11" s="132">
        <v>137988</v>
      </c>
      <c r="H11" s="132">
        <v>145346</v>
      </c>
      <c r="I11" s="132">
        <v>378521</v>
      </c>
      <c r="J11" s="132">
        <v>219228</v>
      </c>
      <c r="K11" s="132">
        <v>172503</v>
      </c>
      <c r="L11" s="132">
        <v>319814</v>
      </c>
      <c r="M11" s="132">
        <v>238120</v>
      </c>
      <c r="N11" s="132">
        <v>174679</v>
      </c>
      <c r="O11" s="132">
        <v>325536</v>
      </c>
      <c r="P11" s="132">
        <v>247594</v>
      </c>
      <c r="Q11" s="132">
        <v>183839</v>
      </c>
      <c r="R11" s="132">
        <v>2851603</v>
      </c>
    </row>
    <row r="12" spans="1:19" x14ac:dyDescent="0.2">
      <c r="E12" s="137" t="s">
        <v>18</v>
      </c>
      <c r="G12" s="160"/>
      <c r="H12" s="160"/>
      <c r="I12" s="160"/>
      <c r="J12" s="160"/>
    </row>
    <row r="13" spans="1:19" x14ac:dyDescent="0.2">
      <c r="E13" s="132" t="s">
        <v>19</v>
      </c>
      <c r="F13" s="139">
        <v>0</v>
      </c>
      <c r="G13" s="139">
        <v>921</v>
      </c>
      <c r="H13" s="139">
        <v>1592</v>
      </c>
      <c r="I13" s="139">
        <v>6858</v>
      </c>
      <c r="J13" s="139">
        <v>0</v>
      </c>
      <c r="K13" s="139">
        <v>1857</v>
      </c>
      <c r="L13" s="139">
        <v>1258</v>
      </c>
      <c r="M13" s="139">
        <v>1272</v>
      </c>
      <c r="N13" s="139">
        <v>3326</v>
      </c>
      <c r="O13" s="139">
        <v>0</v>
      </c>
      <c r="P13" s="139">
        <v>1439</v>
      </c>
      <c r="Q13" s="139">
        <v>1013</v>
      </c>
      <c r="R13" s="132">
        <v>19536</v>
      </c>
    </row>
    <row r="14" spans="1:19" x14ac:dyDescent="0.2">
      <c r="E14" s="132" t="s">
        <v>20</v>
      </c>
      <c r="F14" s="132">
        <v>0</v>
      </c>
      <c r="G14" s="132">
        <v>660</v>
      </c>
      <c r="H14" s="132">
        <v>159</v>
      </c>
      <c r="I14" s="132">
        <v>53</v>
      </c>
      <c r="J14" s="132">
        <v>36</v>
      </c>
      <c r="K14" s="132">
        <v>2580</v>
      </c>
      <c r="L14" s="132">
        <v>380</v>
      </c>
      <c r="M14" s="132">
        <v>12</v>
      </c>
      <c r="N14" s="132">
        <v>2828</v>
      </c>
      <c r="O14" s="132">
        <v>362</v>
      </c>
      <c r="P14" s="132">
        <v>4814</v>
      </c>
      <c r="Q14" s="132">
        <v>6287</v>
      </c>
      <c r="R14" s="132">
        <v>18171</v>
      </c>
    </row>
    <row r="15" spans="1:19" ht="6" customHeight="1" x14ac:dyDescent="0.2"/>
    <row r="16" spans="1:19" x14ac:dyDescent="0.2">
      <c r="D16" s="132" t="s">
        <v>21</v>
      </c>
      <c r="F16" s="161">
        <v>73397</v>
      </c>
      <c r="G16" s="161">
        <v>70560</v>
      </c>
      <c r="H16" s="161">
        <v>74895</v>
      </c>
      <c r="I16" s="161">
        <v>80742</v>
      </c>
      <c r="J16" s="161">
        <v>81301</v>
      </c>
      <c r="K16" s="161">
        <v>74623</v>
      </c>
      <c r="L16" s="161">
        <v>80355</v>
      </c>
      <c r="M16" s="161">
        <v>78521</v>
      </c>
      <c r="N16" s="161">
        <v>76282</v>
      </c>
      <c r="O16" s="161">
        <v>86885</v>
      </c>
      <c r="P16" s="161">
        <v>72441</v>
      </c>
      <c r="Q16" s="161">
        <v>66672</v>
      </c>
      <c r="R16" s="132">
        <v>916674</v>
      </c>
    </row>
    <row r="17" spans="2:18" x14ac:dyDescent="0.2">
      <c r="E17" s="137" t="s">
        <v>18</v>
      </c>
    </row>
    <row r="18" spans="2:18" x14ac:dyDescent="0.2">
      <c r="E18" s="132" t="s">
        <v>20</v>
      </c>
      <c r="F18" s="139">
        <v>0</v>
      </c>
      <c r="G18" s="139">
        <v>6</v>
      </c>
      <c r="H18" s="139">
        <v>3060</v>
      </c>
      <c r="I18" s="139">
        <v>0</v>
      </c>
      <c r="J18" s="139">
        <v>979</v>
      </c>
      <c r="K18" s="139">
        <v>1661</v>
      </c>
      <c r="L18" s="139">
        <v>2675</v>
      </c>
      <c r="M18" s="139">
        <v>814</v>
      </c>
      <c r="N18" s="139">
        <v>1001</v>
      </c>
      <c r="O18" s="139">
        <v>566</v>
      </c>
      <c r="P18" s="132">
        <v>2065</v>
      </c>
      <c r="Q18" s="139">
        <v>568</v>
      </c>
      <c r="R18" s="132">
        <v>13395</v>
      </c>
    </row>
    <row r="19" spans="2:18" x14ac:dyDescent="0.2">
      <c r="D19" s="132" t="s">
        <v>22</v>
      </c>
      <c r="F19" s="161">
        <v>3338</v>
      </c>
      <c r="G19" s="161">
        <v>2763</v>
      </c>
      <c r="H19" s="161">
        <v>3644</v>
      </c>
      <c r="I19" s="161">
        <v>2517</v>
      </c>
      <c r="J19" s="161">
        <v>3379</v>
      </c>
      <c r="K19" s="161">
        <v>2190</v>
      </c>
      <c r="L19" s="161">
        <v>2663</v>
      </c>
      <c r="M19" s="161">
        <v>3577</v>
      </c>
      <c r="N19" s="161">
        <v>2488</v>
      </c>
      <c r="O19" s="161">
        <v>2435</v>
      </c>
      <c r="P19" s="161">
        <v>2346</v>
      </c>
      <c r="Q19" s="161">
        <v>1076</v>
      </c>
      <c r="R19" s="132">
        <v>32416</v>
      </c>
    </row>
    <row r="21" spans="2:18" ht="15" x14ac:dyDescent="0.25">
      <c r="C21" s="132" t="s">
        <v>23</v>
      </c>
      <c r="F21" s="138">
        <v>36631</v>
      </c>
      <c r="G21" s="138">
        <v>12705</v>
      </c>
      <c r="H21" s="138">
        <v>64038</v>
      </c>
      <c r="I21" s="138">
        <v>75416</v>
      </c>
      <c r="J21" s="138">
        <v>78181</v>
      </c>
      <c r="K21" s="138">
        <v>47208</v>
      </c>
      <c r="L21" s="138">
        <v>54542</v>
      </c>
      <c r="M21" s="138">
        <v>66119</v>
      </c>
      <c r="N21" s="138">
        <v>46204</v>
      </c>
      <c r="O21" s="138">
        <v>58268</v>
      </c>
      <c r="P21" s="138">
        <v>15931</v>
      </c>
      <c r="Q21" s="138">
        <v>63087</v>
      </c>
      <c r="R21" s="138">
        <v>618330</v>
      </c>
    </row>
    <row r="22" spans="2:18" x14ac:dyDescent="0.2">
      <c r="D22" s="132" t="s">
        <v>24</v>
      </c>
      <c r="F22" s="162">
        <v>16735</v>
      </c>
      <c r="G22" s="162">
        <v>6498</v>
      </c>
      <c r="H22" s="162">
        <v>49080</v>
      </c>
      <c r="I22" s="162">
        <v>64010</v>
      </c>
      <c r="J22" s="162">
        <v>20162</v>
      </c>
      <c r="K22" s="162">
        <v>7421</v>
      </c>
      <c r="L22" s="162">
        <v>19914</v>
      </c>
      <c r="M22" s="162">
        <v>16485</v>
      </c>
      <c r="N22" s="162">
        <v>9921</v>
      </c>
      <c r="O22" s="162">
        <v>14519</v>
      </c>
      <c r="P22" s="162">
        <v>7942</v>
      </c>
      <c r="Q22" s="132">
        <v>50668</v>
      </c>
      <c r="R22" s="132">
        <v>283355</v>
      </c>
    </row>
    <row r="23" spans="2:18" x14ac:dyDescent="0.2">
      <c r="D23" s="132" t="s">
        <v>176</v>
      </c>
      <c r="F23" s="162">
        <v>5310</v>
      </c>
      <c r="G23" s="162">
        <v>4203</v>
      </c>
      <c r="H23" s="162">
        <v>4433</v>
      </c>
      <c r="I23" s="162">
        <v>5496</v>
      </c>
      <c r="J23" s="162">
        <v>4682</v>
      </c>
      <c r="K23" s="162">
        <v>5305</v>
      </c>
      <c r="L23" s="162">
        <v>5136</v>
      </c>
      <c r="M23" s="162">
        <v>7777</v>
      </c>
      <c r="N23" s="162">
        <v>7930</v>
      </c>
      <c r="O23" s="162">
        <v>4695</v>
      </c>
      <c r="P23" s="162">
        <v>4324</v>
      </c>
      <c r="Q23" s="162">
        <v>5924</v>
      </c>
      <c r="R23" s="153">
        <v>65215</v>
      </c>
    </row>
    <row r="24" spans="2:18" x14ac:dyDescent="0.2">
      <c r="D24" s="132" t="s">
        <v>26</v>
      </c>
      <c r="F24" s="162">
        <v>187</v>
      </c>
      <c r="G24" s="162">
        <v>44</v>
      </c>
      <c r="H24" s="162">
        <v>3</v>
      </c>
      <c r="I24" s="162">
        <v>159</v>
      </c>
      <c r="J24" s="162">
        <v>6</v>
      </c>
      <c r="K24" s="162">
        <v>12</v>
      </c>
      <c r="L24" s="162">
        <v>18</v>
      </c>
      <c r="M24" s="162">
        <v>2684</v>
      </c>
      <c r="N24" s="162">
        <v>6</v>
      </c>
      <c r="O24" s="162">
        <v>146</v>
      </c>
      <c r="P24" s="162">
        <v>18</v>
      </c>
      <c r="Q24" s="132">
        <v>10</v>
      </c>
      <c r="R24" s="132">
        <v>3293</v>
      </c>
    </row>
    <row r="25" spans="2:18" x14ac:dyDescent="0.2">
      <c r="D25" s="132" t="s">
        <v>27</v>
      </c>
      <c r="F25" s="162">
        <v>992</v>
      </c>
      <c r="G25" s="162">
        <v>674</v>
      </c>
      <c r="H25" s="162">
        <v>505</v>
      </c>
      <c r="I25" s="162">
        <v>292</v>
      </c>
      <c r="J25" s="162">
        <v>1117</v>
      </c>
      <c r="K25" s="162">
        <v>1460</v>
      </c>
      <c r="L25" s="162">
        <v>965</v>
      </c>
      <c r="M25" s="162">
        <v>1104</v>
      </c>
      <c r="N25" s="162">
        <v>785</v>
      </c>
      <c r="O25" s="162">
        <v>1168</v>
      </c>
      <c r="P25" s="162">
        <v>1390</v>
      </c>
      <c r="Q25" s="161">
        <v>247</v>
      </c>
      <c r="R25" s="132">
        <v>10699</v>
      </c>
    </row>
    <row r="26" spans="2:18" x14ac:dyDescent="0.2">
      <c r="D26" s="132" t="s">
        <v>177</v>
      </c>
      <c r="F26" s="162">
        <v>13406</v>
      </c>
      <c r="G26" s="162">
        <v>1286</v>
      </c>
      <c r="H26" s="162">
        <v>10017</v>
      </c>
      <c r="I26" s="162">
        <v>5459</v>
      </c>
      <c r="J26" s="162">
        <v>52003</v>
      </c>
      <c r="K26" s="162">
        <v>32922</v>
      </c>
      <c r="L26" s="162">
        <v>28508</v>
      </c>
      <c r="M26" s="162">
        <v>37909</v>
      </c>
      <c r="N26" s="162">
        <v>27559</v>
      </c>
      <c r="O26" s="162">
        <v>37740</v>
      </c>
      <c r="P26" s="162">
        <v>2256</v>
      </c>
      <c r="Q26" s="162">
        <v>6237</v>
      </c>
      <c r="R26" s="132">
        <v>255302</v>
      </c>
    </row>
    <row r="27" spans="2:18" x14ac:dyDescent="0.2">
      <c r="D27" s="132" t="s">
        <v>29</v>
      </c>
      <c r="F27" s="162">
        <v>1</v>
      </c>
      <c r="G27" s="162">
        <v>0</v>
      </c>
      <c r="H27" s="162">
        <v>0</v>
      </c>
      <c r="I27" s="162">
        <v>0</v>
      </c>
      <c r="J27" s="162">
        <v>211</v>
      </c>
      <c r="K27" s="162">
        <v>88</v>
      </c>
      <c r="L27" s="162">
        <v>1</v>
      </c>
      <c r="M27" s="162">
        <v>160</v>
      </c>
      <c r="N27" s="162">
        <v>3</v>
      </c>
      <c r="O27" s="162">
        <v>0</v>
      </c>
      <c r="P27" s="162">
        <v>1</v>
      </c>
      <c r="Q27" s="132">
        <v>1</v>
      </c>
      <c r="R27" s="132">
        <v>466</v>
      </c>
    </row>
    <row r="30" spans="2:18" ht="15" x14ac:dyDescent="0.25">
      <c r="B30" s="134" t="s">
        <v>30</v>
      </c>
      <c r="C30" s="134"/>
      <c r="D30" s="134"/>
      <c r="E30" s="134"/>
      <c r="F30" s="138">
        <v>333850</v>
      </c>
      <c r="G30" s="138">
        <v>388693</v>
      </c>
      <c r="H30" s="138">
        <v>483841</v>
      </c>
      <c r="I30" s="138">
        <v>494468</v>
      </c>
      <c r="J30" s="138">
        <v>557000</v>
      </c>
      <c r="K30" s="138">
        <v>505604</v>
      </c>
      <c r="L30" s="138">
        <v>486219</v>
      </c>
      <c r="M30" s="138">
        <v>440543</v>
      </c>
      <c r="N30" s="138">
        <v>572919</v>
      </c>
      <c r="O30" s="138">
        <v>466784</v>
      </c>
      <c r="P30" s="138">
        <v>551285</v>
      </c>
      <c r="Q30" s="138">
        <v>644175</v>
      </c>
      <c r="R30" s="138">
        <v>5925381</v>
      </c>
    </row>
    <row r="31" spans="2:18" x14ac:dyDescent="0.2">
      <c r="D31" s="132" t="s">
        <v>31</v>
      </c>
      <c r="F31" s="132">
        <v>78364</v>
      </c>
      <c r="G31" s="132">
        <v>101522</v>
      </c>
      <c r="H31" s="132">
        <v>80025</v>
      </c>
      <c r="I31" s="132">
        <v>79054</v>
      </c>
      <c r="J31" s="132">
        <v>81338</v>
      </c>
      <c r="K31" s="132">
        <v>83886</v>
      </c>
      <c r="L31" s="132">
        <v>86190</v>
      </c>
      <c r="M31" s="132">
        <v>82515</v>
      </c>
      <c r="N31" s="132">
        <v>82505</v>
      </c>
      <c r="O31" s="132">
        <v>84378</v>
      </c>
      <c r="P31" s="132">
        <v>101495</v>
      </c>
      <c r="Q31" s="132">
        <v>82811</v>
      </c>
      <c r="R31" s="132">
        <v>1024083</v>
      </c>
    </row>
    <row r="32" spans="2:18" x14ac:dyDescent="0.2">
      <c r="D32" s="132" t="s">
        <v>32</v>
      </c>
      <c r="F32" s="132">
        <v>74221</v>
      </c>
      <c r="G32" s="132">
        <v>47827</v>
      </c>
      <c r="H32" s="132">
        <v>70944</v>
      </c>
      <c r="I32" s="132">
        <v>67496</v>
      </c>
      <c r="J32" s="132">
        <v>61097</v>
      </c>
      <c r="K32" s="132">
        <v>55643</v>
      </c>
      <c r="L32" s="132">
        <v>79432</v>
      </c>
      <c r="M32" s="132">
        <v>52781</v>
      </c>
      <c r="N32" s="132">
        <v>73852</v>
      </c>
      <c r="O32" s="132">
        <v>55388</v>
      </c>
      <c r="P32" s="132">
        <v>66653</v>
      </c>
      <c r="Q32" s="132">
        <v>57979</v>
      </c>
      <c r="R32" s="132">
        <v>763313</v>
      </c>
    </row>
    <row r="33" spans="2:19" x14ac:dyDescent="0.2">
      <c r="D33" s="132" t="s">
        <v>33</v>
      </c>
      <c r="F33" s="132">
        <v>0</v>
      </c>
      <c r="G33" s="132">
        <v>1587</v>
      </c>
      <c r="H33" s="132">
        <v>4811</v>
      </c>
      <c r="I33" s="132">
        <v>6911</v>
      </c>
      <c r="J33" s="132">
        <v>1015</v>
      </c>
      <c r="K33" s="132">
        <v>6098</v>
      </c>
      <c r="L33" s="132">
        <v>4313</v>
      </c>
      <c r="M33" s="132">
        <v>2098</v>
      </c>
      <c r="N33" s="132">
        <v>7155</v>
      </c>
      <c r="O33" s="132">
        <v>928</v>
      </c>
      <c r="P33" s="132">
        <v>8318</v>
      </c>
      <c r="Q33" s="132">
        <v>7868</v>
      </c>
      <c r="R33" s="132">
        <v>51102</v>
      </c>
      <c r="S33" s="163"/>
    </row>
    <row r="34" spans="2:19" ht="17.25" customHeight="1" x14ac:dyDescent="0.2">
      <c r="D34" s="132" t="s">
        <v>171</v>
      </c>
      <c r="F34" s="132">
        <v>0</v>
      </c>
      <c r="G34" s="132">
        <v>12715</v>
      </c>
      <c r="H34" s="132">
        <v>6872</v>
      </c>
      <c r="I34" s="132">
        <v>27720</v>
      </c>
      <c r="J34" s="132">
        <v>9740</v>
      </c>
      <c r="K34" s="132">
        <v>10159</v>
      </c>
      <c r="L34" s="132">
        <v>10719</v>
      </c>
      <c r="M34" s="132">
        <v>9100</v>
      </c>
      <c r="N34" s="132">
        <v>18217</v>
      </c>
      <c r="O34" s="132">
        <v>11968</v>
      </c>
      <c r="P34" s="132">
        <v>12232</v>
      </c>
      <c r="Q34" s="132">
        <v>9321</v>
      </c>
      <c r="R34" s="132">
        <v>138763</v>
      </c>
    </row>
    <row r="35" spans="2:19" x14ac:dyDescent="0.2">
      <c r="D35" s="132" t="s">
        <v>35</v>
      </c>
      <c r="F35" s="132">
        <v>0</v>
      </c>
      <c r="G35" s="132">
        <v>9</v>
      </c>
      <c r="H35" s="132">
        <v>224</v>
      </c>
      <c r="I35" s="132">
        <v>0</v>
      </c>
      <c r="J35" s="132">
        <v>0</v>
      </c>
      <c r="K35" s="132">
        <v>20</v>
      </c>
      <c r="L35" s="132">
        <v>85</v>
      </c>
      <c r="M35" s="132">
        <v>1</v>
      </c>
      <c r="N35" s="132">
        <v>381</v>
      </c>
      <c r="O35" s="132">
        <v>22</v>
      </c>
      <c r="P35" s="132">
        <v>30</v>
      </c>
      <c r="Q35" s="132">
        <v>251</v>
      </c>
      <c r="R35" s="132">
        <v>1023</v>
      </c>
    </row>
    <row r="36" spans="2:19" x14ac:dyDescent="0.2">
      <c r="D36" s="132" t="s">
        <v>36</v>
      </c>
      <c r="F36" s="132">
        <v>0</v>
      </c>
      <c r="G36" s="132">
        <v>0</v>
      </c>
      <c r="H36" s="132">
        <v>-451</v>
      </c>
      <c r="I36" s="132">
        <v>1558</v>
      </c>
      <c r="J36" s="132">
        <v>45</v>
      </c>
      <c r="K36" s="132">
        <v>85</v>
      </c>
      <c r="L36" s="132">
        <v>-1143</v>
      </c>
      <c r="M36" s="132">
        <v>0</v>
      </c>
      <c r="N36" s="132">
        <v>3115</v>
      </c>
      <c r="O36" s="132">
        <v>3053</v>
      </c>
      <c r="P36" s="132">
        <v>44</v>
      </c>
      <c r="Q36" s="132">
        <v>625</v>
      </c>
      <c r="R36" s="132">
        <v>6931</v>
      </c>
    </row>
    <row r="37" spans="2:19" ht="16.5" x14ac:dyDescent="0.2">
      <c r="D37" s="132" t="s">
        <v>172</v>
      </c>
      <c r="F37" s="132">
        <v>181265</v>
      </c>
      <c r="G37" s="132">
        <v>225033</v>
      </c>
      <c r="H37" s="132">
        <v>321416</v>
      </c>
      <c r="I37" s="132">
        <v>311729</v>
      </c>
      <c r="J37" s="132">
        <v>403765</v>
      </c>
      <c r="K37" s="132">
        <v>349713</v>
      </c>
      <c r="L37" s="132">
        <v>306623</v>
      </c>
      <c r="M37" s="132">
        <v>294048</v>
      </c>
      <c r="N37" s="132">
        <v>387694</v>
      </c>
      <c r="O37" s="132">
        <v>311047</v>
      </c>
      <c r="P37" s="132">
        <v>362513</v>
      </c>
      <c r="Q37" s="132">
        <v>485320</v>
      </c>
      <c r="R37" s="132">
        <v>3940166</v>
      </c>
    </row>
    <row r="39" spans="2:19" ht="15" x14ac:dyDescent="0.25">
      <c r="B39" s="134" t="s">
        <v>38</v>
      </c>
      <c r="C39" s="134"/>
      <c r="D39" s="134"/>
      <c r="E39" s="134"/>
      <c r="F39" s="134">
        <v>87951</v>
      </c>
      <c r="G39" s="134">
        <v>-164677</v>
      </c>
      <c r="H39" s="134">
        <v>-195918</v>
      </c>
      <c r="I39" s="134">
        <v>42728</v>
      </c>
      <c r="J39" s="134">
        <v>-174911</v>
      </c>
      <c r="K39" s="134">
        <v>-209080</v>
      </c>
      <c r="L39" s="134">
        <v>-28845</v>
      </c>
      <c r="M39" s="134">
        <v>-54206</v>
      </c>
      <c r="N39" s="134">
        <v>-273266</v>
      </c>
      <c r="O39" s="134">
        <v>6340</v>
      </c>
      <c r="P39" s="134">
        <v>-212973</v>
      </c>
      <c r="Q39" s="134">
        <v>-329501</v>
      </c>
      <c r="R39" s="134">
        <v>-1506358</v>
      </c>
    </row>
    <row r="40" spans="2:19" x14ac:dyDescent="0.2">
      <c r="G40" s="160"/>
      <c r="H40" s="160"/>
      <c r="I40" s="160"/>
      <c r="J40" s="160"/>
    </row>
    <row r="41" spans="2:19" ht="15" x14ac:dyDescent="0.25">
      <c r="B41" s="134" t="s">
        <v>39</v>
      </c>
      <c r="C41" s="134"/>
      <c r="D41" s="134"/>
      <c r="E41" s="134"/>
      <c r="F41" s="138">
        <v>118474</v>
      </c>
      <c r="G41" s="138">
        <v>417634</v>
      </c>
      <c r="H41" s="138">
        <v>-255314</v>
      </c>
      <c r="I41" s="138">
        <v>-4997</v>
      </c>
      <c r="J41" s="138">
        <v>251451</v>
      </c>
      <c r="K41" s="138">
        <v>137743</v>
      </c>
      <c r="L41" s="138">
        <v>186923</v>
      </c>
      <c r="M41" s="138">
        <v>40597</v>
      </c>
      <c r="N41" s="138">
        <v>347425</v>
      </c>
      <c r="O41" s="138">
        <v>-32198</v>
      </c>
      <c r="P41" s="138">
        <v>37994</v>
      </c>
      <c r="Q41" s="138">
        <v>61454</v>
      </c>
      <c r="R41" s="138">
        <v>1307186</v>
      </c>
    </row>
    <row r="42" spans="2:19" x14ac:dyDescent="0.2">
      <c r="C42" s="132" t="s">
        <v>40</v>
      </c>
      <c r="F42" s="141">
        <v>-22893</v>
      </c>
      <c r="G42" s="141">
        <v>2578</v>
      </c>
      <c r="H42" s="141">
        <v>44201</v>
      </c>
      <c r="I42" s="141">
        <v>-32260</v>
      </c>
      <c r="J42" s="141">
        <v>119815</v>
      </c>
      <c r="K42" s="141">
        <v>7845</v>
      </c>
      <c r="L42" s="141">
        <v>6506</v>
      </c>
      <c r="M42" s="141">
        <v>-4414</v>
      </c>
      <c r="N42" s="141">
        <v>202312</v>
      </c>
      <c r="O42" s="141">
        <v>20338</v>
      </c>
      <c r="P42" s="141">
        <v>7411</v>
      </c>
      <c r="Q42" s="141">
        <v>50439</v>
      </c>
      <c r="R42" s="141">
        <v>401878</v>
      </c>
    </row>
    <row r="43" spans="2:19" x14ac:dyDescent="0.2">
      <c r="D43" s="132" t="s">
        <v>41</v>
      </c>
      <c r="F43" s="132">
        <v>61646</v>
      </c>
      <c r="G43" s="132">
        <v>4741</v>
      </c>
      <c r="H43" s="132">
        <v>50870</v>
      </c>
      <c r="I43" s="132">
        <v>6842</v>
      </c>
      <c r="J43" s="132">
        <v>127613</v>
      </c>
      <c r="K43" s="132">
        <v>15700</v>
      </c>
      <c r="L43" s="132">
        <v>8063</v>
      </c>
      <c r="M43" s="132">
        <v>6989</v>
      </c>
      <c r="N43" s="132">
        <v>221983</v>
      </c>
      <c r="O43" s="132">
        <v>61800</v>
      </c>
      <c r="P43" s="132">
        <v>16165</v>
      </c>
      <c r="Q43" s="132">
        <v>58759</v>
      </c>
      <c r="R43" s="132">
        <v>641171</v>
      </c>
    </row>
    <row r="44" spans="2:19" x14ac:dyDescent="0.2">
      <c r="D44" s="132" t="s">
        <v>42</v>
      </c>
      <c r="F44" s="132">
        <v>84539</v>
      </c>
      <c r="G44" s="132">
        <v>2163</v>
      </c>
      <c r="H44" s="132">
        <v>6669</v>
      </c>
      <c r="I44" s="132">
        <v>39102</v>
      </c>
      <c r="J44" s="132">
        <v>7798</v>
      </c>
      <c r="K44" s="132">
        <v>7855</v>
      </c>
      <c r="L44" s="132">
        <v>1557</v>
      </c>
      <c r="M44" s="132">
        <v>11403</v>
      </c>
      <c r="N44" s="132">
        <v>19671</v>
      </c>
      <c r="O44" s="132">
        <v>41462</v>
      </c>
      <c r="P44" s="132">
        <v>8754</v>
      </c>
      <c r="Q44" s="132">
        <v>8320</v>
      </c>
      <c r="R44" s="132">
        <v>239293</v>
      </c>
    </row>
    <row r="46" spans="2:19" ht="15" x14ac:dyDescent="0.25">
      <c r="C46" s="132" t="s">
        <v>43</v>
      </c>
      <c r="F46" s="138">
        <v>141367</v>
      </c>
      <c r="G46" s="138">
        <v>415056</v>
      </c>
      <c r="H46" s="138">
        <v>-299515</v>
      </c>
      <c r="I46" s="138">
        <v>27263</v>
      </c>
      <c r="J46" s="138">
        <v>131636</v>
      </c>
      <c r="K46" s="138">
        <v>129898</v>
      </c>
      <c r="L46" s="138">
        <v>180417</v>
      </c>
      <c r="M46" s="138">
        <v>45011</v>
      </c>
      <c r="N46" s="138">
        <v>145113</v>
      </c>
      <c r="O46" s="138">
        <v>-52536</v>
      </c>
      <c r="P46" s="138">
        <v>30583</v>
      </c>
      <c r="Q46" s="138">
        <v>11015</v>
      </c>
      <c r="R46" s="138">
        <v>905308</v>
      </c>
    </row>
    <row r="47" spans="2:19" x14ac:dyDescent="0.2">
      <c r="D47" s="132" t="s">
        <v>44</v>
      </c>
      <c r="F47" s="132">
        <v>141505</v>
      </c>
      <c r="G47" s="132">
        <v>658681</v>
      </c>
      <c r="H47" s="132">
        <v>156395</v>
      </c>
      <c r="I47" s="132">
        <v>82360</v>
      </c>
      <c r="J47" s="132">
        <v>131721</v>
      </c>
      <c r="K47" s="132">
        <v>132476</v>
      </c>
      <c r="L47" s="132">
        <v>180602</v>
      </c>
      <c r="M47" s="132">
        <v>167045</v>
      </c>
      <c r="N47" s="132">
        <v>145200</v>
      </c>
      <c r="O47" s="132">
        <v>67464</v>
      </c>
      <c r="P47" s="132">
        <v>48880</v>
      </c>
      <c r="Q47" s="132">
        <v>11015</v>
      </c>
      <c r="R47" s="132">
        <v>1923344</v>
      </c>
    </row>
    <row r="48" spans="2:19" x14ac:dyDescent="0.2">
      <c r="D48" s="132" t="s">
        <v>179</v>
      </c>
      <c r="F48" s="164">
        <v>138</v>
      </c>
      <c r="G48" s="164">
        <v>243625</v>
      </c>
      <c r="H48" s="164">
        <v>455910</v>
      </c>
      <c r="I48" s="164">
        <v>55097</v>
      </c>
      <c r="J48" s="164">
        <v>85</v>
      </c>
      <c r="K48" s="164">
        <v>2578</v>
      </c>
      <c r="L48" s="164">
        <v>185</v>
      </c>
      <c r="M48" s="164">
        <v>122034</v>
      </c>
      <c r="N48" s="164">
        <v>87</v>
      </c>
      <c r="O48" s="164">
        <v>120000</v>
      </c>
      <c r="P48" s="164">
        <v>18297</v>
      </c>
      <c r="Q48" s="164">
        <v>0</v>
      </c>
      <c r="R48" s="164">
        <v>1018036</v>
      </c>
    </row>
    <row r="49" spans="1:21" ht="14.25" customHeight="1" x14ac:dyDescent="0.2"/>
    <row r="50" spans="1:21" s="134" customFormat="1" ht="16.5" customHeight="1" x14ac:dyDescent="0.25">
      <c r="B50" s="134" t="s">
        <v>180</v>
      </c>
      <c r="F50" s="134">
        <v>1075607</v>
      </c>
      <c r="G50" s="134">
        <v>180187</v>
      </c>
      <c r="H50" s="134">
        <v>-491888</v>
      </c>
      <c r="I50" s="134">
        <v>-6003</v>
      </c>
      <c r="J50" s="134">
        <v>-29134</v>
      </c>
      <c r="K50" s="134">
        <v>-222639</v>
      </c>
      <c r="L50" s="134">
        <v>72216</v>
      </c>
      <c r="M50" s="134">
        <v>-73644</v>
      </c>
      <c r="N50" s="134">
        <v>806</v>
      </c>
      <c r="O50" s="134">
        <v>-104079</v>
      </c>
      <c r="P50" s="134">
        <v>-261000</v>
      </c>
      <c r="Q50" s="134">
        <v>-370042</v>
      </c>
      <c r="R50" s="134">
        <v>-229613</v>
      </c>
      <c r="S50" s="159"/>
      <c r="U50" s="132"/>
    </row>
    <row r="51" spans="1:21" ht="15" thickBot="1" x14ac:dyDescent="0.25">
      <c r="A51" s="144"/>
      <c r="B51" s="144"/>
      <c r="C51" s="144"/>
      <c r="D51" s="144"/>
      <c r="E51" s="144"/>
    </row>
    <row r="52" spans="1:21" s="145" customFormat="1" ht="13.5" thickTop="1" x14ac:dyDescent="0.2">
      <c r="A52" s="154" t="s">
        <v>48</v>
      </c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S52" s="159"/>
    </row>
    <row r="53" spans="1:21" s="145" customFormat="1" ht="57.75" customHeight="1" x14ac:dyDescent="0.2">
      <c r="A53" s="154"/>
      <c r="B53" s="172" t="s">
        <v>181</v>
      </c>
      <c r="C53" s="172"/>
      <c r="D53" s="172"/>
      <c r="E53" s="172"/>
      <c r="F53" s="172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S53" s="159"/>
    </row>
    <row r="54" spans="1:21" s="145" customFormat="1" ht="14.25" customHeight="1" x14ac:dyDescent="0.2">
      <c r="A54" s="156" t="s">
        <v>178</v>
      </c>
      <c r="B54" s="165" t="s">
        <v>182</v>
      </c>
      <c r="C54" s="16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S54" s="159"/>
    </row>
    <row r="55" spans="1:21" s="145" customFormat="1" ht="14.25" customHeight="1" x14ac:dyDescent="0.2">
      <c r="A55" s="157" t="s">
        <v>85</v>
      </c>
      <c r="B55" s="158" t="s">
        <v>183</v>
      </c>
      <c r="C55" s="158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S55" s="159"/>
    </row>
    <row r="56" spans="1:21" s="145" customFormat="1" ht="14.25" customHeight="1" x14ac:dyDescent="0.2">
      <c r="A56" s="157" t="s">
        <v>184</v>
      </c>
      <c r="B56" s="158" t="s">
        <v>185</v>
      </c>
      <c r="C56" s="158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S56" s="159"/>
    </row>
    <row r="57" spans="1:21" s="145" customFormat="1" ht="18.75" customHeight="1" x14ac:dyDescent="0.2">
      <c r="A57" s="157" t="s">
        <v>186</v>
      </c>
      <c r="B57" s="166" t="s">
        <v>187</v>
      </c>
      <c r="C57" s="167"/>
      <c r="D57" s="167"/>
      <c r="E57" s="168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S57" s="159"/>
    </row>
    <row r="58" spans="1:21" s="145" customFormat="1" ht="18.75" customHeight="1" x14ac:dyDescent="0.2">
      <c r="A58" s="157"/>
      <c r="B58" s="166"/>
      <c r="C58" s="167"/>
      <c r="D58" s="167"/>
      <c r="E58" s="168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S58" s="159"/>
    </row>
    <row r="59" spans="1:21" s="145" customFormat="1" ht="15.75" customHeight="1" x14ac:dyDescent="0.2">
      <c r="A59" s="169" t="s">
        <v>188</v>
      </c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S59" s="159"/>
    </row>
    <row r="60" spans="1:21" s="145" customFormat="1" ht="12.75" x14ac:dyDescent="0.2">
      <c r="A60" s="154" t="s">
        <v>52</v>
      </c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S60" s="159"/>
    </row>
    <row r="61" spans="1:21" x14ac:dyDescent="0.2">
      <c r="A61" s="137"/>
    </row>
    <row r="62" spans="1:21" ht="21" customHeight="1" x14ac:dyDescent="0.2">
      <c r="A62" s="153"/>
    </row>
    <row r="68" spans="6:10" x14ac:dyDescent="0.2">
      <c r="F68" s="137"/>
      <c r="G68" s="137"/>
      <c r="H68" s="137"/>
      <c r="I68" s="137"/>
      <c r="J68" s="137"/>
    </row>
  </sheetData>
  <mergeCells count="2">
    <mergeCell ref="A7:E7"/>
    <mergeCell ref="B53:F53"/>
  </mergeCells>
  <pageMargins left="0" right="0" top="0.74803149606299213" bottom="0.74803149606299213" header="0.31496062992125984" footer="0.31496062992125984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B666-157F-4C65-93A3-661C0A5306D4}">
  <sheetPr>
    <pageSetUpPr fitToPage="1"/>
  </sheetPr>
  <dimension ref="A1:U61"/>
  <sheetViews>
    <sheetView zoomScaleNormal="100" zoomScaleSheetLayoutView="12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E4" sqref="E4"/>
    </sheetView>
  </sheetViews>
  <sheetFormatPr defaultRowHeight="15" x14ac:dyDescent="0.25"/>
  <cols>
    <col min="1" max="1" width="2.28515625" style="132" customWidth="1"/>
    <col min="2" max="2" width="1.5703125" style="132" customWidth="1"/>
    <col min="3" max="3" width="1.85546875" style="132" customWidth="1"/>
    <col min="4" max="4" width="2.140625" style="132" customWidth="1"/>
    <col min="5" max="5" width="33" style="132" customWidth="1"/>
    <col min="6" max="6" width="11.28515625" style="132" customWidth="1"/>
    <col min="7" max="7" width="10.85546875" style="132" customWidth="1"/>
    <col min="8" max="9" width="11.28515625" style="132" customWidth="1"/>
    <col min="10" max="10" width="10.140625" style="132" bestFit="1" customWidth="1"/>
    <col min="11" max="17" width="10.140625" style="132" customWidth="1"/>
    <col min="18" max="18" width="11.85546875" style="132" bestFit="1" customWidth="1"/>
    <col min="19" max="19" width="11.85546875" style="133" customWidth="1"/>
    <col min="20" max="16384" width="9.140625" style="132"/>
  </cols>
  <sheetData>
    <row r="1" spans="1:19" ht="6" customHeight="1" x14ac:dyDescent="0.25"/>
    <row r="2" spans="1:19" x14ac:dyDescent="0.25">
      <c r="A2" s="134" t="s">
        <v>0</v>
      </c>
      <c r="B2" s="134"/>
      <c r="C2" s="134"/>
      <c r="D2" s="134"/>
      <c r="E2" s="134"/>
    </row>
    <row r="3" spans="1:19" x14ac:dyDescent="0.25">
      <c r="A3" s="134" t="s">
        <v>1</v>
      </c>
      <c r="B3" s="134"/>
      <c r="C3" s="134"/>
      <c r="D3" s="134"/>
      <c r="E3" s="134"/>
    </row>
    <row r="4" spans="1:19" x14ac:dyDescent="0.25">
      <c r="A4" s="132" t="s">
        <v>2</v>
      </c>
    </row>
    <row r="5" spans="1:19" x14ac:dyDescent="0.25">
      <c r="A5" s="135"/>
    </row>
    <row r="6" spans="1:19" ht="6" customHeight="1" x14ac:dyDescent="0.25"/>
    <row r="7" spans="1:19" s="137" customFormat="1" ht="25.5" customHeight="1" thickBot="1" x14ac:dyDescent="0.3">
      <c r="A7" s="171" t="s">
        <v>3</v>
      </c>
      <c r="B7" s="171"/>
      <c r="C7" s="171"/>
      <c r="D7" s="171"/>
      <c r="E7" s="171"/>
      <c r="F7" s="136" t="s">
        <v>4</v>
      </c>
      <c r="G7" s="136" t="s">
        <v>5</v>
      </c>
      <c r="H7" s="136" t="s">
        <v>6</v>
      </c>
      <c r="I7" s="136" t="s">
        <v>7</v>
      </c>
      <c r="J7" s="136" t="s">
        <v>8</v>
      </c>
      <c r="K7" s="136" t="s">
        <v>9</v>
      </c>
      <c r="L7" s="136" t="s">
        <v>10</v>
      </c>
      <c r="M7" s="136" t="s">
        <v>11</v>
      </c>
      <c r="N7" s="136" t="s">
        <v>12</v>
      </c>
      <c r="O7" s="136" t="s">
        <v>13</v>
      </c>
      <c r="P7" s="136" t="s">
        <v>56</v>
      </c>
      <c r="Q7" s="136" t="s">
        <v>57</v>
      </c>
      <c r="R7" s="136" t="s">
        <v>14</v>
      </c>
      <c r="S7" s="133"/>
    </row>
    <row r="8" spans="1:19" ht="6.75" customHeight="1" thickTop="1" x14ac:dyDescent="0.25"/>
    <row r="9" spans="1:19" x14ac:dyDescent="0.25">
      <c r="B9" s="134" t="s">
        <v>15</v>
      </c>
      <c r="C9" s="134"/>
      <c r="D9" s="134"/>
      <c r="E9" s="134"/>
      <c r="F9" s="138">
        <v>348167.25</v>
      </c>
      <c r="G9" s="138">
        <v>211868</v>
      </c>
      <c r="H9" s="138">
        <v>258650</v>
      </c>
      <c r="I9" s="138">
        <v>440696.81</v>
      </c>
      <c r="J9" s="138">
        <v>333437</v>
      </c>
      <c r="K9" s="138">
        <v>267315</v>
      </c>
      <c r="L9" s="138">
        <v>411729</v>
      </c>
      <c r="M9" s="138">
        <v>310553</v>
      </c>
      <c r="N9" s="138">
        <v>255408</v>
      </c>
      <c r="O9" s="138">
        <v>385808</v>
      </c>
      <c r="P9" s="138">
        <v>340395</v>
      </c>
      <c r="Q9" s="138">
        <v>260078</v>
      </c>
      <c r="R9" s="138">
        <v>3824105.06</v>
      </c>
    </row>
    <row r="10" spans="1:19" x14ac:dyDescent="0.25">
      <c r="C10" s="132" t="s">
        <v>16</v>
      </c>
      <c r="F10" s="138">
        <v>308042</v>
      </c>
      <c r="G10" s="138">
        <v>194642</v>
      </c>
      <c r="H10" s="138">
        <v>224386</v>
      </c>
      <c r="I10" s="138">
        <v>405411</v>
      </c>
      <c r="J10" s="138">
        <v>294048</v>
      </c>
      <c r="K10" s="138">
        <v>241172</v>
      </c>
      <c r="L10" s="138">
        <v>348881</v>
      </c>
      <c r="M10" s="138">
        <v>291726</v>
      </c>
      <c r="N10" s="138">
        <v>233532</v>
      </c>
      <c r="O10" s="138">
        <v>354763</v>
      </c>
      <c r="P10" s="138">
        <v>286063</v>
      </c>
      <c r="Q10" s="138">
        <v>246626</v>
      </c>
      <c r="R10" s="138">
        <v>3429292</v>
      </c>
    </row>
    <row r="11" spans="1:19" x14ac:dyDescent="0.25">
      <c r="D11" s="132" t="s">
        <v>17</v>
      </c>
      <c r="F11" s="132">
        <v>234819</v>
      </c>
      <c r="G11" s="132">
        <v>129378</v>
      </c>
      <c r="H11" s="132">
        <v>140962</v>
      </c>
      <c r="I11" s="132">
        <v>336020</v>
      </c>
      <c r="J11" s="132">
        <v>213273</v>
      </c>
      <c r="K11" s="132">
        <v>164736</v>
      </c>
      <c r="L11" s="132">
        <v>273134</v>
      </c>
      <c r="M11" s="132">
        <v>213536</v>
      </c>
      <c r="N11" s="132">
        <v>152171</v>
      </c>
      <c r="O11" s="132">
        <v>274429</v>
      </c>
      <c r="P11" s="132">
        <v>210242</v>
      </c>
      <c r="Q11" s="132">
        <v>174286</v>
      </c>
      <c r="R11" s="132">
        <v>2516986</v>
      </c>
    </row>
    <row r="12" spans="1:19" x14ac:dyDescent="0.25">
      <c r="E12" s="137" t="s">
        <v>18</v>
      </c>
    </row>
    <row r="13" spans="1:19" x14ac:dyDescent="0.25">
      <c r="E13" s="132" t="s">
        <v>19</v>
      </c>
      <c r="F13" s="139">
        <v>0</v>
      </c>
      <c r="G13" s="132">
        <v>646</v>
      </c>
      <c r="H13" s="132">
        <v>2704</v>
      </c>
      <c r="I13" s="132">
        <v>3131</v>
      </c>
      <c r="J13" s="132">
        <v>1485</v>
      </c>
      <c r="K13" s="132">
        <v>1033</v>
      </c>
      <c r="L13" s="132">
        <v>1182</v>
      </c>
      <c r="M13" s="132">
        <v>1338</v>
      </c>
      <c r="N13" s="132">
        <v>2447</v>
      </c>
      <c r="O13" s="132">
        <v>13</v>
      </c>
      <c r="P13" s="132">
        <v>871</v>
      </c>
      <c r="Q13" s="132">
        <v>2423</v>
      </c>
      <c r="R13" s="132">
        <v>17273</v>
      </c>
    </row>
    <row r="14" spans="1:19" x14ac:dyDescent="0.25">
      <c r="E14" s="132" t="s">
        <v>20</v>
      </c>
      <c r="F14" s="132">
        <v>723</v>
      </c>
      <c r="G14" s="132">
        <v>5</v>
      </c>
      <c r="H14" s="132">
        <v>40</v>
      </c>
      <c r="I14" s="132">
        <v>42</v>
      </c>
      <c r="J14" s="132">
        <v>34</v>
      </c>
      <c r="K14" s="132">
        <v>2463</v>
      </c>
      <c r="L14" s="132">
        <v>76</v>
      </c>
      <c r="M14" s="132">
        <v>150</v>
      </c>
      <c r="N14" s="132">
        <v>571</v>
      </c>
      <c r="O14" s="132">
        <v>537</v>
      </c>
      <c r="P14" s="132">
        <v>2592</v>
      </c>
      <c r="Q14" s="132">
        <v>158</v>
      </c>
      <c r="R14" s="132">
        <v>7391</v>
      </c>
    </row>
    <row r="15" spans="1:19" ht="6" customHeight="1" x14ac:dyDescent="0.25"/>
    <row r="16" spans="1:19" x14ac:dyDescent="0.25">
      <c r="D16" s="132" t="s">
        <v>21</v>
      </c>
      <c r="F16" s="140">
        <v>70591</v>
      </c>
      <c r="G16" s="132">
        <v>62895</v>
      </c>
      <c r="H16" s="132">
        <v>80343</v>
      </c>
      <c r="I16" s="132">
        <v>67553</v>
      </c>
      <c r="J16" s="132">
        <v>77926</v>
      </c>
      <c r="K16" s="132">
        <v>74125</v>
      </c>
      <c r="L16" s="132">
        <v>73058</v>
      </c>
      <c r="M16" s="132">
        <v>75000</v>
      </c>
      <c r="N16" s="132">
        <v>78897</v>
      </c>
      <c r="O16" s="132">
        <v>77926</v>
      </c>
      <c r="P16" s="132">
        <v>73687</v>
      </c>
      <c r="Q16" s="132">
        <v>71213</v>
      </c>
      <c r="R16" s="132">
        <v>883214</v>
      </c>
    </row>
    <row r="17" spans="2:18" x14ac:dyDescent="0.25">
      <c r="E17" s="137" t="s">
        <v>18</v>
      </c>
    </row>
    <row r="18" spans="2:18" x14ac:dyDescent="0.25">
      <c r="E18" s="132" t="s">
        <v>20</v>
      </c>
      <c r="F18" s="139">
        <v>0</v>
      </c>
      <c r="G18" s="132">
        <v>132</v>
      </c>
      <c r="H18" s="132">
        <v>46</v>
      </c>
      <c r="I18" s="132">
        <v>0</v>
      </c>
      <c r="J18" s="132">
        <v>317</v>
      </c>
      <c r="K18" s="132">
        <v>325</v>
      </c>
      <c r="L18" s="132">
        <v>256</v>
      </c>
      <c r="M18" s="132">
        <v>638</v>
      </c>
      <c r="N18" s="132">
        <v>537</v>
      </c>
      <c r="O18" s="132">
        <v>1782</v>
      </c>
      <c r="P18" s="132">
        <v>1506</v>
      </c>
      <c r="Q18" s="132">
        <v>1495</v>
      </c>
      <c r="R18" s="132">
        <v>7034</v>
      </c>
    </row>
    <row r="19" spans="2:18" x14ac:dyDescent="0.25">
      <c r="D19" s="132" t="s">
        <v>22</v>
      </c>
      <c r="F19" s="140">
        <v>2632</v>
      </c>
      <c r="G19" s="132">
        <v>2369</v>
      </c>
      <c r="H19" s="132">
        <v>3081</v>
      </c>
      <c r="I19" s="132">
        <v>1838</v>
      </c>
      <c r="J19" s="132">
        <v>2849</v>
      </c>
      <c r="K19" s="132">
        <v>2311</v>
      </c>
      <c r="L19" s="132">
        <v>2689</v>
      </c>
      <c r="M19" s="132">
        <v>3190</v>
      </c>
      <c r="N19" s="132">
        <v>2464</v>
      </c>
      <c r="O19" s="132">
        <v>2408</v>
      </c>
      <c r="P19" s="132">
        <v>2134</v>
      </c>
      <c r="Q19" s="132">
        <v>1127</v>
      </c>
      <c r="R19" s="132">
        <v>29092</v>
      </c>
    </row>
    <row r="21" spans="2:18" x14ac:dyDescent="0.25">
      <c r="C21" s="132" t="s">
        <v>23</v>
      </c>
      <c r="F21" s="138">
        <v>40115</v>
      </c>
      <c r="G21" s="138">
        <v>17226</v>
      </c>
      <c r="H21" s="138">
        <v>34264</v>
      </c>
      <c r="I21" s="138">
        <v>35264.81</v>
      </c>
      <c r="J21" s="138">
        <v>39373</v>
      </c>
      <c r="K21" s="138">
        <v>25985</v>
      </c>
      <c r="L21" s="138">
        <v>62769</v>
      </c>
      <c r="M21" s="138">
        <v>18793</v>
      </c>
      <c r="N21" s="138">
        <v>21633</v>
      </c>
      <c r="O21" s="138">
        <v>31045</v>
      </c>
      <c r="P21" s="138">
        <v>54331</v>
      </c>
      <c r="Q21" s="138">
        <v>13365</v>
      </c>
      <c r="R21" s="138">
        <v>394163.81</v>
      </c>
    </row>
    <row r="22" spans="2:18" x14ac:dyDescent="0.25">
      <c r="D22" s="132" t="s">
        <v>24</v>
      </c>
      <c r="F22" s="132">
        <v>17753</v>
      </c>
      <c r="G22" s="132">
        <v>6398</v>
      </c>
      <c r="H22" s="132">
        <v>14873</v>
      </c>
      <c r="I22" s="132">
        <v>18271</v>
      </c>
      <c r="J22" s="132">
        <v>24942</v>
      </c>
      <c r="K22" s="132">
        <v>10753</v>
      </c>
      <c r="L22" s="132">
        <v>50829</v>
      </c>
      <c r="M22" s="132">
        <v>6271</v>
      </c>
      <c r="N22" s="132">
        <v>7946</v>
      </c>
      <c r="O22" s="132">
        <v>16785</v>
      </c>
      <c r="P22" s="132">
        <v>41497</v>
      </c>
      <c r="Q22" s="132">
        <v>11320</v>
      </c>
      <c r="R22" s="132">
        <v>227638</v>
      </c>
    </row>
    <row r="23" spans="2:18" x14ac:dyDescent="0.25">
      <c r="D23" s="132" t="s">
        <v>25</v>
      </c>
      <c r="F23" s="140">
        <v>5395</v>
      </c>
      <c r="G23" s="140">
        <v>3882</v>
      </c>
      <c r="H23" s="140">
        <v>4735</v>
      </c>
      <c r="I23" s="140">
        <v>3844</v>
      </c>
      <c r="J23" s="140">
        <v>4982</v>
      </c>
      <c r="K23" s="140">
        <v>5162</v>
      </c>
      <c r="L23" s="140">
        <v>5645</v>
      </c>
      <c r="M23" s="140">
        <v>6533</v>
      </c>
      <c r="N23" s="140">
        <v>8786</v>
      </c>
      <c r="O23" s="140">
        <v>6542</v>
      </c>
      <c r="P23" s="140">
        <v>6689</v>
      </c>
      <c r="Q23" s="140">
        <v>6332</v>
      </c>
      <c r="R23" s="132">
        <v>68527</v>
      </c>
    </row>
    <row r="24" spans="2:18" x14ac:dyDescent="0.25">
      <c r="D24" s="132" t="s">
        <v>26</v>
      </c>
      <c r="F24" s="132">
        <v>0</v>
      </c>
      <c r="G24" s="132">
        <v>22</v>
      </c>
      <c r="H24" s="132">
        <v>6</v>
      </c>
      <c r="I24" s="132">
        <v>8.81</v>
      </c>
      <c r="J24" s="132">
        <v>12</v>
      </c>
      <c r="K24" s="132">
        <v>3</v>
      </c>
      <c r="L24" s="132">
        <v>11</v>
      </c>
      <c r="M24" s="132">
        <v>22</v>
      </c>
      <c r="N24" s="132">
        <v>459</v>
      </c>
      <c r="O24" s="132">
        <v>146</v>
      </c>
      <c r="P24" s="132">
        <v>24</v>
      </c>
      <c r="Q24" s="132">
        <v>151</v>
      </c>
      <c r="R24" s="132">
        <v>864.81</v>
      </c>
    </row>
    <row r="25" spans="2:18" x14ac:dyDescent="0.25">
      <c r="D25" s="132" t="s">
        <v>27</v>
      </c>
      <c r="F25" s="140">
        <v>2514</v>
      </c>
      <c r="G25" s="132">
        <v>2077</v>
      </c>
      <c r="H25" s="132">
        <v>1653</v>
      </c>
      <c r="I25" s="132">
        <v>370</v>
      </c>
      <c r="J25" s="132">
        <v>1182</v>
      </c>
      <c r="K25" s="132">
        <v>1316</v>
      </c>
      <c r="L25" s="132">
        <v>1932</v>
      </c>
      <c r="M25" s="132">
        <v>2125</v>
      </c>
      <c r="N25" s="132">
        <v>1375</v>
      </c>
      <c r="O25" s="132">
        <v>1735</v>
      </c>
      <c r="P25" s="132">
        <v>1322</v>
      </c>
      <c r="Q25" s="132">
        <v>173</v>
      </c>
      <c r="R25" s="132">
        <v>17774</v>
      </c>
    </row>
    <row r="26" spans="2:18" x14ac:dyDescent="0.25">
      <c r="D26" s="132" t="s">
        <v>28</v>
      </c>
      <c r="F26" s="132">
        <v>14453</v>
      </c>
      <c r="G26" s="132">
        <v>4847</v>
      </c>
      <c r="H26" s="132">
        <v>12997</v>
      </c>
      <c r="I26" s="132">
        <v>12771</v>
      </c>
      <c r="J26" s="132">
        <v>8255</v>
      </c>
      <c r="K26" s="132">
        <v>8751</v>
      </c>
      <c r="L26" s="132">
        <v>4352</v>
      </c>
      <c r="M26" s="132">
        <v>3842</v>
      </c>
      <c r="N26" s="132">
        <v>3067</v>
      </c>
      <c r="O26" s="132">
        <v>5837</v>
      </c>
      <c r="P26" s="132">
        <v>4799</v>
      </c>
      <c r="Q26" s="132">
        <v>-4611</v>
      </c>
      <c r="R26" s="132">
        <v>79360</v>
      </c>
    </row>
    <row r="28" spans="2:18" x14ac:dyDescent="0.25">
      <c r="C28" s="132" t="s">
        <v>29</v>
      </c>
      <c r="F28" s="132">
        <v>10.25</v>
      </c>
      <c r="G28" s="132">
        <v>0</v>
      </c>
      <c r="H28" s="132">
        <v>0</v>
      </c>
      <c r="I28" s="132">
        <v>21</v>
      </c>
      <c r="J28" s="132">
        <v>16</v>
      </c>
      <c r="K28" s="132">
        <v>158</v>
      </c>
      <c r="L28" s="132">
        <v>79</v>
      </c>
      <c r="M28" s="132">
        <v>34</v>
      </c>
      <c r="N28" s="132">
        <v>243</v>
      </c>
      <c r="O28" s="132">
        <v>0</v>
      </c>
      <c r="P28" s="132">
        <v>1</v>
      </c>
      <c r="Q28" s="132">
        <v>87</v>
      </c>
      <c r="R28" s="132">
        <v>649.25</v>
      </c>
    </row>
    <row r="30" spans="2:18" x14ac:dyDescent="0.25">
      <c r="B30" s="134" t="s">
        <v>30</v>
      </c>
      <c r="C30" s="134"/>
      <c r="D30" s="134"/>
      <c r="E30" s="134"/>
      <c r="F30" s="138">
        <v>302418</v>
      </c>
      <c r="G30" s="138">
        <v>318241</v>
      </c>
      <c r="H30" s="138">
        <v>468911</v>
      </c>
      <c r="I30" s="138">
        <v>373899</v>
      </c>
      <c r="J30" s="138">
        <v>455668</v>
      </c>
      <c r="K30" s="138">
        <v>492713</v>
      </c>
      <c r="L30" s="138">
        <v>459543</v>
      </c>
      <c r="M30" s="138">
        <v>443556</v>
      </c>
      <c r="N30" s="138">
        <v>506349</v>
      </c>
      <c r="O30" s="138">
        <v>420210</v>
      </c>
      <c r="P30" s="138">
        <v>433649</v>
      </c>
      <c r="Q30" s="138">
        <v>661034</v>
      </c>
      <c r="R30" s="138">
        <v>5336191</v>
      </c>
    </row>
    <row r="31" spans="2:18" x14ac:dyDescent="0.25">
      <c r="D31" s="132" t="s">
        <v>31</v>
      </c>
      <c r="F31" s="132">
        <v>73754</v>
      </c>
      <c r="G31" s="132">
        <v>73834</v>
      </c>
      <c r="H31" s="132">
        <v>83271</v>
      </c>
      <c r="I31" s="132">
        <v>74110</v>
      </c>
      <c r="J31" s="132">
        <v>74940</v>
      </c>
      <c r="K31" s="132">
        <v>81485</v>
      </c>
      <c r="L31" s="132">
        <v>76795</v>
      </c>
      <c r="M31" s="132">
        <v>75469</v>
      </c>
      <c r="N31" s="132">
        <v>80922</v>
      </c>
      <c r="O31" s="132">
        <v>75358</v>
      </c>
      <c r="P31" s="132">
        <v>80236</v>
      </c>
      <c r="Q31" s="132">
        <v>75878</v>
      </c>
      <c r="R31" s="132">
        <v>926052</v>
      </c>
    </row>
    <row r="32" spans="2:18" x14ac:dyDescent="0.25">
      <c r="D32" s="132" t="s">
        <v>32</v>
      </c>
      <c r="F32" s="132">
        <v>46970</v>
      </c>
      <c r="G32" s="132">
        <v>34109</v>
      </c>
      <c r="H32" s="132">
        <v>60898</v>
      </c>
      <c r="I32" s="132">
        <v>46253</v>
      </c>
      <c r="J32" s="132">
        <v>41344</v>
      </c>
      <c r="K32" s="132">
        <v>52884</v>
      </c>
      <c r="L32" s="132">
        <v>63550</v>
      </c>
      <c r="M32" s="132">
        <v>42668</v>
      </c>
      <c r="N32" s="132">
        <v>71448</v>
      </c>
      <c r="O32" s="132">
        <v>58983</v>
      </c>
      <c r="P32" s="132">
        <v>48548</v>
      </c>
      <c r="Q32" s="132">
        <v>60678</v>
      </c>
      <c r="R32" s="132">
        <v>628333</v>
      </c>
    </row>
    <row r="33" spans="2:18" x14ac:dyDescent="0.25">
      <c r="D33" s="132" t="s">
        <v>33</v>
      </c>
      <c r="F33" s="132">
        <v>723</v>
      </c>
      <c r="G33" s="132">
        <v>783</v>
      </c>
      <c r="H33" s="132">
        <v>2790</v>
      </c>
      <c r="I33" s="132">
        <v>3173</v>
      </c>
      <c r="J33" s="132">
        <v>1836</v>
      </c>
      <c r="K33" s="132">
        <v>3821</v>
      </c>
      <c r="L33" s="132">
        <v>1514</v>
      </c>
      <c r="M33" s="132">
        <v>2126</v>
      </c>
      <c r="N33" s="132">
        <v>3555</v>
      </c>
      <c r="O33" s="132">
        <v>2332</v>
      </c>
      <c r="P33" s="132">
        <v>4969</v>
      </c>
      <c r="Q33" s="132">
        <v>4076</v>
      </c>
      <c r="R33" s="132">
        <v>31698</v>
      </c>
    </row>
    <row r="34" spans="2:18" ht="17.25" customHeight="1" x14ac:dyDescent="0.25">
      <c r="D34" s="132" t="s">
        <v>171</v>
      </c>
      <c r="F34" s="132">
        <v>1112</v>
      </c>
      <c r="G34" s="132">
        <v>9401</v>
      </c>
      <c r="H34" s="132">
        <v>10795</v>
      </c>
      <c r="I34" s="132">
        <v>8957</v>
      </c>
      <c r="J34" s="132">
        <v>7376</v>
      </c>
      <c r="K34" s="132">
        <v>26055</v>
      </c>
      <c r="L34" s="132">
        <v>33238</v>
      </c>
      <c r="M34" s="132">
        <v>18929</v>
      </c>
      <c r="N34" s="132">
        <v>21264</v>
      </c>
      <c r="O34" s="132">
        <v>9189</v>
      </c>
      <c r="P34" s="132">
        <v>6734</v>
      </c>
      <c r="Q34" s="132">
        <v>10485</v>
      </c>
      <c r="R34" s="132">
        <v>163535</v>
      </c>
    </row>
    <row r="35" spans="2:18" x14ac:dyDescent="0.25">
      <c r="D35" s="132" t="s">
        <v>35</v>
      </c>
      <c r="F35" s="132">
        <v>0</v>
      </c>
      <c r="G35" s="132">
        <v>11</v>
      </c>
      <c r="H35" s="132">
        <v>106</v>
      </c>
      <c r="I35" s="132">
        <v>12</v>
      </c>
      <c r="J35" s="132">
        <v>38</v>
      </c>
      <c r="K35" s="132">
        <v>12</v>
      </c>
      <c r="L35" s="132">
        <v>12</v>
      </c>
      <c r="M35" s="132">
        <v>3</v>
      </c>
      <c r="N35" s="132">
        <v>85</v>
      </c>
      <c r="O35" s="132">
        <v>97</v>
      </c>
      <c r="P35" s="132">
        <v>33</v>
      </c>
      <c r="Q35" s="132">
        <v>100</v>
      </c>
      <c r="R35" s="132">
        <v>509</v>
      </c>
    </row>
    <row r="36" spans="2:18" x14ac:dyDescent="0.25">
      <c r="D36" s="132" t="s">
        <v>36</v>
      </c>
      <c r="F36" s="132">
        <v>0</v>
      </c>
      <c r="G36" s="132">
        <v>12</v>
      </c>
      <c r="H36" s="132">
        <v>628</v>
      </c>
      <c r="I36" s="132">
        <v>5068</v>
      </c>
      <c r="J36" s="132">
        <v>45</v>
      </c>
      <c r="K36" s="132">
        <v>6440</v>
      </c>
      <c r="L36" s="132">
        <v>4246</v>
      </c>
      <c r="M36" s="132">
        <v>-1000</v>
      </c>
      <c r="N36" s="132">
        <v>2212</v>
      </c>
      <c r="O36" s="132">
        <v>1994</v>
      </c>
      <c r="P36" s="132">
        <v>4005</v>
      </c>
      <c r="Q36" s="132">
        <v>3159</v>
      </c>
      <c r="R36" s="132">
        <v>26809</v>
      </c>
    </row>
    <row r="37" spans="2:18" ht="17.25" x14ac:dyDescent="0.25">
      <c r="D37" s="132" t="s">
        <v>172</v>
      </c>
      <c r="F37" s="132">
        <v>179859</v>
      </c>
      <c r="G37" s="132">
        <v>200091</v>
      </c>
      <c r="H37" s="132">
        <v>310423</v>
      </c>
      <c r="I37" s="132">
        <v>236326</v>
      </c>
      <c r="J37" s="132">
        <v>330089</v>
      </c>
      <c r="K37" s="132">
        <v>322016</v>
      </c>
      <c r="L37" s="132">
        <v>280188</v>
      </c>
      <c r="M37" s="132">
        <v>305361</v>
      </c>
      <c r="N37" s="132">
        <v>326863</v>
      </c>
      <c r="O37" s="132">
        <v>272257</v>
      </c>
      <c r="P37" s="132">
        <v>289124</v>
      </c>
      <c r="Q37" s="132">
        <v>506658</v>
      </c>
      <c r="R37" s="132">
        <v>3559255</v>
      </c>
    </row>
    <row r="39" spans="2:18" x14ac:dyDescent="0.25">
      <c r="B39" s="134" t="s">
        <v>38</v>
      </c>
      <c r="C39" s="134"/>
      <c r="D39" s="134"/>
      <c r="E39" s="134"/>
      <c r="F39" s="134">
        <v>45749.25</v>
      </c>
      <c r="G39" s="134">
        <v>-106373</v>
      </c>
      <c r="H39" s="134">
        <v>-210261</v>
      </c>
      <c r="I39" s="134">
        <v>66797.81</v>
      </c>
      <c r="J39" s="134">
        <v>-122231</v>
      </c>
      <c r="K39" s="134">
        <v>-225398</v>
      </c>
      <c r="L39" s="134">
        <v>-47814</v>
      </c>
      <c r="M39" s="134">
        <v>-133003</v>
      </c>
      <c r="N39" s="134">
        <v>-250941</v>
      </c>
      <c r="O39" s="134">
        <v>-34402</v>
      </c>
      <c r="P39" s="134">
        <v>-93254</v>
      </c>
      <c r="Q39" s="134">
        <v>-400956</v>
      </c>
      <c r="R39" s="134">
        <v>-1512085.94</v>
      </c>
    </row>
    <row r="41" spans="2:18" x14ac:dyDescent="0.25">
      <c r="B41" s="134" t="s">
        <v>39</v>
      </c>
      <c r="C41" s="134"/>
      <c r="D41" s="134"/>
      <c r="E41" s="134"/>
      <c r="F41" s="138">
        <v>366005</v>
      </c>
      <c r="G41" s="138">
        <v>305339</v>
      </c>
      <c r="H41" s="138">
        <v>229432</v>
      </c>
      <c r="I41" s="138">
        <v>125230</v>
      </c>
      <c r="J41" s="138">
        <v>141671</v>
      </c>
      <c r="K41" s="138">
        <v>158951</v>
      </c>
      <c r="L41" s="138">
        <v>131129</v>
      </c>
      <c r="M41" s="138">
        <v>119120</v>
      </c>
      <c r="N41" s="138">
        <v>84578</v>
      </c>
      <c r="O41" s="138">
        <v>208153</v>
      </c>
      <c r="P41" s="138">
        <v>117336</v>
      </c>
      <c r="Q41" s="138">
        <v>83908</v>
      </c>
      <c r="R41" s="138">
        <v>2070852</v>
      </c>
    </row>
    <row r="42" spans="2:18" x14ac:dyDescent="0.25">
      <c r="C42" s="132" t="s">
        <v>40</v>
      </c>
      <c r="F42" s="141">
        <v>186705</v>
      </c>
      <c r="G42" s="141">
        <v>-22160</v>
      </c>
      <c r="H42" s="141">
        <v>83645</v>
      </c>
      <c r="I42" s="141">
        <v>29228</v>
      </c>
      <c r="J42" s="141">
        <v>9944</v>
      </c>
      <c r="K42" s="141">
        <v>15031</v>
      </c>
      <c r="L42" s="141">
        <v>20710</v>
      </c>
      <c r="M42" s="141">
        <v>1941</v>
      </c>
      <c r="N42" s="141">
        <v>-7489</v>
      </c>
      <c r="O42" s="141">
        <v>33735</v>
      </c>
      <c r="P42" s="141">
        <v>-3588</v>
      </c>
      <c r="Q42" s="141">
        <v>90220</v>
      </c>
      <c r="R42" s="141">
        <v>437922</v>
      </c>
    </row>
    <row r="43" spans="2:18" x14ac:dyDescent="0.25">
      <c r="D43" s="132" t="s">
        <v>41</v>
      </c>
      <c r="F43" s="132">
        <v>187563</v>
      </c>
      <c r="G43" s="132">
        <v>15984</v>
      </c>
      <c r="H43" s="132">
        <v>91557</v>
      </c>
      <c r="I43" s="132">
        <v>33779</v>
      </c>
      <c r="J43" s="132">
        <v>14991</v>
      </c>
      <c r="K43" s="132">
        <v>22567</v>
      </c>
      <c r="L43" s="132">
        <v>21439</v>
      </c>
      <c r="M43" s="132">
        <v>6682</v>
      </c>
      <c r="N43" s="132">
        <v>11179</v>
      </c>
      <c r="O43" s="132">
        <v>50570</v>
      </c>
      <c r="P43" s="132">
        <v>4442</v>
      </c>
      <c r="Q43" s="132">
        <v>98282</v>
      </c>
      <c r="R43" s="132">
        <v>559035</v>
      </c>
    </row>
    <row r="44" spans="2:18" x14ac:dyDescent="0.25">
      <c r="D44" s="132" t="s">
        <v>42</v>
      </c>
      <c r="F44" s="132">
        <v>858</v>
      </c>
      <c r="G44" s="132">
        <v>38144</v>
      </c>
      <c r="H44" s="132">
        <v>7912</v>
      </c>
      <c r="I44" s="132">
        <v>4551</v>
      </c>
      <c r="J44" s="132">
        <v>5047</v>
      </c>
      <c r="K44" s="132">
        <v>7536</v>
      </c>
      <c r="L44" s="132">
        <v>729</v>
      </c>
      <c r="M44" s="132">
        <v>4741</v>
      </c>
      <c r="N44" s="132">
        <v>18668</v>
      </c>
      <c r="O44" s="132">
        <v>16835</v>
      </c>
      <c r="P44" s="132">
        <v>8030</v>
      </c>
      <c r="Q44" s="132">
        <v>8062</v>
      </c>
      <c r="R44" s="132">
        <v>121113</v>
      </c>
    </row>
    <row r="46" spans="2:18" x14ac:dyDescent="0.25">
      <c r="C46" s="132" t="s">
        <v>43</v>
      </c>
      <c r="F46" s="138">
        <v>179300</v>
      </c>
      <c r="G46" s="138">
        <v>327499</v>
      </c>
      <c r="H46" s="138">
        <v>145787</v>
      </c>
      <c r="I46" s="138">
        <v>96002</v>
      </c>
      <c r="J46" s="138">
        <v>131727</v>
      </c>
      <c r="K46" s="138">
        <v>143920</v>
      </c>
      <c r="L46" s="138">
        <v>110419</v>
      </c>
      <c r="M46" s="138">
        <v>117179</v>
      </c>
      <c r="N46" s="138">
        <v>92067</v>
      </c>
      <c r="O46" s="138">
        <v>174418</v>
      </c>
      <c r="P46" s="138">
        <v>120924</v>
      </c>
      <c r="Q46" s="138">
        <v>-6312</v>
      </c>
      <c r="R46" s="138">
        <v>1632930</v>
      </c>
    </row>
    <row r="47" spans="2:18" x14ac:dyDescent="0.25">
      <c r="D47" s="132" t="s">
        <v>44</v>
      </c>
      <c r="F47" s="132">
        <v>179300</v>
      </c>
      <c r="G47" s="132">
        <v>327641</v>
      </c>
      <c r="H47" s="132">
        <v>146045</v>
      </c>
      <c r="I47" s="132">
        <v>96127</v>
      </c>
      <c r="J47" s="132">
        <v>131792</v>
      </c>
      <c r="K47" s="132">
        <v>143920</v>
      </c>
      <c r="L47" s="132">
        <v>110498</v>
      </c>
      <c r="M47" s="132">
        <v>117374</v>
      </c>
      <c r="N47" s="132">
        <v>92067</v>
      </c>
      <c r="O47" s="132">
        <v>174632</v>
      </c>
      <c r="P47" s="132">
        <v>121020</v>
      </c>
      <c r="Q47" s="132">
        <v>-6186</v>
      </c>
      <c r="R47" s="132">
        <v>1634230</v>
      </c>
    </row>
    <row r="48" spans="2:18" x14ac:dyDescent="0.25">
      <c r="D48" s="132" t="s">
        <v>45</v>
      </c>
      <c r="F48" s="142">
        <v>0</v>
      </c>
      <c r="G48" s="142">
        <v>142</v>
      </c>
      <c r="H48" s="142">
        <v>258</v>
      </c>
      <c r="I48" s="142">
        <v>125</v>
      </c>
      <c r="J48" s="142">
        <v>65</v>
      </c>
      <c r="K48" s="142">
        <v>0</v>
      </c>
      <c r="L48" s="142">
        <v>79</v>
      </c>
      <c r="M48" s="142">
        <v>195</v>
      </c>
      <c r="N48" s="142">
        <v>0</v>
      </c>
      <c r="O48" s="142">
        <v>214</v>
      </c>
      <c r="P48" s="142">
        <v>96</v>
      </c>
      <c r="Q48" s="142">
        <v>126</v>
      </c>
      <c r="R48" s="142">
        <v>1300</v>
      </c>
    </row>
    <row r="49" spans="1:21" x14ac:dyDescent="0.25">
      <c r="E49" s="132" t="s">
        <v>46</v>
      </c>
      <c r="F49" s="132">
        <v>3</v>
      </c>
      <c r="G49" s="132">
        <v>271789</v>
      </c>
      <c r="H49" s="132">
        <v>73361</v>
      </c>
      <c r="I49" s="132">
        <v>153959</v>
      </c>
      <c r="J49" s="132">
        <v>2656</v>
      </c>
      <c r="K49" s="132">
        <v>27981</v>
      </c>
      <c r="L49" s="132">
        <v>79</v>
      </c>
      <c r="M49" s="132">
        <v>141618</v>
      </c>
      <c r="N49" s="132">
        <v>148883</v>
      </c>
      <c r="O49" s="132">
        <v>1942</v>
      </c>
      <c r="P49" s="132">
        <v>96</v>
      </c>
      <c r="Q49" s="132">
        <v>126</v>
      </c>
      <c r="R49" s="132">
        <v>822493</v>
      </c>
    </row>
    <row r="50" spans="1:21" x14ac:dyDescent="0.25">
      <c r="E50" s="143" t="s">
        <v>173</v>
      </c>
      <c r="F50" s="132">
        <v>3</v>
      </c>
      <c r="G50" s="132">
        <v>271647</v>
      </c>
      <c r="H50" s="132">
        <v>73103</v>
      </c>
      <c r="I50" s="132">
        <v>153834</v>
      </c>
      <c r="J50" s="132">
        <v>2591</v>
      </c>
      <c r="K50" s="132">
        <v>27981</v>
      </c>
      <c r="L50" s="132">
        <v>0</v>
      </c>
      <c r="M50" s="132">
        <v>141423</v>
      </c>
      <c r="N50" s="132">
        <v>148883</v>
      </c>
      <c r="O50" s="132">
        <v>1728</v>
      </c>
      <c r="P50" s="132">
        <v>0</v>
      </c>
      <c r="Q50" s="132">
        <v>0</v>
      </c>
      <c r="R50" s="132">
        <v>821193</v>
      </c>
    </row>
    <row r="51" spans="1:21" ht="14.25" customHeight="1" x14ac:dyDescent="0.25"/>
    <row r="52" spans="1:21" s="134" customFormat="1" ht="16.5" customHeight="1" x14ac:dyDescent="0.25">
      <c r="B52" s="134" t="s">
        <v>47</v>
      </c>
      <c r="F52" s="134">
        <v>583384</v>
      </c>
      <c r="G52" s="134">
        <v>-171251</v>
      </c>
      <c r="H52" s="134">
        <v>497279.48</v>
      </c>
      <c r="I52" s="134">
        <v>44649.520000000019</v>
      </c>
      <c r="J52" s="134">
        <v>-61957</v>
      </c>
      <c r="K52" s="134">
        <v>-115141</v>
      </c>
      <c r="L52" s="134">
        <v>-39866</v>
      </c>
      <c r="M52" s="134">
        <v>-227460</v>
      </c>
      <c r="N52" s="134">
        <v>-308441</v>
      </c>
      <c r="O52" s="134">
        <v>82823</v>
      </c>
      <c r="P52" s="134">
        <v>-57397</v>
      </c>
      <c r="Q52" s="134">
        <v>-391239</v>
      </c>
      <c r="R52" s="134">
        <v>-164616</v>
      </c>
      <c r="S52" s="133"/>
    </row>
    <row r="53" spans="1:21" ht="15.75" thickBot="1" x14ac:dyDescent="0.3">
      <c r="A53" s="144"/>
      <c r="B53" s="144"/>
      <c r="C53" s="144"/>
      <c r="D53" s="144"/>
      <c r="E53" s="144"/>
    </row>
    <row r="54" spans="1:21" s="145" customFormat="1" ht="15.75" thickTop="1" x14ac:dyDescent="0.25">
      <c r="A54" s="145" t="s">
        <v>48</v>
      </c>
      <c r="S54" s="133"/>
    </row>
    <row r="55" spans="1:21" s="145" customFormat="1" ht="72" customHeight="1" x14ac:dyDescent="0.25">
      <c r="B55" s="173" t="s">
        <v>174</v>
      </c>
      <c r="C55" s="173"/>
      <c r="D55" s="173"/>
      <c r="E55" s="173"/>
      <c r="F55" s="173"/>
      <c r="S55" s="133"/>
    </row>
    <row r="56" spans="1:21" s="145" customFormat="1" ht="18.75" customHeight="1" x14ac:dyDescent="0.25">
      <c r="A56" s="146" t="s">
        <v>50</v>
      </c>
      <c r="B56" s="147" t="s">
        <v>51</v>
      </c>
      <c r="C56" s="148"/>
      <c r="D56" s="148"/>
      <c r="E56" s="149"/>
      <c r="S56" s="133"/>
    </row>
    <row r="57" spans="1:21" s="145" customFormat="1" ht="15.75" customHeight="1" x14ac:dyDescent="0.25">
      <c r="A57" s="150"/>
      <c r="B57" s="151"/>
      <c r="C57" s="151"/>
      <c r="D57" s="151"/>
      <c r="E57" s="151"/>
      <c r="F57" s="151"/>
      <c r="S57" s="133"/>
    </row>
    <row r="58" spans="1:21" s="145" customFormat="1" x14ac:dyDescent="0.25">
      <c r="A58" s="145" t="s">
        <v>52</v>
      </c>
      <c r="S58" s="133"/>
    </row>
    <row r="59" spans="1:21" ht="17.25" x14ac:dyDescent="0.25">
      <c r="A59" s="174">
        <v>45351</v>
      </c>
      <c r="B59" s="174"/>
      <c r="C59" s="174"/>
      <c r="D59" s="174"/>
      <c r="E59" s="174"/>
      <c r="U59" s="152"/>
    </row>
    <row r="60" spans="1:21" x14ac:dyDescent="0.25">
      <c r="A60" s="137"/>
    </row>
    <row r="61" spans="1:21" ht="21" customHeight="1" x14ac:dyDescent="0.25">
      <c r="A61" s="153"/>
    </row>
  </sheetData>
  <mergeCells count="3">
    <mergeCell ref="A7:E7"/>
    <mergeCell ref="B55:F55"/>
    <mergeCell ref="A59:E59"/>
  </mergeCells>
  <printOptions horizontalCentered="1"/>
  <pageMargins left="0" right="0" top="0.78740157480314965" bottom="0" header="0" footer="0"/>
  <pageSetup paperSize="9" scale="63" orientation="portrait" r:id="rId1"/>
  <headerFooter scaleWithDoc="0" alignWithMargins="0">
    <oddHeader>&amp;C&amp;"-,Bold"&amp;10BUREAU OF THE TREASURY&amp;11
&amp;"-,Italic"&amp;9 Statistical Data Analysis Division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64"/>
  <sheetViews>
    <sheetView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A64" sqref="A64:E64"/>
    </sheetView>
  </sheetViews>
  <sheetFormatPr defaultColWidth="9.140625" defaultRowHeight="14.25" x14ac:dyDescent="0.2"/>
  <cols>
    <col min="1" max="1" width="2.28515625" style="6" customWidth="1"/>
    <col min="2" max="2" width="1.5703125" style="6" customWidth="1"/>
    <col min="3" max="3" width="1.85546875" style="6" customWidth="1"/>
    <col min="4" max="4" width="2.140625" style="6" customWidth="1"/>
    <col min="5" max="5" width="34.28515625" style="6" customWidth="1"/>
    <col min="6" max="6" width="9.5703125" style="6" customWidth="1"/>
    <col min="7" max="8" width="10.28515625" style="6" customWidth="1"/>
    <col min="9" max="9" width="9.5703125" style="6" customWidth="1"/>
    <col min="10" max="11" width="10.28515625" style="6" customWidth="1"/>
    <col min="12" max="13" width="9.5703125" style="6" customWidth="1"/>
    <col min="14" max="14" width="10.28515625" style="6" customWidth="1"/>
    <col min="15" max="15" width="9.5703125" style="6" customWidth="1"/>
    <col min="16" max="17" width="10.28515625" style="6" customWidth="1"/>
    <col min="18" max="18" width="12" style="6" customWidth="1"/>
    <col min="19" max="19" width="10.7109375" style="6" customWidth="1"/>
    <col min="20" max="1024" width="9.140625" style="6"/>
  </cols>
  <sheetData>
    <row r="1" spans="1:18" ht="6" customHeight="1" x14ac:dyDescent="0.2"/>
    <row r="2" spans="1:18" ht="15" x14ac:dyDescent="0.25">
      <c r="A2" s="7" t="s">
        <v>53</v>
      </c>
      <c r="B2" s="7"/>
      <c r="C2" s="7"/>
      <c r="D2" s="7"/>
      <c r="E2" s="7"/>
    </row>
    <row r="3" spans="1:18" ht="15" x14ac:dyDescent="0.25">
      <c r="A3" s="7" t="s">
        <v>54</v>
      </c>
      <c r="B3" s="7"/>
      <c r="C3" s="7"/>
      <c r="D3" s="7"/>
      <c r="E3" s="7"/>
    </row>
    <row r="4" spans="1:18" x14ac:dyDescent="0.2">
      <c r="A4" s="8" t="s">
        <v>2</v>
      </c>
      <c r="B4" s="8"/>
      <c r="C4" s="8"/>
      <c r="D4" s="8"/>
      <c r="E4" s="8"/>
    </row>
    <row r="5" spans="1:18" x14ac:dyDescent="0.2">
      <c r="A5" s="9" t="s">
        <v>55</v>
      </c>
      <c r="B5" s="8"/>
    </row>
    <row r="6" spans="1:18" ht="6" customHeight="1" x14ac:dyDescent="0.2"/>
    <row r="7" spans="1:18" s="10" customFormat="1" ht="25.5" customHeight="1" x14ac:dyDescent="0.2">
      <c r="A7" s="175" t="s">
        <v>3</v>
      </c>
      <c r="B7" s="175"/>
      <c r="C7" s="175"/>
      <c r="D7" s="175"/>
      <c r="E7" s="175"/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s="5" t="s">
        <v>9</v>
      </c>
      <c r="L7" s="5" t="s">
        <v>10</v>
      </c>
      <c r="M7" s="5" t="s">
        <v>11</v>
      </c>
      <c r="N7" s="5" t="s">
        <v>12</v>
      </c>
      <c r="O7" s="5" t="s">
        <v>13</v>
      </c>
      <c r="P7" s="5" t="s">
        <v>56</v>
      </c>
      <c r="Q7" s="5" t="s">
        <v>57</v>
      </c>
      <c r="R7" s="5" t="s">
        <v>14</v>
      </c>
    </row>
    <row r="8" spans="1:18" ht="6.75" customHeight="1" x14ac:dyDescent="0.2"/>
    <row r="9" spans="1:18" ht="15" x14ac:dyDescent="0.25">
      <c r="B9" s="11" t="s">
        <v>15</v>
      </c>
      <c r="C9" s="11"/>
      <c r="D9" s="11"/>
      <c r="E9" s="11"/>
      <c r="F9" s="17">
        <f t="shared" ref="F9:R9" si="0">+F10+F21+F28</f>
        <v>278075</v>
      </c>
      <c r="G9" s="17">
        <f t="shared" si="0"/>
        <v>212402</v>
      </c>
      <c r="H9" s="17">
        <f t="shared" si="0"/>
        <v>293883</v>
      </c>
      <c r="I9" s="17">
        <f t="shared" si="0"/>
        <v>347949</v>
      </c>
      <c r="J9" s="17">
        <f t="shared" si="0"/>
        <v>304915</v>
      </c>
      <c r="K9" s="17">
        <f t="shared" si="0"/>
        <v>290268</v>
      </c>
      <c r="L9" s="17">
        <f t="shared" si="0"/>
        <v>308632</v>
      </c>
      <c r="M9" s="17">
        <f t="shared" si="0"/>
        <v>332440</v>
      </c>
      <c r="N9" s="17">
        <f t="shared" si="0"/>
        <v>288814</v>
      </c>
      <c r="O9" s="17">
        <f t="shared" si="0"/>
        <v>288873</v>
      </c>
      <c r="P9" s="17">
        <f t="shared" si="0"/>
        <v>331061</v>
      </c>
      <c r="Q9" s="17">
        <f t="shared" si="0"/>
        <v>268193</v>
      </c>
      <c r="R9" s="17">
        <f t="shared" si="0"/>
        <v>3545505</v>
      </c>
    </row>
    <row r="10" spans="1:18" ht="15" x14ac:dyDescent="0.25">
      <c r="C10" s="6" t="s">
        <v>16</v>
      </c>
      <c r="F10" s="17">
        <f t="shared" ref="F10:R10" si="1">+F11+F16+F19</f>
        <v>255626</v>
      </c>
      <c r="G10" s="17">
        <f t="shared" si="1"/>
        <v>198253</v>
      </c>
      <c r="H10" s="17">
        <f t="shared" si="1"/>
        <v>243819</v>
      </c>
      <c r="I10" s="17">
        <f t="shared" si="1"/>
        <v>307083</v>
      </c>
      <c r="J10" s="17">
        <f t="shared" si="1"/>
        <v>284792</v>
      </c>
      <c r="K10" s="17">
        <f t="shared" si="1"/>
        <v>251760</v>
      </c>
      <c r="L10" s="17">
        <f t="shared" si="1"/>
        <v>282919</v>
      </c>
      <c r="M10" s="17">
        <f t="shared" si="1"/>
        <v>309735</v>
      </c>
      <c r="N10" s="17">
        <f t="shared" si="1"/>
        <v>254993</v>
      </c>
      <c r="O10" s="17">
        <f t="shared" si="1"/>
        <v>263472</v>
      </c>
      <c r="P10" s="17">
        <f t="shared" si="1"/>
        <v>313974</v>
      </c>
      <c r="Q10" s="17">
        <f t="shared" si="1"/>
        <v>253889</v>
      </c>
      <c r="R10" s="17">
        <f t="shared" si="1"/>
        <v>3220315</v>
      </c>
    </row>
    <row r="11" spans="1:18" x14ac:dyDescent="0.2">
      <c r="D11" s="6" t="s">
        <v>17</v>
      </c>
      <c r="F11" s="13">
        <v>195775</v>
      </c>
      <c r="G11" s="13">
        <v>136607</v>
      </c>
      <c r="H11" s="13">
        <v>170384</v>
      </c>
      <c r="I11" s="13">
        <v>239604</v>
      </c>
      <c r="J11" s="13">
        <v>216618</v>
      </c>
      <c r="K11" s="13">
        <v>173540</v>
      </c>
      <c r="L11" s="13">
        <v>197390</v>
      </c>
      <c r="M11" s="13">
        <v>228938</v>
      </c>
      <c r="N11" s="13">
        <v>173629</v>
      </c>
      <c r="O11" s="13">
        <v>186759</v>
      </c>
      <c r="P11" s="13">
        <v>237143</v>
      </c>
      <c r="Q11" s="13">
        <v>179287</v>
      </c>
      <c r="R11" s="13">
        <f>SUM(F11:Q11)</f>
        <v>2335674</v>
      </c>
    </row>
    <row r="12" spans="1:18" x14ac:dyDescent="0.2">
      <c r="E12" s="10" t="s">
        <v>18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x14ac:dyDescent="0.2">
      <c r="E13" s="6" t="s">
        <v>19</v>
      </c>
      <c r="F13" s="18">
        <v>3018</v>
      </c>
      <c r="G13" s="18">
        <v>1583</v>
      </c>
      <c r="H13" s="18">
        <v>1182</v>
      </c>
      <c r="I13" s="18">
        <v>5190</v>
      </c>
      <c r="J13" s="18">
        <v>1792</v>
      </c>
      <c r="K13" s="18">
        <v>1101</v>
      </c>
      <c r="L13" s="18">
        <v>0</v>
      </c>
      <c r="M13" s="18">
        <v>2802</v>
      </c>
      <c r="N13" s="18">
        <v>1659</v>
      </c>
      <c r="O13" s="18">
        <v>25</v>
      </c>
      <c r="P13" s="18">
        <v>5774</v>
      </c>
      <c r="Q13" s="18">
        <v>921</v>
      </c>
      <c r="R13" s="13">
        <f>SUM(F13:Q13)</f>
        <v>25047</v>
      </c>
    </row>
    <row r="14" spans="1:18" x14ac:dyDescent="0.2">
      <c r="E14" s="6" t="s">
        <v>20</v>
      </c>
      <c r="F14" s="13">
        <v>34</v>
      </c>
      <c r="G14" s="13">
        <v>32</v>
      </c>
      <c r="H14" s="13">
        <v>35</v>
      </c>
      <c r="I14" s="13">
        <v>38</v>
      </c>
      <c r="J14" s="13">
        <v>2622</v>
      </c>
      <c r="K14" s="13">
        <v>678</v>
      </c>
      <c r="L14" s="13">
        <v>213</v>
      </c>
      <c r="M14" s="13">
        <v>132</v>
      </c>
      <c r="N14" s="13">
        <v>2619</v>
      </c>
      <c r="O14" s="13">
        <v>190</v>
      </c>
      <c r="P14" s="13">
        <v>37</v>
      </c>
      <c r="Q14" s="13">
        <v>272</v>
      </c>
      <c r="R14" s="13">
        <f>SUM(F14:Q14)</f>
        <v>6902</v>
      </c>
    </row>
    <row r="15" spans="1:18" ht="6" customHeight="1" x14ac:dyDescent="0.2"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2">
      <c r="D16" s="6" t="s">
        <v>21</v>
      </c>
      <c r="F16" s="19">
        <v>58346</v>
      </c>
      <c r="G16" s="19">
        <v>59433</v>
      </c>
      <c r="H16" s="19">
        <v>70778</v>
      </c>
      <c r="I16" s="19">
        <v>65669</v>
      </c>
      <c r="J16" s="19">
        <v>66288</v>
      </c>
      <c r="K16" s="19">
        <v>76201</v>
      </c>
      <c r="L16" s="19">
        <v>83596</v>
      </c>
      <c r="M16" s="19">
        <v>78884</v>
      </c>
      <c r="N16" s="19">
        <v>79273</v>
      </c>
      <c r="O16" s="19">
        <v>75055</v>
      </c>
      <c r="P16" s="19">
        <v>75724</v>
      </c>
      <c r="Q16" s="13">
        <v>73173</v>
      </c>
      <c r="R16" s="13">
        <f>SUM(F16:Q16)</f>
        <v>862420</v>
      </c>
    </row>
    <row r="17" spans="2:19" x14ac:dyDescent="0.2">
      <c r="E17" s="10" t="s">
        <v>18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 t="s">
        <v>58</v>
      </c>
    </row>
    <row r="18" spans="2:19" x14ac:dyDescent="0.2">
      <c r="E18" s="6" t="s">
        <v>20</v>
      </c>
      <c r="F18" s="18">
        <v>330</v>
      </c>
      <c r="G18" s="18">
        <v>321</v>
      </c>
      <c r="H18" s="18">
        <v>93</v>
      </c>
      <c r="I18" s="18">
        <v>384</v>
      </c>
      <c r="J18" s="18">
        <v>7</v>
      </c>
      <c r="K18" s="18">
        <v>301</v>
      </c>
      <c r="L18" s="18">
        <v>1128</v>
      </c>
      <c r="M18" s="18">
        <v>677</v>
      </c>
      <c r="N18" s="18">
        <v>3</v>
      </c>
      <c r="O18" s="18">
        <v>1062</v>
      </c>
      <c r="P18" s="18">
        <v>1274</v>
      </c>
      <c r="Q18" s="18">
        <v>2255</v>
      </c>
      <c r="R18" s="13">
        <f>SUM(F18:Q18)</f>
        <v>7835</v>
      </c>
    </row>
    <row r="19" spans="2:19" x14ac:dyDescent="0.2">
      <c r="D19" s="6" t="s">
        <v>22</v>
      </c>
      <c r="F19" s="19">
        <v>1505</v>
      </c>
      <c r="G19" s="19">
        <v>2213</v>
      </c>
      <c r="H19" s="19">
        <v>2657</v>
      </c>
      <c r="I19" s="19">
        <v>1810</v>
      </c>
      <c r="J19" s="19">
        <v>1886</v>
      </c>
      <c r="K19" s="19">
        <v>2019</v>
      </c>
      <c r="L19" s="19">
        <v>1933</v>
      </c>
      <c r="M19" s="19">
        <v>1913</v>
      </c>
      <c r="N19" s="19">
        <v>2091</v>
      </c>
      <c r="O19" s="19">
        <v>1658</v>
      </c>
      <c r="P19" s="19">
        <v>1107</v>
      </c>
      <c r="Q19" s="19">
        <v>1429</v>
      </c>
      <c r="R19" s="13">
        <f>SUM(F19:Q19)</f>
        <v>22221</v>
      </c>
    </row>
    <row r="20" spans="2:19" x14ac:dyDescent="0.2"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2:19" ht="15" x14ac:dyDescent="0.25">
      <c r="C21" s="6" t="s">
        <v>23</v>
      </c>
      <c r="F21" s="17">
        <f t="shared" ref="F21:R21" si="2">SUM(F22:F26)</f>
        <v>22447</v>
      </c>
      <c r="G21" s="17">
        <f t="shared" si="2"/>
        <v>14090</v>
      </c>
      <c r="H21" s="17">
        <f t="shared" si="2"/>
        <v>50059</v>
      </c>
      <c r="I21" s="17">
        <f t="shared" si="2"/>
        <v>40751</v>
      </c>
      <c r="J21" s="17">
        <f t="shared" si="2"/>
        <v>19780</v>
      </c>
      <c r="K21" s="17">
        <f t="shared" si="2"/>
        <v>38427</v>
      </c>
      <c r="L21" s="17">
        <f t="shared" si="2"/>
        <v>25397</v>
      </c>
      <c r="M21" s="17">
        <f t="shared" si="2"/>
        <v>22691</v>
      </c>
      <c r="N21" s="17">
        <f t="shared" si="2"/>
        <v>33820</v>
      </c>
      <c r="O21" s="17">
        <f t="shared" si="2"/>
        <v>25396</v>
      </c>
      <c r="P21" s="17">
        <f t="shared" si="2"/>
        <v>16975</v>
      </c>
      <c r="Q21" s="17">
        <f t="shared" si="2"/>
        <v>14249</v>
      </c>
      <c r="R21" s="17">
        <f t="shared" si="2"/>
        <v>324082</v>
      </c>
      <c r="S21" s="17"/>
    </row>
    <row r="22" spans="2:19" x14ac:dyDescent="0.2">
      <c r="D22" s="6" t="s">
        <v>24</v>
      </c>
      <c r="F22" s="13">
        <v>11117</v>
      </c>
      <c r="G22" s="13">
        <v>4224</v>
      </c>
      <c r="H22" s="13">
        <v>33403</v>
      </c>
      <c r="I22" s="13">
        <v>25695</v>
      </c>
      <c r="J22" s="13">
        <v>8917</v>
      </c>
      <c r="K22" s="13">
        <v>20755</v>
      </c>
      <c r="L22" s="13">
        <v>13389</v>
      </c>
      <c r="M22" s="13">
        <v>4907</v>
      </c>
      <c r="N22" s="13">
        <v>7304</v>
      </c>
      <c r="O22" s="13">
        <v>13218</v>
      </c>
      <c r="P22" s="13">
        <v>5279</v>
      </c>
      <c r="Q22" s="13">
        <v>6556</v>
      </c>
      <c r="R22" s="13">
        <f>SUM(F22:Q22)</f>
        <v>154764</v>
      </c>
    </row>
    <row r="23" spans="2:19" x14ac:dyDescent="0.2">
      <c r="D23" s="6" t="s">
        <v>25</v>
      </c>
      <c r="F23" s="13">
        <v>6785</v>
      </c>
      <c r="G23" s="13">
        <v>4928</v>
      </c>
      <c r="H23" s="13">
        <v>8267</v>
      </c>
      <c r="I23" s="13">
        <v>5072</v>
      </c>
      <c r="J23" s="13">
        <v>5990</v>
      </c>
      <c r="K23" s="13">
        <v>13230</v>
      </c>
      <c r="L23" s="13">
        <v>7486</v>
      </c>
      <c r="M23" s="13">
        <v>11153</v>
      </c>
      <c r="N23" s="13">
        <v>11045</v>
      </c>
      <c r="O23" s="13">
        <v>7069</v>
      </c>
      <c r="P23" s="13">
        <v>8729</v>
      </c>
      <c r="Q23" s="13">
        <v>11243</v>
      </c>
      <c r="R23" s="13">
        <f>SUM(F23:Q23)</f>
        <v>100997</v>
      </c>
    </row>
    <row r="24" spans="2:19" x14ac:dyDescent="0.2">
      <c r="D24" s="6" t="s">
        <v>26</v>
      </c>
      <c r="F24" s="13">
        <v>0</v>
      </c>
      <c r="G24" s="13">
        <v>4</v>
      </c>
      <c r="H24" s="13">
        <v>4</v>
      </c>
      <c r="I24" s="13">
        <v>12</v>
      </c>
      <c r="J24" s="13">
        <v>45</v>
      </c>
      <c r="K24" s="13">
        <v>8</v>
      </c>
      <c r="L24" s="13">
        <v>8</v>
      </c>
      <c r="M24" s="13">
        <v>0</v>
      </c>
      <c r="N24" s="13">
        <v>8</v>
      </c>
      <c r="O24" s="13">
        <v>33</v>
      </c>
      <c r="P24" s="13">
        <v>11</v>
      </c>
      <c r="Q24" s="13">
        <v>1513</v>
      </c>
      <c r="R24" s="13">
        <f>SUM(F24:Q24)</f>
        <v>1646</v>
      </c>
    </row>
    <row r="25" spans="2:19" x14ac:dyDescent="0.2">
      <c r="D25" s="6" t="s">
        <v>27</v>
      </c>
      <c r="F25" s="19">
        <v>1199</v>
      </c>
      <c r="G25" s="19">
        <v>2370</v>
      </c>
      <c r="H25" s="19">
        <v>2191</v>
      </c>
      <c r="I25" s="19">
        <v>1551</v>
      </c>
      <c r="J25" s="13">
        <v>2255</v>
      </c>
      <c r="K25" s="13">
        <v>2410</v>
      </c>
      <c r="L25" s="13">
        <v>2616</v>
      </c>
      <c r="M25" s="13">
        <v>2347</v>
      </c>
      <c r="N25" s="13">
        <v>2664</v>
      </c>
      <c r="O25" s="13">
        <v>1838</v>
      </c>
      <c r="P25" s="13">
        <v>2716</v>
      </c>
      <c r="Q25" s="13">
        <v>1745</v>
      </c>
      <c r="R25" s="13">
        <f>SUM(F25:Q25)</f>
        <v>25902</v>
      </c>
    </row>
    <row r="26" spans="2:19" x14ac:dyDescent="0.2">
      <c r="D26" s="6" t="s">
        <v>28</v>
      </c>
      <c r="F26" s="13">
        <v>3346</v>
      </c>
      <c r="G26" s="13">
        <v>2564</v>
      </c>
      <c r="H26" s="13">
        <v>6194</v>
      </c>
      <c r="I26" s="13">
        <v>8421</v>
      </c>
      <c r="J26" s="13">
        <v>2573</v>
      </c>
      <c r="K26" s="13">
        <v>2024</v>
      </c>
      <c r="L26" s="13">
        <v>1898</v>
      </c>
      <c r="M26" s="13">
        <v>4284</v>
      </c>
      <c r="N26" s="13">
        <v>12799</v>
      </c>
      <c r="O26" s="13">
        <v>3238</v>
      </c>
      <c r="P26" s="13">
        <v>240</v>
      </c>
      <c r="Q26" s="13">
        <v>-6808</v>
      </c>
      <c r="R26" s="13">
        <f>SUM(F26:Q26)</f>
        <v>40773</v>
      </c>
    </row>
    <row r="27" spans="2:19" x14ac:dyDescent="0.2"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2:19" x14ac:dyDescent="0.2">
      <c r="C28" s="6" t="s">
        <v>29</v>
      </c>
      <c r="F28" s="13">
        <v>2</v>
      </c>
      <c r="G28" s="13">
        <v>59</v>
      </c>
      <c r="H28" s="13">
        <v>5</v>
      </c>
      <c r="I28" s="13">
        <v>115</v>
      </c>
      <c r="J28" s="13">
        <v>343</v>
      </c>
      <c r="K28" s="13">
        <v>81</v>
      </c>
      <c r="L28" s="13">
        <v>316</v>
      </c>
      <c r="M28" s="13">
        <v>14</v>
      </c>
      <c r="N28" s="13">
        <v>1</v>
      </c>
      <c r="O28" s="13">
        <v>5</v>
      </c>
      <c r="P28" s="13">
        <v>112</v>
      </c>
      <c r="Q28" s="13">
        <v>55</v>
      </c>
      <c r="R28" s="13">
        <f>SUM(F28:Q28)</f>
        <v>1108</v>
      </c>
    </row>
    <row r="29" spans="2:19" x14ac:dyDescent="0.2"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2:19" ht="15" x14ac:dyDescent="0.25">
      <c r="B30" s="11" t="s">
        <v>30</v>
      </c>
      <c r="C30" s="11"/>
      <c r="D30" s="11"/>
      <c r="E30" s="11"/>
      <c r="F30" s="17">
        <f t="shared" ref="F30:R30" si="3">SUM(F32:F38)</f>
        <v>301457</v>
      </c>
      <c r="G30" s="17">
        <f t="shared" si="3"/>
        <v>318202</v>
      </c>
      <c r="H30" s="17">
        <f t="shared" si="3"/>
        <v>481549</v>
      </c>
      <c r="I30" s="17">
        <f t="shared" si="3"/>
        <v>343013</v>
      </c>
      <c r="J30" s="17">
        <f t="shared" si="3"/>
        <v>451700</v>
      </c>
      <c r="K30" s="17">
        <f t="shared" si="3"/>
        <v>505791</v>
      </c>
      <c r="L30" s="17">
        <f t="shared" si="3"/>
        <v>395395</v>
      </c>
      <c r="M30" s="17">
        <f t="shared" si="3"/>
        <v>404476</v>
      </c>
      <c r="N30" s="17">
        <f t="shared" si="3"/>
        <v>468574</v>
      </c>
      <c r="O30" s="17">
        <f t="shared" si="3"/>
        <v>387934</v>
      </c>
      <c r="P30" s="17">
        <f t="shared" si="3"/>
        <v>454990</v>
      </c>
      <c r="Q30" s="17">
        <f t="shared" si="3"/>
        <v>646559</v>
      </c>
      <c r="R30" s="17">
        <f t="shared" si="3"/>
        <v>5159640</v>
      </c>
    </row>
    <row r="31" spans="2:19" ht="8.25" customHeight="1" x14ac:dyDescent="0.2"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2:19" x14ac:dyDescent="0.2">
      <c r="D32" s="6" t="s">
        <v>31</v>
      </c>
      <c r="F32" s="13">
        <v>79922</v>
      </c>
      <c r="G32" s="13">
        <v>93367</v>
      </c>
      <c r="H32" s="13">
        <v>94067</v>
      </c>
      <c r="I32" s="13">
        <v>85507</v>
      </c>
      <c r="J32" s="13">
        <v>88982</v>
      </c>
      <c r="K32" s="13">
        <v>89478</v>
      </c>
      <c r="L32" s="13">
        <v>86406</v>
      </c>
      <c r="M32" s="13">
        <v>109491</v>
      </c>
      <c r="N32" s="13">
        <v>95830</v>
      </c>
      <c r="O32" s="13">
        <v>86490</v>
      </c>
      <c r="P32" s="13">
        <v>86233</v>
      </c>
      <c r="Q32" s="13">
        <v>107511</v>
      </c>
      <c r="R32" s="13">
        <f t="shared" ref="R32:R38" si="4">SUM(F32:Q32)</f>
        <v>1103284</v>
      </c>
    </row>
    <row r="33" spans="2:18" x14ac:dyDescent="0.2">
      <c r="D33" s="6" t="s">
        <v>32</v>
      </c>
      <c r="F33" s="13">
        <v>65551</v>
      </c>
      <c r="G33" s="13">
        <v>28230</v>
      </c>
      <c r="H33" s="13">
        <v>55548</v>
      </c>
      <c r="I33" s="13">
        <v>37303</v>
      </c>
      <c r="J33" s="13">
        <v>33831</v>
      </c>
      <c r="K33" s="13">
        <v>36752</v>
      </c>
      <c r="L33" s="13">
        <v>52091</v>
      </c>
      <c r="M33" s="13">
        <v>30773</v>
      </c>
      <c r="N33" s="13">
        <v>59897</v>
      </c>
      <c r="O33" s="13">
        <v>33185</v>
      </c>
      <c r="P33" s="13">
        <v>26092</v>
      </c>
      <c r="Q33" s="13">
        <v>43605</v>
      </c>
      <c r="R33" s="13">
        <f t="shared" si="4"/>
        <v>502858</v>
      </c>
    </row>
    <row r="34" spans="2:18" x14ac:dyDescent="0.2">
      <c r="D34" s="6" t="s">
        <v>33</v>
      </c>
      <c r="F34" s="13">
        <f t="shared" ref="F34:Q34" si="5">F13+F14+F18</f>
        <v>3382</v>
      </c>
      <c r="G34" s="13">
        <f t="shared" si="5"/>
        <v>1936</v>
      </c>
      <c r="H34" s="13">
        <f t="shared" si="5"/>
        <v>1310</v>
      </c>
      <c r="I34" s="13">
        <f t="shared" si="5"/>
        <v>5612</v>
      </c>
      <c r="J34" s="13">
        <f t="shared" si="5"/>
        <v>4421</v>
      </c>
      <c r="K34" s="13">
        <f t="shared" si="5"/>
        <v>2080</v>
      </c>
      <c r="L34" s="13">
        <f t="shared" si="5"/>
        <v>1341</v>
      </c>
      <c r="M34" s="13">
        <f t="shared" si="5"/>
        <v>3611</v>
      </c>
      <c r="N34" s="13">
        <f t="shared" si="5"/>
        <v>4281</v>
      </c>
      <c r="O34" s="13">
        <f t="shared" si="5"/>
        <v>1277</v>
      </c>
      <c r="P34" s="13">
        <f t="shared" si="5"/>
        <v>7085</v>
      </c>
      <c r="Q34" s="13">
        <f t="shared" si="5"/>
        <v>3448</v>
      </c>
      <c r="R34" s="13">
        <f t="shared" si="4"/>
        <v>39784</v>
      </c>
    </row>
    <row r="35" spans="2:18" ht="16.5" x14ac:dyDescent="0.2">
      <c r="D35" s="6" t="s">
        <v>34</v>
      </c>
      <c r="F35" s="13">
        <v>2869</v>
      </c>
      <c r="G35" s="13">
        <v>12688</v>
      </c>
      <c r="H35" s="13">
        <v>10717</v>
      </c>
      <c r="I35" s="13">
        <v>5117</v>
      </c>
      <c r="J35" s="13">
        <v>7968</v>
      </c>
      <c r="K35" s="13">
        <v>13386</v>
      </c>
      <c r="L35" s="13">
        <v>30321</v>
      </c>
      <c r="M35" s="13">
        <v>15536</v>
      </c>
      <c r="N35" s="13">
        <v>23652</v>
      </c>
      <c r="O35" s="13">
        <v>39917</v>
      </c>
      <c r="P35" s="13">
        <v>6169</v>
      </c>
      <c r="Q35" s="13">
        <v>32070</v>
      </c>
      <c r="R35" s="13">
        <f t="shared" si="4"/>
        <v>200410</v>
      </c>
    </row>
    <row r="36" spans="2:18" x14ac:dyDescent="0.2">
      <c r="D36" s="6" t="s">
        <v>35</v>
      </c>
      <c r="F36" s="13">
        <v>0</v>
      </c>
      <c r="G36" s="13">
        <v>47</v>
      </c>
      <c r="H36" s="13">
        <v>449</v>
      </c>
      <c r="I36" s="13">
        <v>47</v>
      </c>
      <c r="J36" s="13">
        <v>9</v>
      </c>
      <c r="K36" s="13">
        <v>143</v>
      </c>
      <c r="L36" s="13">
        <v>40</v>
      </c>
      <c r="M36" s="13">
        <v>106</v>
      </c>
      <c r="N36" s="13">
        <v>81</v>
      </c>
      <c r="O36" s="13">
        <v>28</v>
      </c>
      <c r="P36" s="13">
        <v>9</v>
      </c>
      <c r="Q36" s="13">
        <v>10199</v>
      </c>
      <c r="R36" s="13">
        <f t="shared" si="4"/>
        <v>11158</v>
      </c>
    </row>
    <row r="37" spans="2:18" x14ac:dyDescent="0.2">
      <c r="D37" s="6" t="s">
        <v>36</v>
      </c>
      <c r="F37" s="13">
        <v>1</v>
      </c>
      <c r="G37" s="13">
        <v>13</v>
      </c>
      <c r="H37" s="13">
        <v>724</v>
      </c>
      <c r="I37" s="13">
        <v>1437</v>
      </c>
      <c r="J37" s="13">
        <v>5292</v>
      </c>
      <c r="K37" s="13">
        <v>4100</v>
      </c>
      <c r="L37" s="13">
        <v>7850</v>
      </c>
      <c r="M37" s="13">
        <v>13</v>
      </c>
      <c r="N37" s="13">
        <v>613</v>
      </c>
      <c r="O37" s="13">
        <v>6461</v>
      </c>
      <c r="P37" s="13">
        <v>553</v>
      </c>
      <c r="Q37" s="13">
        <v>148</v>
      </c>
      <c r="R37" s="13">
        <f t="shared" si="4"/>
        <v>27205</v>
      </c>
    </row>
    <row r="38" spans="2:18" ht="16.5" x14ac:dyDescent="0.2">
      <c r="D38" s="6" t="s">
        <v>37</v>
      </c>
      <c r="F38" s="13">
        <f>134494+18620-F34</f>
        <v>149732</v>
      </c>
      <c r="G38" s="13">
        <f>165644+18213-G34</f>
        <v>181921</v>
      </c>
      <c r="H38" s="13">
        <f>294173+25871-H34</f>
        <v>318734</v>
      </c>
      <c r="I38" s="13">
        <f>193612+19990-I34</f>
        <v>207990</v>
      </c>
      <c r="J38" s="13">
        <f>286379+29239-J34</f>
        <v>311197</v>
      </c>
      <c r="K38" s="13">
        <f>341183+20749-K34</f>
        <v>359852</v>
      </c>
      <c r="L38" s="13">
        <f>197577+21110-L34</f>
        <v>217346</v>
      </c>
      <c r="M38" s="13">
        <f>234149+14408-M34</f>
        <v>244946</v>
      </c>
      <c r="N38" s="13">
        <f>266820+21681-N34</f>
        <v>284220</v>
      </c>
      <c r="O38" s="13">
        <f>198773+23080-O34</f>
        <v>220576</v>
      </c>
      <c r="P38" s="13">
        <f>306051+29883-P34</f>
        <v>328849</v>
      </c>
      <c r="Q38" s="13">
        <f>409770+43256-Q34</f>
        <v>449578</v>
      </c>
      <c r="R38" s="13">
        <f t="shared" si="4"/>
        <v>3274941</v>
      </c>
    </row>
    <row r="39" spans="2:18" x14ac:dyDescent="0.2"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ht="15" x14ac:dyDescent="0.25">
      <c r="B40" s="11" t="s">
        <v>38</v>
      </c>
      <c r="C40" s="11"/>
      <c r="D40" s="11"/>
      <c r="E40" s="11"/>
      <c r="F40" s="20">
        <f t="shared" ref="F40:R40" si="6">+F9-F30</f>
        <v>-23382</v>
      </c>
      <c r="G40" s="20">
        <f t="shared" si="6"/>
        <v>-105800</v>
      </c>
      <c r="H40" s="20">
        <f t="shared" si="6"/>
        <v>-187666</v>
      </c>
      <c r="I40" s="20">
        <f t="shared" si="6"/>
        <v>4936</v>
      </c>
      <c r="J40" s="20">
        <f t="shared" si="6"/>
        <v>-146785</v>
      </c>
      <c r="K40" s="20">
        <f t="shared" si="6"/>
        <v>-215523</v>
      </c>
      <c r="L40" s="20">
        <f t="shared" si="6"/>
        <v>-86763</v>
      </c>
      <c r="M40" s="20">
        <f t="shared" si="6"/>
        <v>-72036</v>
      </c>
      <c r="N40" s="20">
        <f t="shared" si="6"/>
        <v>-179760</v>
      </c>
      <c r="O40" s="20">
        <f t="shared" si="6"/>
        <v>-99061</v>
      </c>
      <c r="P40" s="20">
        <f t="shared" si="6"/>
        <v>-123929</v>
      </c>
      <c r="Q40" s="20">
        <f t="shared" si="6"/>
        <v>-378366</v>
      </c>
      <c r="R40" s="20">
        <f t="shared" si="6"/>
        <v>-1614135</v>
      </c>
    </row>
    <row r="41" spans="2:18" x14ac:dyDescent="0.2"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ht="15" x14ac:dyDescent="0.25">
      <c r="B42" s="11" t="s">
        <v>39</v>
      </c>
      <c r="C42" s="11"/>
      <c r="D42" s="11"/>
      <c r="E42" s="11"/>
      <c r="F42" s="17">
        <f t="shared" ref="F42:R42" si="7">+F43+F47</f>
        <v>437212</v>
      </c>
      <c r="G42" s="17">
        <f t="shared" si="7"/>
        <v>50928</v>
      </c>
      <c r="H42" s="17">
        <f t="shared" si="7"/>
        <v>581967</v>
      </c>
      <c r="I42" s="17">
        <f t="shared" si="7"/>
        <v>95588</v>
      </c>
      <c r="J42" s="17">
        <f t="shared" si="7"/>
        <v>-282583</v>
      </c>
      <c r="K42" s="17">
        <f t="shared" si="7"/>
        <v>138636</v>
      </c>
      <c r="L42" s="17">
        <f t="shared" si="7"/>
        <v>174212</v>
      </c>
      <c r="M42" s="17">
        <f t="shared" si="7"/>
        <v>118368</v>
      </c>
      <c r="N42" s="17">
        <f t="shared" si="7"/>
        <v>361354</v>
      </c>
      <c r="O42" s="17">
        <f t="shared" si="7"/>
        <v>176557</v>
      </c>
      <c r="P42" s="17">
        <f t="shared" si="7"/>
        <v>62564</v>
      </c>
      <c r="Q42" s="17">
        <f t="shared" si="7"/>
        <v>51601</v>
      </c>
      <c r="R42" s="17">
        <f t="shared" si="7"/>
        <v>1966404</v>
      </c>
    </row>
    <row r="43" spans="2:18" x14ac:dyDescent="0.2">
      <c r="C43" s="6" t="s">
        <v>40</v>
      </c>
      <c r="F43" s="21">
        <f t="shared" ref="F43:R43" si="8">+F44-F45</f>
        <v>91661</v>
      </c>
      <c r="G43" s="21">
        <f t="shared" si="8"/>
        <v>6262</v>
      </c>
      <c r="H43" s="21">
        <f t="shared" si="8"/>
        <v>123793</v>
      </c>
      <c r="I43" s="21">
        <f t="shared" si="8"/>
        <v>29211</v>
      </c>
      <c r="J43" s="21">
        <f t="shared" si="8"/>
        <v>-11904</v>
      </c>
      <c r="K43" s="21">
        <f t="shared" si="8"/>
        <v>42550</v>
      </c>
      <c r="L43" s="21">
        <f t="shared" si="8"/>
        <v>6494</v>
      </c>
      <c r="M43" s="21">
        <f t="shared" si="8"/>
        <v>-13432</v>
      </c>
      <c r="N43" s="21">
        <f t="shared" si="8"/>
        <v>-10607</v>
      </c>
      <c r="O43" s="21">
        <f t="shared" si="8"/>
        <v>119958</v>
      </c>
      <c r="P43" s="21">
        <f t="shared" si="8"/>
        <v>-13135</v>
      </c>
      <c r="Q43" s="21">
        <f t="shared" si="8"/>
        <v>18751</v>
      </c>
      <c r="R43" s="21">
        <f t="shared" si="8"/>
        <v>389602</v>
      </c>
    </row>
    <row r="44" spans="2:18" x14ac:dyDescent="0.2">
      <c r="D44" s="6" t="s">
        <v>41</v>
      </c>
      <c r="F44" s="13">
        <v>93579</v>
      </c>
      <c r="G44" s="13">
        <v>8121</v>
      </c>
      <c r="H44" s="13">
        <v>131322</v>
      </c>
      <c r="I44" s="13">
        <v>34883</v>
      </c>
      <c r="J44" s="13">
        <v>11709</v>
      </c>
      <c r="K44" s="13">
        <v>49722</v>
      </c>
      <c r="L44" s="13">
        <v>7141</v>
      </c>
      <c r="M44" s="13">
        <v>1317</v>
      </c>
      <c r="N44" s="13">
        <v>8165</v>
      </c>
      <c r="O44" s="13">
        <v>125696</v>
      </c>
      <c r="P44" s="13">
        <v>21958</v>
      </c>
      <c r="Q44" s="13">
        <v>26478</v>
      </c>
      <c r="R44" s="13">
        <f>SUM(F44:Q44)</f>
        <v>520091</v>
      </c>
    </row>
    <row r="45" spans="2:18" x14ac:dyDescent="0.2">
      <c r="D45" s="6" t="s">
        <v>42</v>
      </c>
      <c r="F45" s="13">
        <v>1918</v>
      </c>
      <c r="G45" s="13">
        <v>1859</v>
      </c>
      <c r="H45" s="13">
        <v>7529</v>
      </c>
      <c r="I45" s="13">
        <v>5672</v>
      </c>
      <c r="J45" s="13">
        <v>23613</v>
      </c>
      <c r="K45" s="13">
        <v>7172</v>
      </c>
      <c r="L45" s="13">
        <v>647</v>
      </c>
      <c r="M45" s="13">
        <v>14749</v>
      </c>
      <c r="N45" s="13">
        <v>18772</v>
      </c>
      <c r="O45" s="13">
        <v>5738</v>
      </c>
      <c r="P45" s="13">
        <v>35093</v>
      </c>
      <c r="Q45" s="13">
        <v>7727</v>
      </c>
      <c r="R45" s="13">
        <f>SUM(F45:Q45)</f>
        <v>130489</v>
      </c>
    </row>
    <row r="46" spans="2:18" x14ac:dyDescent="0.2"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ht="15" x14ac:dyDescent="0.25">
      <c r="C47" s="6" t="s">
        <v>43</v>
      </c>
      <c r="F47" s="17">
        <f t="shared" ref="F47:R47" si="9">+F48-F49</f>
        <v>345551</v>
      </c>
      <c r="G47" s="17">
        <f t="shared" si="9"/>
        <v>44666</v>
      </c>
      <c r="H47" s="17">
        <f t="shared" si="9"/>
        <v>458174</v>
      </c>
      <c r="I47" s="17">
        <f t="shared" si="9"/>
        <v>66377</v>
      </c>
      <c r="J47" s="17">
        <f t="shared" si="9"/>
        <v>-270679</v>
      </c>
      <c r="K47" s="17">
        <f t="shared" si="9"/>
        <v>96086</v>
      </c>
      <c r="L47" s="17">
        <f t="shared" si="9"/>
        <v>167718</v>
      </c>
      <c r="M47" s="17">
        <f t="shared" si="9"/>
        <v>131800</v>
      </c>
      <c r="N47" s="17">
        <f t="shared" si="9"/>
        <v>371961</v>
      </c>
      <c r="O47" s="17">
        <f t="shared" si="9"/>
        <v>56599</v>
      </c>
      <c r="P47" s="17">
        <f t="shared" si="9"/>
        <v>75699</v>
      </c>
      <c r="Q47" s="17">
        <f t="shared" si="9"/>
        <v>32850</v>
      </c>
      <c r="R47" s="17">
        <f t="shared" si="9"/>
        <v>1576802</v>
      </c>
    </row>
    <row r="48" spans="2:18" x14ac:dyDescent="0.2">
      <c r="D48" s="6" t="s">
        <v>44</v>
      </c>
      <c r="F48" s="13">
        <v>345551</v>
      </c>
      <c r="G48" s="13">
        <v>45000</v>
      </c>
      <c r="H48" s="13">
        <v>458566</v>
      </c>
      <c r="I48" s="13">
        <v>66377</v>
      </c>
      <c r="J48" s="13">
        <v>-270679</v>
      </c>
      <c r="K48" s="13">
        <v>96448</v>
      </c>
      <c r="L48" s="13">
        <v>167810</v>
      </c>
      <c r="M48" s="13">
        <v>132021</v>
      </c>
      <c r="N48" s="13">
        <v>436709</v>
      </c>
      <c r="O48" s="13">
        <v>56733</v>
      </c>
      <c r="P48" s="13">
        <v>75907</v>
      </c>
      <c r="Q48" s="13">
        <v>32956</v>
      </c>
      <c r="R48" s="13">
        <f>SUM(F48:Q48)</f>
        <v>1643399</v>
      </c>
    </row>
    <row r="49" spans="1:18" x14ac:dyDescent="0.2">
      <c r="D49" s="6" t="s">
        <v>45</v>
      </c>
      <c r="F49" s="18">
        <f t="shared" ref="F49:R49" si="10">F50-F51</f>
        <v>0</v>
      </c>
      <c r="G49" s="18">
        <f t="shared" si="10"/>
        <v>334</v>
      </c>
      <c r="H49" s="18">
        <f t="shared" si="10"/>
        <v>392</v>
      </c>
      <c r="I49" s="18">
        <f t="shared" si="10"/>
        <v>0</v>
      </c>
      <c r="J49" s="18">
        <f t="shared" si="10"/>
        <v>0</v>
      </c>
      <c r="K49" s="18">
        <f t="shared" si="10"/>
        <v>362</v>
      </c>
      <c r="L49" s="18">
        <f t="shared" si="10"/>
        <v>92</v>
      </c>
      <c r="M49" s="18">
        <f t="shared" si="10"/>
        <v>221</v>
      </c>
      <c r="N49" s="18">
        <f t="shared" si="10"/>
        <v>64748</v>
      </c>
      <c r="O49" s="18">
        <f t="shared" si="10"/>
        <v>134</v>
      </c>
      <c r="P49" s="18">
        <f t="shared" si="10"/>
        <v>208</v>
      </c>
      <c r="Q49" s="18">
        <f t="shared" si="10"/>
        <v>106</v>
      </c>
      <c r="R49" s="18">
        <f t="shared" si="10"/>
        <v>66597</v>
      </c>
    </row>
    <row r="50" spans="1:18" ht="16.5" x14ac:dyDescent="0.2">
      <c r="E50" s="6" t="s">
        <v>59</v>
      </c>
      <c r="F50" s="13">
        <v>148369</v>
      </c>
      <c r="G50" s="13">
        <v>334</v>
      </c>
      <c r="H50" s="13">
        <v>4312</v>
      </c>
      <c r="I50" s="13">
        <v>0</v>
      </c>
      <c r="J50" s="13">
        <v>0</v>
      </c>
      <c r="K50" s="13">
        <v>362</v>
      </c>
      <c r="L50" s="13">
        <v>103460</v>
      </c>
      <c r="M50" s="13">
        <v>22775</v>
      </c>
      <c r="N50" s="13">
        <v>84558</v>
      </c>
      <c r="O50" s="13">
        <v>894</v>
      </c>
      <c r="P50" s="13">
        <v>208</v>
      </c>
      <c r="Q50" s="13">
        <v>250793</v>
      </c>
      <c r="R50" s="13">
        <f>SUM(F50:Q50)</f>
        <v>616065</v>
      </c>
    </row>
    <row r="51" spans="1:18" ht="16.5" x14ac:dyDescent="0.2">
      <c r="E51" s="22" t="s">
        <v>60</v>
      </c>
      <c r="F51" s="13">
        <v>148369</v>
      </c>
      <c r="G51" s="13">
        <v>0</v>
      </c>
      <c r="H51" s="13">
        <v>3920</v>
      </c>
      <c r="I51" s="13">
        <v>0</v>
      </c>
      <c r="J51" s="13">
        <v>0</v>
      </c>
      <c r="K51" s="13">
        <v>0</v>
      </c>
      <c r="L51" s="13">
        <v>103368</v>
      </c>
      <c r="M51" s="13">
        <v>22554</v>
      </c>
      <c r="N51" s="13">
        <v>19810</v>
      </c>
      <c r="O51" s="13">
        <v>760</v>
      </c>
      <c r="P51" s="13">
        <v>0</v>
      </c>
      <c r="Q51" s="13">
        <v>250687</v>
      </c>
      <c r="R51" s="13">
        <f>SUM(F51:Q51)</f>
        <v>549468</v>
      </c>
    </row>
    <row r="52" spans="1:18" ht="14.25" customHeight="1" x14ac:dyDescent="0.2"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1:18" s="11" customFormat="1" ht="16.5" customHeight="1" x14ac:dyDescent="0.25">
      <c r="B53" s="11" t="s">
        <v>47</v>
      </c>
      <c r="F53" s="20">
        <v>468678</v>
      </c>
      <c r="G53" s="20">
        <v>-139054</v>
      </c>
      <c r="H53" s="20">
        <v>320585</v>
      </c>
      <c r="I53" s="20">
        <v>801216</v>
      </c>
      <c r="J53" s="20">
        <v>-512579</v>
      </c>
      <c r="K53" s="20">
        <v>-96158</v>
      </c>
      <c r="L53" s="20">
        <v>-88389</v>
      </c>
      <c r="M53" s="20">
        <v>-81546</v>
      </c>
      <c r="N53" s="20">
        <v>45198</v>
      </c>
      <c r="O53" s="20">
        <v>-11468</v>
      </c>
      <c r="P53" s="20">
        <v>-160495</v>
      </c>
      <c r="Q53" s="20">
        <v>-665136</v>
      </c>
      <c r="R53" s="20">
        <f>SUM(F53:Q53)</f>
        <v>-119148</v>
      </c>
    </row>
    <row r="54" spans="1:18" x14ac:dyDescent="0.2">
      <c r="A54" s="12"/>
      <c r="B54" s="12"/>
      <c r="C54" s="12"/>
      <c r="D54" s="12"/>
      <c r="E54" s="12"/>
      <c r="F54" s="13"/>
      <c r="K54" s="13" t="s">
        <v>58</v>
      </c>
    </row>
    <row r="55" spans="1:18" s="24" customFormat="1" ht="12.75" x14ac:dyDescent="0.2">
      <c r="A55" s="23" t="s">
        <v>48</v>
      </c>
      <c r="B55" s="23"/>
    </row>
    <row r="56" spans="1:18" s="24" customFormat="1" ht="78.75" customHeight="1" x14ac:dyDescent="0.2">
      <c r="B56" s="176" t="s">
        <v>49</v>
      </c>
      <c r="C56" s="176"/>
      <c r="D56" s="176"/>
      <c r="E56" s="176"/>
      <c r="F56" s="176"/>
    </row>
    <row r="57" spans="1:18" s="24" customFormat="1" ht="32.25" hidden="1" customHeight="1" x14ac:dyDescent="0.2">
      <c r="A57" s="25" t="s">
        <v>50</v>
      </c>
      <c r="B57" s="177" t="s">
        <v>61</v>
      </c>
      <c r="C57" s="177"/>
      <c r="D57" s="177"/>
      <c r="E57" s="177"/>
      <c r="F57" s="177"/>
    </row>
    <row r="58" spans="1:18" s="24" customFormat="1" ht="17.25" customHeight="1" x14ac:dyDescent="0.2">
      <c r="A58" s="26" t="s">
        <v>50</v>
      </c>
      <c r="B58" s="27" t="s">
        <v>51</v>
      </c>
      <c r="C58" s="28"/>
      <c r="D58" s="28"/>
      <c r="E58" s="29"/>
    </row>
    <row r="59" spans="1:18" s="24" customFormat="1" ht="27.75" customHeight="1" x14ac:dyDescent="0.2">
      <c r="A59" s="30" t="s">
        <v>62</v>
      </c>
      <c r="B59" s="178" t="s">
        <v>63</v>
      </c>
      <c r="C59" s="178"/>
      <c r="D59" s="178"/>
      <c r="E59" s="178"/>
      <c r="F59" s="178"/>
      <c r="G59" s="178"/>
      <c r="H59" s="178"/>
      <c r="I59" s="178"/>
      <c r="J59" s="178"/>
      <c r="K59" s="178"/>
    </row>
    <row r="60" spans="1:18" s="24" customFormat="1" ht="15.75" customHeight="1" x14ac:dyDescent="0.2">
      <c r="A60" s="30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8" s="24" customFormat="1" ht="12.75" x14ac:dyDescent="0.2">
      <c r="A61" s="24" t="s">
        <v>52</v>
      </c>
    </row>
    <row r="62" spans="1:18" ht="15" x14ac:dyDescent="0.2">
      <c r="A62" s="31"/>
      <c r="B62" s="32"/>
      <c r="C62" s="33"/>
      <c r="D62" s="33"/>
      <c r="E62" s="33"/>
    </row>
    <row r="63" spans="1:18" x14ac:dyDescent="0.2">
      <c r="A63" s="10"/>
    </row>
    <row r="64" spans="1:18" x14ac:dyDescent="0.2">
      <c r="A64" s="179">
        <f ca="1">TODAY()</f>
        <v>46150</v>
      </c>
      <c r="B64" s="179"/>
      <c r="C64" s="179"/>
      <c r="D64" s="179"/>
      <c r="E64" s="179"/>
    </row>
  </sheetData>
  <mergeCells count="5">
    <mergeCell ref="A7:E7"/>
    <mergeCell ref="B56:F56"/>
    <mergeCell ref="B57:F57"/>
    <mergeCell ref="B59:K59"/>
    <mergeCell ref="A64:E64"/>
  </mergeCells>
  <printOptions horizontalCentered="1"/>
  <pageMargins left="0.118055555555556" right="0.118055555555556" top="0.78749999999999998" bottom="0" header="0.196527777777778" footer="0.511811023622047"/>
  <pageSetup paperSize="9" orientation="portrait" horizontalDpi="300" verticalDpi="300"/>
  <headerFooter>
    <oddHeader>&amp;C&amp;"Arial,Bold"BUREAU OF THE TREASURY
&amp;"Arial,Italic"&amp;9 Statistical Data Analysis Division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J68"/>
  <sheetViews>
    <sheetView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A68" sqref="A68"/>
    </sheetView>
  </sheetViews>
  <sheetFormatPr defaultColWidth="9.140625" defaultRowHeight="14.25" x14ac:dyDescent="0.2"/>
  <cols>
    <col min="1" max="1" width="2.28515625" style="6" customWidth="1"/>
    <col min="2" max="2" width="1.5703125" style="6" customWidth="1"/>
    <col min="3" max="3" width="1.85546875" style="6" customWidth="1"/>
    <col min="4" max="4" width="2.140625" style="6" customWidth="1"/>
    <col min="5" max="5" width="34.28515625" style="6" customWidth="1"/>
    <col min="6" max="17" width="10.5703125" style="6" customWidth="1"/>
    <col min="18" max="18" width="12.42578125" style="6" customWidth="1"/>
    <col min="19" max="1024" width="9.140625" style="6"/>
  </cols>
  <sheetData>
    <row r="1" spans="1:18" ht="9.75" customHeight="1" x14ac:dyDescent="0.2"/>
    <row r="2" spans="1:18" ht="15" x14ac:dyDescent="0.25">
      <c r="A2" s="7" t="s">
        <v>53</v>
      </c>
      <c r="B2" s="7"/>
      <c r="C2" s="7"/>
      <c r="D2" s="7"/>
      <c r="E2" s="7"/>
    </row>
    <row r="3" spans="1:18" ht="15" x14ac:dyDescent="0.25">
      <c r="A3" s="7" t="s">
        <v>64</v>
      </c>
      <c r="B3" s="7"/>
      <c r="C3" s="7"/>
      <c r="D3" s="7"/>
      <c r="E3" s="7"/>
    </row>
    <row r="4" spans="1:18" x14ac:dyDescent="0.2">
      <c r="A4" s="8" t="s">
        <v>2</v>
      </c>
      <c r="B4" s="8"/>
      <c r="C4" s="8"/>
      <c r="D4" s="8"/>
      <c r="E4" s="8"/>
    </row>
    <row r="5" spans="1:18" x14ac:dyDescent="0.2">
      <c r="A5" s="9" t="s">
        <v>55</v>
      </c>
      <c r="B5" s="8"/>
    </row>
    <row r="6" spans="1:18" ht="6" customHeight="1" x14ac:dyDescent="0.2"/>
    <row r="7" spans="1:18" s="10" customFormat="1" ht="23.25" customHeight="1" x14ac:dyDescent="0.2">
      <c r="A7" s="175" t="s">
        <v>3</v>
      </c>
      <c r="B7" s="175"/>
      <c r="C7" s="175"/>
      <c r="D7" s="175"/>
      <c r="E7" s="175"/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s="5" t="s">
        <v>9</v>
      </c>
      <c r="L7" s="5" t="s">
        <v>10</v>
      </c>
      <c r="M7" s="5" t="s">
        <v>11</v>
      </c>
      <c r="N7" s="5" t="s">
        <v>65</v>
      </c>
      <c r="O7" s="5" t="s">
        <v>13</v>
      </c>
      <c r="P7" s="5" t="s">
        <v>56</v>
      </c>
      <c r="Q7" s="5" t="s">
        <v>57</v>
      </c>
      <c r="R7" s="5" t="s">
        <v>14</v>
      </c>
    </row>
    <row r="9" spans="1:18" ht="15" x14ac:dyDescent="0.25">
      <c r="B9" s="11" t="s">
        <v>15</v>
      </c>
      <c r="C9" s="11"/>
      <c r="D9" s="11"/>
      <c r="E9" s="11"/>
      <c r="F9" s="17">
        <f t="shared" ref="F9:R9" si="0">+F10+F21+F28</f>
        <v>260732</v>
      </c>
      <c r="G9" s="17">
        <f t="shared" si="0"/>
        <v>219562</v>
      </c>
      <c r="H9" s="17">
        <f t="shared" si="0"/>
        <v>216161</v>
      </c>
      <c r="I9" s="17">
        <f t="shared" si="0"/>
        <v>291920</v>
      </c>
      <c r="J9" s="17">
        <f t="shared" si="0"/>
        <v>256414.52</v>
      </c>
      <c r="K9" s="17">
        <f t="shared" si="0"/>
        <v>245568</v>
      </c>
      <c r="L9" s="17">
        <f t="shared" si="0"/>
        <v>256071</v>
      </c>
      <c r="M9" s="17">
        <f t="shared" si="0"/>
        <v>259252</v>
      </c>
      <c r="N9" s="17">
        <f t="shared" si="0"/>
        <v>231445</v>
      </c>
      <c r="O9" s="17">
        <f t="shared" si="0"/>
        <v>253089</v>
      </c>
      <c r="P9" s="17">
        <f t="shared" si="0"/>
        <v>284014</v>
      </c>
      <c r="Q9" s="17">
        <f t="shared" si="0"/>
        <v>231310</v>
      </c>
      <c r="R9" s="17">
        <f t="shared" si="0"/>
        <v>3005538.52</v>
      </c>
    </row>
    <row r="10" spans="1:18" ht="15" x14ac:dyDescent="0.25">
      <c r="C10" s="6" t="s">
        <v>16</v>
      </c>
      <c r="F10" s="17">
        <f t="shared" ref="F10:R10" si="1">+F11+F16+F19</f>
        <v>231038</v>
      </c>
      <c r="G10" s="17">
        <f t="shared" si="1"/>
        <v>203007</v>
      </c>
      <c r="H10" s="17">
        <f t="shared" si="1"/>
        <v>189675</v>
      </c>
      <c r="I10" s="17">
        <f t="shared" si="1"/>
        <v>271706</v>
      </c>
      <c r="J10" s="17">
        <f t="shared" si="1"/>
        <v>234357</v>
      </c>
      <c r="K10" s="17">
        <f t="shared" si="1"/>
        <v>213671</v>
      </c>
      <c r="L10" s="17">
        <f t="shared" si="1"/>
        <v>230611</v>
      </c>
      <c r="M10" s="17">
        <f t="shared" si="1"/>
        <v>242356</v>
      </c>
      <c r="N10" s="17">
        <f t="shared" si="1"/>
        <v>213506</v>
      </c>
      <c r="O10" s="17">
        <f t="shared" si="1"/>
        <v>219387</v>
      </c>
      <c r="P10" s="17">
        <f t="shared" si="1"/>
        <v>269925</v>
      </c>
      <c r="Q10" s="17">
        <f t="shared" si="1"/>
        <v>223482</v>
      </c>
      <c r="R10" s="17">
        <f t="shared" si="1"/>
        <v>2742721</v>
      </c>
    </row>
    <row r="11" spans="1:18" x14ac:dyDescent="0.2">
      <c r="D11" s="6" t="s">
        <v>17</v>
      </c>
      <c r="F11" s="13">
        <v>182150</v>
      </c>
      <c r="G11" s="13">
        <v>154141</v>
      </c>
      <c r="H11" s="13">
        <v>133367</v>
      </c>
      <c r="I11" s="13">
        <v>219045</v>
      </c>
      <c r="J11" s="13">
        <v>183711</v>
      </c>
      <c r="K11" s="13">
        <v>159364</v>
      </c>
      <c r="L11" s="13">
        <v>170833</v>
      </c>
      <c r="M11" s="13">
        <v>186077</v>
      </c>
      <c r="N11" s="13">
        <v>154228</v>
      </c>
      <c r="O11" s="13">
        <v>162115</v>
      </c>
      <c r="P11" s="13">
        <v>210746</v>
      </c>
      <c r="Q11" s="13">
        <f>162331+37</f>
        <v>162368</v>
      </c>
      <c r="R11" s="13">
        <f>SUM(F11:Q11)</f>
        <v>2078145</v>
      </c>
    </row>
    <row r="12" spans="1:18" x14ac:dyDescent="0.2">
      <c r="E12" s="10" t="s">
        <v>18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8" x14ac:dyDescent="0.2">
      <c r="E13" s="6" t="s">
        <v>19</v>
      </c>
      <c r="F13" s="13">
        <v>0</v>
      </c>
      <c r="G13" s="13">
        <v>6602</v>
      </c>
      <c r="H13" s="13">
        <v>0</v>
      </c>
      <c r="I13" s="13">
        <v>2473</v>
      </c>
      <c r="J13" s="13">
        <v>2351</v>
      </c>
      <c r="K13" s="13">
        <v>1216</v>
      </c>
      <c r="L13" s="13">
        <v>3419</v>
      </c>
      <c r="M13" s="13">
        <v>4663</v>
      </c>
      <c r="N13" s="13">
        <v>1519</v>
      </c>
      <c r="O13" s="13">
        <v>1928</v>
      </c>
      <c r="P13" s="13">
        <v>0</v>
      </c>
      <c r="Q13" s="13">
        <v>3470</v>
      </c>
      <c r="R13" s="13">
        <f>+F13+G13+H13+I13+J13+K13+L13+M13+N13+O13+P13+Q13</f>
        <v>27641</v>
      </c>
    </row>
    <row r="14" spans="1:18" x14ac:dyDescent="0.2">
      <c r="E14" s="6" t="s">
        <v>20</v>
      </c>
      <c r="F14" s="13">
        <v>0</v>
      </c>
      <c r="G14" s="13">
        <v>0</v>
      </c>
      <c r="H14" s="13">
        <v>0</v>
      </c>
      <c r="I14" s="13">
        <v>96</v>
      </c>
      <c r="J14" s="13">
        <v>699</v>
      </c>
      <c r="K14" s="13">
        <v>1751</v>
      </c>
      <c r="L14" s="13">
        <v>183</v>
      </c>
      <c r="M14" s="13">
        <v>32</v>
      </c>
      <c r="N14" s="13">
        <v>1972</v>
      </c>
      <c r="O14" s="13">
        <v>81</v>
      </c>
      <c r="P14" s="13">
        <v>438</v>
      </c>
      <c r="Q14" s="13">
        <v>149</v>
      </c>
      <c r="R14" s="13">
        <f>+F14+G14+H14+I14+J14+K14+L14+M14+N14+O14+P14+Q14</f>
        <v>5401</v>
      </c>
    </row>
    <row r="15" spans="1:18" ht="6" customHeight="1" x14ac:dyDescent="0.2"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 t="s">
        <v>58</v>
      </c>
    </row>
    <row r="16" spans="1:18" x14ac:dyDescent="0.2">
      <c r="D16" s="6" t="s">
        <v>21</v>
      </c>
      <c r="F16" s="13">
        <v>47270</v>
      </c>
      <c r="G16" s="13">
        <v>47185</v>
      </c>
      <c r="H16" s="13">
        <v>54727</v>
      </c>
      <c r="I16" s="13">
        <v>51781</v>
      </c>
      <c r="J16" s="13">
        <v>48617</v>
      </c>
      <c r="K16" s="13">
        <v>52166</v>
      </c>
      <c r="L16" s="13">
        <v>57169</v>
      </c>
      <c r="M16" s="13">
        <v>53359</v>
      </c>
      <c r="N16" s="13">
        <v>57562</v>
      </c>
      <c r="O16" s="13">
        <v>55532</v>
      </c>
      <c r="P16" s="13">
        <v>57919</v>
      </c>
      <c r="Q16" s="13">
        <v>60276</v>
      </c>
      <c r="R16" s="13">
        <f>+F16+G16+H16+I16+J16+K16+L16+M16+N16+O16+P16+Q16</f>
        <v>643563</v>
      </c>
    </row>
    <row r="17" spans="2:19" x14ac:dyDescent="0.2">
      <c r="E17" s="10" t="s">
        <v>18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2:19" x14ac:dyDescent="0.2">
      <c r="E18" s="6" t="s">
        <v>20</v>
      </c>
      <c r="F18" s="13">
        <v>0</v>
      </c>
      <c r="G18" s="13">
        <v>68</v>
      </c>
      <c r="H18" s="13">
        <v>30</v>
      </c>
      <c r="I18" s="13">
        <v>121</v>
      </c>
      <c r="J18" s="13">
        <v>50</v>
      </c>
      <c r="K18" s="13">
        <v>157</v>
      </c>
      <c r="L18" s="13">
        <v>65</v>
      </c>
      <c r="M18" s="13">
        <v>479</v>
      </c>
      <c r="N18" s="13">
        <v>1636</v>
      </c>
      <c r="O18" s="13">
        <v>524</v>
      </c>
      <c r="P18" s="13">
        <v>86</v>
      </c>
      <c r="Q18" s="13">
        <v>451</v>
      </c>
      <c r="R18" s="13">
        <f>+F18+G18+H18+I18+J18+K18+L18+M18+N18+O18+P18+Q18</f>
        <v>3667</v>
      </c>
    </row>
    <row r="19" spans="2:19" x14ac:dyDescent="0.2">
      <c r="D19" s="6" t="s">
        <v>22</v>
      </c>
      <c r="F19" s="13">
        <v>1618</v>
      </c>
      <c r="G19" s="13">
        <v>1681</v>
      </c>
      <c r="H19" s="13">
        <v>1581</v>
      </c>
      <c r="I19" s="13">
        <v>880</v>
      </c>
      <c r="J19" s="13">
        <v>2029</v>
      </c>
      <c r="K19" s="13">
        <v>2141</v>
      </c>
      <c r="L19" s="13">
        <v>2609</v>
      </c>
      <c r="M19" s="13">
        <v>2920</v>
      </c>
      <c r="N19" s="13">
        <v>1716</v>
      </c>
      <c r="O19" s="13">
        <v>1740</v>
      </c>
      <c r="P19" s="13">
        <v>1260</v>
      </c>
      <c r="Q19" s="13">
        <v>838</v>
      </c>
      <c r="R19" s="13">
        <f>+F19+G19+H19+I19+J19+K19+L19+M19+N19+O19+P19+Q19</f>
        <v>21013</v>
      </c>
    </row>
    <row r="20" spans="2:19" x14ac:dyDescent="0.2"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2:19" ht="15" x14ac:dyDescent="0.25">
      <c r="C21" s="6" t="s">
        <v>23</v>
      </c>
      <c r="F21" s="17">
        <f t="shared" ref="F21:R21" si="2">SUM(F22:F26)</f>
        <v>29694</v>
      </c>
      <c r="G21" s="17">
        <f t="shared" si="2"/>
        <v>16464</v>
      </c>
      <c r="H21" s="17">
        <f t="shared" si="2"/>
        <v>26477</v>
      </c>
      <c r="I21" s="17">
        <f t="shared" si="2"/>
        <v>20109</v>
      </c>
      <c r="J21" s="17">
        <f t="shared" si="2"/>
        <v>22057.52</v>
      </c>
      <c r="K21" s="17">
        <f t="shared" si="2"/>
        <v>31853</v>
      </c>
      <c r="L21" s="17">
        <f t="shared" si="2"/>
        <v>25412</v>
      </c>
      <c r="M21" s="17">
        <f t="shared" si="2"/>
        <v>16893</v>
      </c>
      <c r="N21" s="17">
        <f t="shared" si="2"/>
        <v>17930</v>
      </c>
      <c r="O21" s="17">
        <f t="shared" si="2"/>
        <v>33698</v>
      </c>
      <c r="P21" s="17">
        <f t="shared" si="2"/>
        <v>14075</v>
      </c>
      <c r="Q21" s="17">
        <f t="shared" si="2"/>
        <v>7801</v>
      </c>
      <c r="R21" s="17">
        <f t="shared" si="2"/>
        <v>262463.52</v>
      </c>
    </row>
    <row r="22" spans="2:19" x14ac:dyDescent="0.2">
      <c r="D22" s="6" t="s">
        <v>24</v>
      </c>
      <c r="F22" s="13">
        <v>18660</v>
      </c>
      <c r="G22" s="13">
        <v>4560</v>
      </c>
      <c r="H22" s="13">
        <v>16121</v>
      </c>
      <c r="I22" s="13">
        <v>9043</v>
      </c>
      <c r="J22" s="13">
        <v>12423</v>
      </c>
      <c r="K22" s="13">
        <v>20824</v>
      </c>
      <c r="L22" s="13">
        <v>13616</v>
      </c>
      <c r="M22" s="13">
        <v>4679</v>
      </c>
      <c r="N22" s="13">
        <v>5606</v>
      </c>
      <c r="O22" s="13">
        <v>8977</v>
      </c>
      <c r="P22" s="13">
        <v>6085</v>
      </c>
      <c r="Q22" s="13">
        <v>4738</v>
      </c>
      <c r="R22" s="13">
        <f>+F22+G22+H22+I22+J22+K22+L22+M22+N22+O22+P22+Q22</f>
        <v>125332</v>
      </c>
    </row>
    <row r="23" spans="2:19" x14ac:dyDescent="0.2">
      <c r="D23" s="6" t="s">
        <v>25</v>
      </c>
      <c r="F23" s="13">
        <v>6785</v>
      </c>
      <c r="G23" s="13">
        <v>2563</v>
      </c>
      <c r="H23" s="13">
        <v>5371</v>
      </c>
      <c r="I23" s="13">
        <v>1262</v>
      </c>
      <c r="J23" s="13">
        <v>2784</v>
      </c>
      <c r="K23" s="13">
        <v>3106</v>
      </c>
      <c r="L23" s="13">
        <v>2262</v>
      </c>
      <c r="M23" s="13">
        <v>1253</v>
      </c>
      <c r="N23" s="13">
        <v>972</v>
      </c>
      <c r="O23" s="13">
        <v>2508</v>
      </c>
      <c r="P23" s="13">
        <v>2407</v>
      </c>
      <c r="Q23" s="13">
        <v>417</v>
      </c>
      <c r="R23" s="13">
        <f>+F23+G23+H23+I23+J23+K23+L23+M23+N23+O23+P23+Q23</f>
        <v>31690</v>
      </c>
    </row>
    <row r="24" spans="2:19" x14ac:dyDescent="0.2">
      <c r="D24" s="6" t="s">
        <v>26</v>
      </c>
      <c r="F24" s="13">
        <v>0</v>
      </c>
      <c r="G24" s="13">
        <v>7</v>
      </c>
      <c r="H24" s="13">
        <v>2</v>
      </c>
      <c r="I24" s="13">
        <v>0</v>
      </c>
      <c r="J24" s="13">
        <v>23.52</v>
      </c>
      <c r="K24" s="13">
        <v>191</v>
      </c>
      <c r="L24" s="13">
        <v>7</v>
      </c>
      <c r="M24" s="13">
        <v>7</v>
      </c>
      <c r="N24" s="13">
        <v>4</v>
      </c>
      <c r="O24" s="13">
        <v>5</v>
      </c>
      <c r="P24" s="13">
        <v>14</v>
      </c>
      <c r="Q24" s="13">
        <v>61</v>
      </c>
      <c r="R24" s="13">
        <f>+F24+G24+H24+I24+J24+K24+L24+M24+N24+O24+P24+Q24</f>
        <v>321.52</v>
      </c>
    </row>
    <row r="25" spans="2:19" x14ac:dyDescent="0.2">
      <c r="D25" s="6" t="s">
        <v>27</v>
      </c>
      <c r="F25" s="13">
        <v>1224</v>
      </c>
      <c r="G25" s="13">
        <v>1153</v>
      </c>
      <c r="H25" s="13">
        <v>1529</v>
      </c>
      <c r="I25" s="13">
        <v>1517</v>
      </c>
      <c r="J25" s="13">
        <v>2182</v>
      </c>
      <c r="K25" s="13">
        <v>2400</v>
      </c>
      <c r="L25" s="13">
        <v>2026</v>
      </c>
      <c r="M25" s="13">
        <v>2031</v>
      </c>
      <c r="N25" s="13">
        <v>1931</v>
      </c>
      <c r="O25" s="13">
        <v>1823</v>
      </c>
      <c r="P25" s="13">
        <v>1493</v>
      </c>
      <c r="Q25" s="13">
        <v>486</v>
      </c>
      <c r="R25" s="13">
        <f>+F25+G25+H25+I25+J25+K25+L25+M25+N25+O25+P25+Q25</f>
        <v>19795</v>
      </c>
      <c r="S25" s="13"/>
    </row>
    <row r="26" spans="2:19" x14ac:dyDescent="0.2">
      <c r="D26" s="6" t="s">
        <v>28</v>
      </c>
      <c r="F26" s="13">
        <v>3025</v>
      </c>
      <c r="G26" s="13">
        <v>8181</v>
      </c>
      <c r="H26" s="13">
        <v>3454</v>
      </c>
      <c r="I26" s="13">
        <v>8287</v>
      </c>
      <c r="J26" s="13">
        <v>4645</v>
      </c>
      <c r="K26" s="13">
        <v>5332</v>
      </c>
      <c r="L26" s="13">
        <v>7501</v>
      </c>
      <c r="M26" s="13">
        <v>8923</v>
      </c>
      <c r="N26" s="13">
        <v>9417</v>
      </c>
      <c r="O26" s="13">
        <v>20385</v>
      </c>
      <c r="P26" s="13">
        <v>4076</v>
      </c>
      <c r="Q26" s="13">
        <v>2099</v>
      </c>
      <c r="R26" s="13">
        <f>+F26+G26+H26+I26+J26+K26+L26+M26+N26+O26+P26+Q26</f>
        <v>85325</v>
      </c>
      <c r="S26" s="13"/>
    </row>
    <row r="27" spans="2:19" x14ac:dyDescent="0.2"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2:19" ht="15" x14ac:dyDescent="0.25">
      <c r="C28" s="6" t="s">
        <v>29</v>
      </c>
      <c r="F28" s="20">
        <v>0</v>
      </c>
      <c r="G28" s="20">
        <v>91</v>
      </c>
      <c r="H28" s="20">
        <v>9</v>
      </c>
      <c r="I28" s="20">
        <v>105</v>
      </c>
      <c r="J28" s="20">
        <v>0</v>
      </c>
      <c r="K28" s="20">
        <v>44</v>
      </c>
      <c r="L28" s="20">
        <v>48</v>
      </c>
      <c r="M28" s="20">
        <v>3</v>
      </c>
      <c r="N28" s="20">
        <v>9</v>
      </c>
      <c r="O28" s="20">
        <v>4</v>
      </c>
      <c r="P28" s="20">
        <v>14</v>
      </c>
      <c r="Q28" s="20">
        <v>27</v>
      </c>
      <c r="R28" s="20">
        <f>+F28+G28+H28+I28+J28+K28+L28+M28+N28+O28+P28+Q28</f>
        <v>354</v>
      </c>
    </row>
    <row r="29" spans="2:19" x14ac:dyDescent="0.2"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2:19" ht="15" x14ac:dyDescent="0.25">
      <c r="B30" s="11" t="s">
        <v>30</v>
      </c>
      <c r="C30" s="11"/>
      <c r="D30" s="11"/>
      <c r="E30" s="11"/>
      <c r="F30" s="17">
        <f t="shared" ref="F30:R30" si="3">SUM(F32:F38)</f>
        <v>274792</v>
      </c>
      <c r="G30" s="17">
        <f t="shared" si="3"/>
        <v>335531.54000000004</v>
      </c>
      <c r="H30" s="17">
        <f t="shared" si="3"/>
        <v>407603</v>
      </c>
      <c r="I30" s="17">
        <f t="shared" si="3"/>
        <v>336346</v>
      </c>
      <c r="J30" s="17">
        <f t="shared" si="3"/>
        <v>456721</v>
      </c>
      <c r="K30" s="17">
        <f t="shared" si="3"/>
        <v>395430</v>
      </c>
      <c r="L30" s="17">
        <f t="shared" si="3"/>
        <v>377257</v>
      </c>
      <c r="M30" s="17">
        <f t="shared" si="3"/>
        <v>380188</v>
      </c>
      <c r="N30" s="17">
        <f t="shared" si="3"/>
        <v>412361</v>
      </c>
      <c r="O30" s="17">
        <f t="shared" si="3"/>
        <v>317379</v>
      </c>
      <c r="P30" s="17">
        <f t="shared" si="3"/>
        <v>412715</v>
      </c>
      <c r="Q30" s="17">
        <f t="shared" si="3"/>
        <v>569315</v>
      </c>
      <c r="R30" s="17">
        <f t="shared" si="3"/>
        <v>4675638.54</v>
      </c>
    </row>
    <row r="31" spans="2:19" ht="8.25" customHeight="1" x14ac:dyDescent="0.2"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2:19" x14ac:dyDescent="0.2">
      <c r="D32" s="6" t="s">
        <v>31</v>
      </c>
      <c r="F32" s="13">
        <v>64119</v>
      </c>
      <c r="G32" s="13">
        <v>72280</v>
      </c>
      <c r="H32" s="13">
        <v>70474</v>
      </c>
      <c r="I32" s="13">
        <v>91942</v>
      </c>
      <c r="J32" s="13">
        <v>76503</v>
      </c>
      <c r="K32" s="13">
        <v>73180</v>
      </c>
      <c r="L32" s="13">
        <v>66621</v>
      </c>
      <c r="M32" s="13">
        <v>81710</v>
      </c>
      <c r="N32" s="13">
        <v>66906</v>
      </c>
      <c r="O32" s="13">
        <v>65099</v>
      </c>
      <c r="P32" s="13">
        <v>67208</v>
      </c>
      <c r="Q32" s="13">
        <v>96656</v>
      </c>
      <c r="R32" s="13">
        <f t="shared" ref="R32:R38" si="4">+F32+G32+H32+I32+J32+K32+L32+M32+N32+O32+P32+Q32</f>
        <v>892698</v>
      </c>
    </row>
    <row r="33" spans="2:18" x14ac:dyDescent="0.2">
      <c r="D33" s="6" t="s">
        <v>32</v>
      </c>
      <c r="F33" s="13">
        <v>47024</v>
      </c>
      <c r="G33" s="13">
        <v>31166</v>
      </c>
      <c r="H33" s="13">
        <v>47666</v>
      </c>
      <c r="I33" s="13">
        <v>23819</v>
      </c>
      <c r="J33" s="13">
        <v>28933</v>
      </c>
      <c r="K33" s="13">
        <v>29925</v>
      </c>
      <c r="L33" s="13">
        <v>59026</v>
      </c>
      <c r="M33" s="13">
        <v>23932</v>
      </c>
      <c r="N33" s="13">
        <v>47857</v>
      </c>
      <c r="O33" s="13">
        <v>31536</v>
      </c>
      <c r="P33" s="13">
        <v>31221</v>
      </c>
      <c r="Q33" s="13">
        <v>27327</v>
      </c>
      <c r="R33" s="13">
        <f t="shared" si="4"/>
        <v>429432</v>
      </c>
    </row>
    <row r="34" spans="2:18" x14ac:dyDescent="0.2">
      <c r="D34" s="6" t="s">
        <v>33</v>
      </c>
      <c r="F34" s="13">
        <f t="shared" ref="F34:P34" si="5">F13+F14+F18</f>
        <v>0</v>
      </c>
      <c r="G34" s="13">
        <f t="shared" si="5"/>
        <v>6670</v>
      </c>
      <c r="H34" s="13">
        <f t="shared" si="5"/>
        <v>30</v>
      </c>
      <c r="I34" s="13">
        <f t="shared" si="5"/>
        <v>2690</v>
      </c>
      <c r="J34" s="13">
        <f t="shared" si="5"/>
        <v>3100</v>
      </c>
      <c r="K34" s="13">
        <f t="shared" si="5"/>
        <v>3124</v>
      </c>
      <c r="L34" s="13">
        <f t="shared" si="5"/>
        <v>3667</v>
      </c>
      <c r="M34" s="13">
        <f t="shared" si="5"/>
        <v>5174</v>
      </c>
      <c r="N34" s="13">
        <f t="shared" si="5"/>
        <v>5127</v>
      </c>
      <c r="O34" s="13">
        <f t="shared" si="5"/>
        <v>2533</v>
      </c>
      <c r="P34" s="13">
        <f t="shared" si="5"/>
        <v>524</v>
      </c>
      <c r="Q34" s="13">
        <v>4070</v>
      </c>
      <c r="R34" s="13">
        <f t="shared" si="4"/>
        <v>36709</v>
      </c>
    </row>
    <row r="35" spans="2:18" ht="17.25" customHeight="1" x14ac:dyDescent="0.2">
      <c r="D35" s="6" t="s">
        <v>66</v>
      </c>
      <c r="F35" s="13">
        <v>11</v>
      </c>
      <c r="G35" s="13">
        <v>7570</v>
      </c>
      <c r="H35" s="13">
        <v>3838</v>
      </c>
      <c r="I35" s="13">
        <v>23836</v>
      </c>
      <c r="J35" s="13">
        <v>44687</v>
      </c>
      <c r="K35" s="13">
        <v>8340</v>
      </c>
      <c r="L35" s="13">
        <v>6079</v>
      </c>
      <c r="M35" s="13">
        <v>50354</v>
      </c>
      <c r="N35" s="13">
        <v>9160</v>
      </c>
      <c r="O35" s="13">
        <v>5206</v>
      </c>
      <c r="P35" s="13">
        <v>12330</v>
      </c>
      <c r="Q35" s="13">
        <v>21356</v>
      </c>
      <c r="R35" s="13">
        <f t="shared" si="4"/>
        <v>192767</v>
      </c>
    </row>
    <row r="36" spans="2:18" x14ac:dyDescent="0.2">
      <c r="D36" s="6" t="s">
        <v>35</v>
      </c>
      <c r="F36" s="13">
        <v>0</v>
      </c>
      <c r="G36" s="13">
        <v>45297</v>
      </c>
      <c r="H36" s="13">
        <v>39</v>
      </c>
      <c r="I36" s="13">
        <v>52</v>
      </c>
      <c r="J36" s="13">
        <v>18</v>
      </c>
      <c r="K36" s="13">
        <v>552</v>
      </c>
      <c r="L36" s="13">
        <v>18</v>
      </c>
      <c r="M36" s="13">
        <v>216</v>
      </c>
      <c r="N36" s="13">
        <v>523</v>
      </c>
      <c r="O36" s="13">
        <v>218</v>
      </c>
      <c r="P36" s="13">
        <v>149</v>
      </c>
      <c r="Q36" s="13">
        <v>438</v>
      </c>
      <c r="R36" s="13">
        <f t="shared" si="4"/>
        <v>47520</v>
      </c>
    </row>
    <row r="37" spans="2:18" x14ac:dyDescent="0.2">
      <c r="D37" s="6" t="s">
        <v>36</v>
      </c>
      <c r="F37" s="13">
        <v>0</v>
      </c>
      <c r="G37" s="13">
        <v>18.54</v>
      </c>
      <c r="H37" s="13">
        <v>5669</v>
      </c>
      <c r="I37" s="13">
        <v>-3999</v>
      </c>
      <c r="J37" s="13">
        <v>4807</v>
      </c>
      <c r="K37" s="13">
        <v>295</v>
      </c>
      <c r="L37" s="13">
        <v>-197</v>
      </c>
      <c r="M37" s="13">
        <v>4754</v>
      </c>
      <c r="N37" s="13">
        <v>677</v>
      </c>
      <c r="O37" s="13">
        <v>669</v>
      </c>
      <c r="P37" s="13">
        <v>4557</v>
      </c>
      <c r="Q37" s="13">
        <v>626</v>
      </c>
      <c r="R37" s="13">
        <f t="shared" si="4"/>
        <v>17876.54</v>
      </c>
    </row>
    <row r="38" spans="2:18" ht="16.5" x14ac:dyDescent="0.2">
      <c r="D38" s="6" t="s">
        <v>67</v>
      </c>
      <c r="F38" s="13">
        <f>141166+22472-F34</f>
        <v>163638</v>
      </c>
      <c r="G38" s="13">
        <f>159911+19289-G34</f>
        <v>172530</v>
      </c>
      <c r="H38" s="13">
        <f>272062+7855-H34</f>
        <v>279887</v>
      </c>
      <c r="I38" s="13">
        <f>180468+20228-I34</f>
        <v>198006</v>
      </c>
      <c r="J38" s="13">
        <f>280680+21093-J34</f>
        <v>298673</v>
      </c>
      <c r="K38" s="13">
        <f>256538+26600-K34</f>
        <v>280014</v>
      </c>
      <c r="L38" s="13">
        <f>220369+25341-L34</f>
        <v>242043</v>
      </c>
      <c r="M38" s="13">
        <f>193953+25269-M34</f>
        <v>214048</v>
      </c>
      <c r="N38" s="13">
        <f>264909+22329-N34</f>
        <v>282111</v>
      </c>
      <c r="O38" s="13">
        <f>190992+23659-O34</f>
        <v>212118</v>
      </c>
      <c r="P38" s="13">
        <f>277228+20022-P34</f>
        <v>296726</v>
      </c>
      <c r="Q38" s="13">
        <f>395772+27140-Q34</f>
        <v>418842</v>
      </c>
      <c r="R38" s="13">
        <f t="shared" si="4"/>
        <v>3058636</v>
      </c>
    </row>
    <row r="39" spans="2:18" x14ac:dyDescent="0.2"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ht="15" x14ac:dyDescent="0.25">
      <c r="B40" s="11" t="s">
        <v>38</v>
      </c>
      <c r="C40" s="11"/>
      <c r="D40" s="11"/>
      <c r="E40" s="11"/>
      <c r="F40" s="20">
        <f t="shared" ref="F40:R40" si="6">+F9-F30</f>
        <v>-14060</v>
      </c>
      <c r="G40" s="20">
        <f t="shared" si="6"/>
        <v>-115969.54000000004</v>
      </c>
      <c r="H40" s="20">
        <f t="shared" si="6"/>
        <v>-191442</v>
      </c>
      <c r="I40" s="20">
        <f t="shared" si="6"/>
        <v>-44426</v>
      </c>
      <c r="J40" s="20">
        <f t="shared" si="6"/>
        <v>-200306.48</v>
      </c>
      <c r="K40" s="20">
        <f t="shared" si="6"/>
        <v>-149862</v>
      </c>
      <c r="L40" s="20">
        <f t="shared" si="6"/>
        <v>-121186</v>
      </c>
      <c r="M40" s="20">
        <f t="shared" si="6"/>
        <v>-120936</v>
      </c>
      <c r="N40" s="20">
        <f t="shared" si="6"/>
        <v>-180916</v>
      </c>
      <c r="O40" s="20">
        <f t="shared" si="6"/>
        <v>-64290</v>
      </c>
      <c r="P40" s="20">
        <f t="shared" si="6"/>
        <v>-128701</v>
      </c>
      <c r="Q40" s="20">
        <f t="shared" si="6"/>
        <v>-338005</v>
      </c>
      <c r="R40" s="20">
        <f t="shared" si="6"/>
        <v>-1670100.02</v>
      </c>
    </row>
    <row r="41" spans="2:18" x14ac:dyDescent="0.2"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2:18" ht="15" x14ac:dyDescent="0.25">
      <c r="B42" s="11" t="s">
        <v>39</v>
      </c>
      <c r="C42" s="11"/>
      <c r="D42" s="11"/>
      <c r="E42" s="11"/>
      <c r="F42" s="17">
        <f t="shared" ref="F42:R42" si="7">+F43+F47</f>
        <v>587435</v>
      </c>
      <c r="G42" s="17">
        <f t="shared" si="7"/>
        <v>51781</v>
      </c>
      <c r="H42" s="17">
        <f t="shared" si="7"/>
        <v>547735</v>
      </c>
      <c r="I42" s="17">
        <f t="shared" si="7"/>
        <v>269647</v>
      </c>
      <c r="J42" s="17">
        <f t="shared" si="7"/>
        <v>103322</v>
      </c>
      <c r="K42" s="17">
        <f t="shared" si="7"/>
        <v>159903</v>
      </c>
      <c r="L42" s="17">
        <f t="shared" si="7"/>
        <v>335638</v>
      </c>
      <c r="M42" s="17">
        <f t="shared" si="7"/>
        <v>66586</v>
      </c>
      <c r="N42" s="17">
        <f t="shared" si="7"/>
        <v>208513</v>
      </c>
      <c r="O42" s="17">
        <f t="shared" si="7"/>
        <v>140752</v>
      </c>
      <c r="P42" s="17">
        <f t="shared" si="7"/>
        <v>19647</v>
      </c>
      <c r="Q42" s="17">
        <f t="shared" si="7"/>
        <v>-238778</v>
      </c>
      <c r="R42" s="17">
        <f t="shared" si="7"/>
        <v>2252181</v>
      </c>
    </row>
    <row r="43" spans="2:18" x14ac:dyDescent="0.2">
      <c r="C43" s="6" t="s">
        <v>40</v>
      </c>
      <c r="F43" s="21">
        <f t="shared" ref="F43:R43" si="8">+F44-F45</f>
        <v>-93326</v>
      </c>
      <c r="G43" s="21">
        <f t="shared" si="8"/>
        <v>14585</v>
      </c>
      <c r="H43" s="21">
        <f t="shared" si="8"/>
        <v>15391</v>
      </c>
      <c r="I43" s="21">
        <f t="shared" si="8"/>
        <v>163497</v>
      </c>
      <c r="J43" s="21">
        <f t="shared" si="8"/>
        <v>-285</v>
      </c>
      <c r="K43" s="21">
        <f t="shared" si="8"/>
        <v>25062</v>
      </c>
      <c r="L43" s="21">
        <f t="shared" si="8"/>
        <v>155278</v>
      </c>
      <c r="M43" s="21">
        <f t="shared" si="8"/>
        <v>-34210</v>
      </c>
      <c r="N43" s="21">
        <f t="shared" si="8"/>
        <v>41563</v>
      </c>
      <c r="O43" s="21">
        <f t="shared" si="8"/>
        <v>7225</v>
      </c>
      <c r="P43" s="21">
        <f t="shared" si="8"/>
        <v>3145</v>
      </c>
      <c r="Q43" s="21">
        <f t="shared" si="8"/>
        <v>33556</v>
      </c>
      <c r="R43" s="21">
        <f t="shared" si="8"/>
        <v>331481</v>
      </c>
    </row>
    <row r="44" spans="2:18" x14ac:dyDescent="0.2">
      <c r="D44" s="6" t="s">
        <v>41</v>
      </c>
      <c r="F44" s="13">
        <v>29556</v>
      </c>
      <c r="G44" s="13">
        <v>16716</v>
      </c>
      <c r="H44" s="13">
        <v>33177</v>
      </c>
      <c r="I44" s="13">
        <v>165801</v>
      </c>
      <c r="J44" s="13">
        <v>7789</v>
      </c>
      <c r="K44" s="13">
        <v>31908</v>
      </c>
      <c r="L44" s="13">
        <v>156789</v>
      </c>
      <c r="M44" s="13">
        <v>16773</v>
      </c>
      <c r="N44" s="13">
        <v>48156</v>
      </c>
      <c r="O44" s="13">
        <v>12049</v>
      </c>
      <c r="P44" s="13">
        <v>10095</v>
      </c>
      <c r="Q44" s="13">
        <v>39859</v>
      </c>
      <c r="R44" s="13">
        <f>+F44+G44+H44+I44+J44+K44+L44+M44+N44+O44+P44+Q44</f>
        <v>568668</v>
      </c>
    </row>
    <row r="45" spans="2:18" x14ac:dyDescent="0.2">
      <c r="D45" s="6" t="s">
        <v>42</v>
      </c>
      <c r="F45" s="13">
        <v>122882</v>
      </c>
      <c r="G45" s="13">
        <v>2131</v>
      </c>
      <c r="H45" s="13">
        <v>17786</v>
      </c>
      <c r="I45" s="13">
        <v>2304</v>
      </c>
      <c r="J45" s="13">
        <v>8074</v>
      </c>
      <c r="K45" s="13">
        <v>6846</v>
      </c>
      <c r="L45" s="13">
        <v>1511</v>
      </c>
      <c r="M45" s="13">
        <v>50983</v>
      </c>
      <c r="N45" s="13">
        <v>6593</v>
      </c>
      <c r="O45" s="13">
        <v>4824</v>
      </c>
      <c r="P45" s="13">
        <v>6950</v>
      </c>
      <c r="Q45" s="13">
        <v>6303</v>
      </c>
      <c r="R45" s="13">
        <f>+F45+G45+H45+I45+J45+K45+L45+M45+N45+O45+P45+Q45</f>
        <v>237187</v>
      </c>
    </row>
    <row r="46" spans="2:18" x14ac:dyDescent="0.2"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2:18" ht="15" x14ac:dyDescent="0.25">
      <c r="C47" s="6" t="s">
        <v>43</v>
      </c>
      <c r="F47" s="17">
        <f t="shared" ref="F47:R47" si="9">+F48-F49</f>
        <v>680761</v>
      </c>
      <c r="G47" s="17">
        <f t="shared" si="9"/>
        <v>37196</v>
      </c>
      <c r="H47" s="17">
        <f t="shared" si="9"/>
        <v>532344</v>
      </c>
      <c r="I47" s="17">
        <f t="shared" si="9"/>
        <v>106150</v>
      </c>
      <c r="J47" s="17">
        <f t="shared" si="9"/>
        <v>103607</v>
      </c>
      <c r="K47" s="17">
        <f t="shared" si="9"/>
        <v>134841</v>
      </c>
      <c r="L47" s="17">
        <f t="shared" si="9"/>
        <v>180360</v>
      </c>
      <c r="M47" s="17">
        <f t="shared" si="9"/>
        <v>100796</v>
      </c>
      <c r="N47" s="17">
        <f t="shared" si="9"/>
        <v>166950</v>
      </c>
      <c r="O47" s="17">
        <f t="shared" si="9"/>
        <v>133527</v>
      </c>
      <c r="P47" s="17">
        <f t="shared" si="9"/>
        <v>16502</v>
      </c>
      <c r="Q47" s="17">
        <f t="shared" si="9"/>
        <v>-272334</v>
      </c>
      <c r="R47" s="17">
        <f t="shared" si="9"/>
        <v>1920700</v>
      </c>
    </row>
    <row r="48" spans="2:18" x14ac:dyDescent="0.2">
      <c r="D48" s="6" t="s">
        <v>44</v>
      </c>
      <c r="F48" s="13">
        <v>680761</v>
      </c>
      <c r="G48" s="13">
        <v>37196</v>
      </c>
      <c r="H48" s="13">
        <v>584122</v>
      </c>
      <c r="I48" s="13">
        <v>106150</v>
      </c>
      <c r="J48" s="13">
        <v>104400</v>
      </c>
      <c r="K48" s="13">
        <v>135290</v>
      </c>
      <c r="L48" s="13">
        <v>180360</v>
      </c>
      <c r="M48" s="13">
        <v>100967</v>
      </c>
      <c r="N48" s="13">
        <v>166950</v>
      </c>
      <c r="O48" s="13">
        <v>133733</v>
      </c>
      <c r="P48" s="13">
        <v>16600</v>
      </c>
      <c r="Q48" s="13">
        <v>-235975</v>
      </c>
      <c r="R48" s="13">
        <f>+F48+G48+H48+I48+J48+K48+L48+M48+N48+O48+P48+Q48</f>
        <v>2010554</v>
      </c>
    </row>
    <row r="49" spans="1:28" x14ac:dyDescent="0.2">
      <c r="D49" s="6" t="s">
        <v>45</v>
      </c>
      <c r="F49" s="18">
        <f t="shared" ref="F49:Q49" si="10">F50-F51</f>
        <v>0</v>
      </c>
      <c r="G49" s="18">
        <f t="shared" si="10"/>
        <v>0</v>
      </c>
      <c r="H49" s="18">
        <f t="shared" si="10"/>
        <v>51778</v>
      </c>
      <c r="I49" s="18">
        <f t="shared" si="10"/>
        <v>0</v>
      </c>
      <c r="J49" s="18">
        <f t="shared" si="10"/>
        <v>793</v>
      </c>
      <c r="K49" s="18">
        <f t="shared" si="10"/>
        <v>449</v>
      </c>
      <c r="L49" s="18">
        <f t="shared" si="10"/>
        <v>0</v>
      </c>
      <c r="M49" s="18">
        <f t="shared" si="10"/>
        <v>171</v>
      </c>
      <c r="N49" s="18">
        <f t="shared" si="10"/>
        <v>0</v>
      </c>
      <c r="O49" s="18">
        <f t="shared" si="10"/>
        <v>206</v>
      </c>
      <c r="P49" s="18">
        <f t="shared" si="10"/>
        <v>98</v>
      </c>
      <c r="Q49" s="18">
        <f t="shared" si="10"/>
        <v>36359</v>
      </c>
      <c r="R49" s="13">
        <f>+F49+G49+H49+I49+J49+K49+L49+M49+N49+O49+P49+Q49</f>
        <v>89854</v>
      </c>
    </row>
    <row r="50" spans="1:28" x14ac:dyDescent="0.2">
      <c r="E50" s="6" t="s">
        <v>68</v>
      </c>
      <c r="F50" s="13">
        <v>49893</v>
      </c>
      <c r="G50" s="13">
        <v>0</v>
      </c>
      <c r="H50" s="13">
        <v>202871</v>
      </c>
      <c r="I50" s="13">
        <v>38165</v>
      </c>
      <c r="J50" s="13">
        <v>793</v>
      </c>
      <c r="K50" s="13">
        <v>113424</v>
      </c>
      <c r="L50" s="13">
        <v>0</v>
      </c>
      <c r="M50" s="13">
        <v>171</v>
      </c>
      <c r="N50" s="13">
        <v>0</v>
      </c>
      <c r="O50" s="13">
        <v>52706</v>
      </c>
      <c r="P50" s="13">
        <v>43068</v>
      </c>
      <c r="Q50" s="13">
        <v>36359</v>
      </c>
      <c r="R50" s="13">
        <f>+F50+G50+H50+I50+J50+K50+L50+M50+N50+O50+P50+Q50</f>
        <v>537450</v>
      </c>
    </row>
    <row r="51" spans="1:28" ht="16.5" x14ac:dyDescent="0.2">
      <c r="E51" s="22" t="s">
        <v>69</v>
      </c>
      <c r="F51" s="13">
        <v>49893</v>
      </c>
      <c r="G51" s="13">
        <v>0</v>
      </c>
      <c r="H51" s="13">
        <v>151093</v>
      </c>
      <c r="I51" s="13">
        <v>38165</v>
      </c>
      <c r="J51" s="13">
        <v>0</v>
      </c>
      <c r="K51" s="13">
        <v>112975</v>
      </c>
      <c r="L51" s="13">
        <v>0</v>
      </c>
      <c r="M51" s="13">
        <v>0</v>
      </c>
      <c r="N51" s="13">
        <v>0</v>
      </c>
      <c r="O51" s="13">
        <v>52500</v>
      </c>
      <c r="P51" s="13">
        <v>42970</v>
      </c>
      <c r="Q51" s="13">
        <v>0</v>
      </c>
      <c r="R51" s="13">
        <f>+F51+G51+H51+I51+J51+K51+L51+M51+N51+O51+P51+Q51</f>
        <v>447596</v>
      </c>
    </row>
    <row r="52" spans="1:28" ht="14.25" customHeight="1" x14ac:dyDescent="0.2"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28" s="11" customFormat="1" ht="16.5" customHeight="1" x14ac:dyDescent="0.25">
      <c r="B53" s="11" t="s">
        <v>47</v>
      </c>
      <c r="F53" s="20">
        <v>510092.79999999999</v>
      </c>
      <c r="G53" s="20">
        <v>-65167.8</v>
      </c>
      <c r="H53" s="20">
        <v>157553</v>
      </c>
      <c r="I53" s="20">
        <v>195775</v>
      </c>
      <c r="J53" s="20">
        <v>-97243</v>
      </c>
      <c r="K53" s="20">
        <v>-124467</v>
      </c>
      <c r="L53" s="20">
        <v>208254</v>
      </c>
      <c r="M53" s="20">
        <v>-52123</v>
      </c>
      <c r="N53" s="20">
        <v>28240</v>
      </c>
      <c r="O53" s="20">
        <v>12069</v>
      </c>
      <c r="P53" s="20">
        <v>-129661</v>
      </c>
      <c r="Q53" s="20">
        <v>-577242</v>
      </c>
      <c r="R53" s="20">
        <f>+F53+G53+H53+I53+J53+K53+L53+M53+N53+O53+P53+Q53</f>
        <v>66080</v>
      </c>
    </row>
    <row r="54" spans="1:28" x14ac:dyDescent="0.2">
      <c r="A54" s="12"/>
      <c r="B54" s="12"/>
      <c r="C54" s="12"/>
      <c r="D54" s="12"/>
      <c r="E54" s="12"/>
      <c r="F54" s="13"/>
    </row>
    <row r="55" spans="1:28" s="34" customFormat="1" ht="12.75" x14ac:dyDescent="0.2">
      <c r="B55" s="35" t="s">
        <v>48</v>
      </c>
    </row>
    <row r="56" spans="1:28" s="34" customFormat="1" ht="50.25" customHeight="1" x14ac:dyDescent="0.2">
      <c r="B56" s="35"/>
      <c r="C56" s="180" t="s">
        <v>70</v>
      </c>
      <c r="D56" s="180"/>
      <c r="E56" s="180"/>
      <c r="F56" s="180"/>
      <c r="G56" s="180"/>
      <c r="H56" s="180"/>
      <c r="I56" s="180"/>
      <c r="J56" s="180"/>
    </row>
    <row r="57" spans="1:28" s="34" customFormat="1" ht="12.75" customHeight="1" x14ac:dyDescent="0.2">
      <c r="A57" s="36" t="s">
        <v>50</v>
      </c>
      <c r="B57" s="181" t="s">
        <v>71</v>
      </c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3"/>
      <c r="P57" s="3"/>
      <c r="Q57" s="3"/>
    </row>
    <row r="58" spans="1:28" s="34" customFormat="1" ht="27.75" customHeight="1" x14ac:dyDescent="0.2">
      <c r="A58" s="37" t="s">
        <v>62</v>
      </c>
      <c r="B58" s="181" t="s">
        <v>72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38"/>
      <c r="O58" s="38"/>
      <c r="P58" s="38"/>
      <c r="Q58" s="38"/>
      <c r="R58" s="38"/>
    </row>
    <row r="59" spans="1:28" s="39" customFormat="1" ht="12.75" x14ac:dyDescent="0.2">
      <c r="A59" s="36" t="s">
        <v>73</v>
      </c>
      <c r="B59" s="39" t="s">
        <v>51</v>
      </c>
      <c r="E59" s="40"/>
      <c r="I59" s="41"/>
      <c r="J59" s="41"/>
      <c r="K59" s="41"/>
      <c r="L59" s="41"/>
      <c r="M59" s="41"/>
      <c r="N59" s="41"/>
      <c r="O59" s="41"/>
      <c r="P59" s="41"/>
      <c r="Q59" s="41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</row>
    <row r="60" spans="1:28" s="39" customFormat="1" ht="9" customHeight="1" x14ac:dyDescent="0.2">
      <c r="A60" s="36"/>
      <c r="B60" s="34"/>
      <c r="C60" s="42"/>
      <c r="D60" s="42"/>
      <c r="E60" s="42"/>
      <c r="F60" s="34"/>
      <c r="G60" s="34"/>
      <c r="H60" s="34"/>
      <c r="I60" s="41"/>
      <c r="J60" s="41"/>
      <c r="K60" s="41"/>
      <c r="L60" s="41"/>
      <c r="M60" s="41"/>
      <c r="N60" s="41"/>
      <c r="O60" s="41"/>
      <c r="P60" s="41"/>
      <c r="Q60" s="41"/>
      <c r="R60" s="43"/>
      <c r="S60" s="43"/>
      <c r="T60" s="43"/>
    </row>
    <row r="61" spans="1:28" s="34" customFormat="1" ht="9" customHeight="1" x14ac:dyDescent="0.2">
      <c r="B61" s="44"/>
      <c r="C61" s="44"/>
      <c r="D61" s="44"/>
      <c r="E61" s="44"/>
    </row>
    <row r="62" spans="1:28" s="34" customFormat="1" ht="12.75" x14ac:dyDescent="0.2">
      <c r="A62" s="34" t="s">
        <v>52</v>
      </c>
    </row>
    <row r="63" spans="1:28" ht="15" x14ac:dyDescent="0.2">
      <c r="A63" s="31"/>
      <c r="B63" s="45"/>
      <c r="C63" s="33"/>
      <c r="D63" s="33"/>
      <c r="E63" s="33"/>
    </row>
    <row r="64" spans="1:28" x14ac:dyDescent="0.2">
      <c r="A64" s="10"/>
    </row>
    <row r="65" spans="1:1" x14ac:dyDescent="0.2">
      <c r="A65" s="16"/>
    </row>
    <row r="68" spans="1:1" x14ac:dyDescent="0.2">
      <c r="A68" s="46"/>
    </row>
  </sheetData>
  <mergeCells count="4">
    <mergeCell ref="A7:E7"/>
    <mergeCell ref="C56:J56"/>
    <mergeCell ref="B57:N57"/>
    <mergeCell ref="B58:M58"/>
  </mergeCells>
  <printOptions horizontalCentered="1"/>
  <pageMargins left="0" right="0" top="0.86597222222222203" bottom="0" header="0" footer="0.511811023622047"/>
  <pageSetup paperSize="9" orientation="portrait" horizontalDpi="300" verticalDpi="300"/>
  <headerFooter>
    <oddHeader>&amp;C&amp;"Arial,Bold"BUREAU OF THE TREASURY
&amp;"Arial,Italic"&amp;9 Statistical Data Analysis Division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62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R40" sqref="R40"/>
    </sheetView>
  </sheetViews>
  <sheetFormatPr defaultColWidth="9.140625" defaultRowHeight="14.25" x14ac:dyDescent="0.2"/>
  <cols>
    <col min="1" max="1" width="2.28515625" style="6" customWidth="1"/>
    <col min="2" max="2" width="1.5703125" style="6" customWidth="1"/>
    <col min="3" max="3" width="1.85546875" style="6" customWidth="1"/>
    <col min="4" max="4" width="2.140625" style="6" customWidth="1"/>
    <col min="5" max="5" width="31.140625" style="6" customWidth="1"/>
    <col min="6" max="18" width="12.5703125" style="6" customWidth="1"/>
    <col min="19" max="19" width="9.85546875" style="6" customWidth="1"/>
    <col min="20" max="1024" width="9.140625" style="6"/>
  </cols>
  <sheetData>
    <row r="1" spans="1:18" ht="15" x14ac:dyDescent="0.25">
      <c r="A1" s="7" t="s">
        <v>53</v>
      </c>
      <c r="B1" s="7"/>
      <c r="C1" s="7"/>
      <c r="D1" s="7"/>
      <c r="E1" s="7"/>
      <c r="F1" s="47"/>
    </row>
    <row r="2" spans="1:18" ht="15" x14ac:dyDescent="0.25">
      <c r="A2" s="7" t="s">
        <v>74</v>
      </c>
      <c r="B2" s="7"/>
      <c r="C2" s="7"/>
      <c r="D2" s="7"/>
      <c r="E2" s="7"/>
      <c r="F2" s="47"/>
    </row>
    <row r="3" spans="1:18" x14ac:dyDescent="0.2">
      <c r="A3" s="8" t="s">
        <v>2</v>
      </c>
      <c r="B3" s="8"/>
      <c r="C3" s="8"/>
      <c r="D3" s="8"/>
      <c r="E3" s="8"/>
      <c r="F3" s="48"/>
    </row>
    <row r="4" spans="1:18" x14ac:dyDescent="0.2">
      <c r="A4" s="9" t="s">
        <v>55</v>
      </c>
      <c r="B4" s="8"/>
      <c r="F4" s="48"/>
    </row>
    <row r="5" spans="1:18" ht="6" customHeight="1" x14ac:dyDescent="0.2">
      <c r="F5" s="48"/>
    </row>
    <row r="6" spans="1:18" s="10" customFormat="1" ht="19.5" customHeight="1" x14ac:dyDescent="0.2">
      <c r="A6" s="175" t="s">
        <v>3</v>
      </c>
      <c r="B6" s="175"/>
      <c r="C6" s="175"/>
      <c r="D6" s="175"/>
      <c r="E6" s="175"/>
      <c r="F6" s="5" t="s">
        <v>4</v>
      </c>
      <c r="G6" s="5" t="s">
        <v>5</v>
      </c>
      <c r="H6" s="5" t="s">
        <v>75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65</v>
      </c>
      <c r="O6" s="5" t="s">
        <v>13</v>
      </c>
      <c r="P6" s="5" t="s">
        <v>56</v>
      </c>
      <c r="Q6" s="5" t="s">
        <v>57</v>
      </c>
      <c r="R6" s="5" t="s">
        <v>14</v>
      </c>
    </row>
    <row r="8" spans="1:18" ht="15" x14ac:dyDescent="0.25">
      <c r="B8" s="11" t="s">
        <v>15</v>
      </c>
      <c r="C8" s="11"/>
      <c r="D8" s="11"/>
      <c r="E8" s="11"/>
      <c r="F8" s="17">
        <f t="shared" ref="F8:R8" si="0">F9+F19+F26</f>
        <v>294638</v>
      </c>
      <c r="G8" s="17">
        <f t="shared" si="0"/>
        <v>206835</v>
      </c>
      <c r="H8" s="17">
        <f t="shared" si="0"/>
        <v>261599</v>
      </c>
      <c r="I8" s="17">
        <f t="shared" si="0"/>
        <v>187776</v>
      </c>
      <c r="J8" s="17">
        <f t="shared" si="0"/>
        <v>151493</v>
      </c>
      <c r="K8" s="17">
        <f t="shared" si="0"/>
        <v>350977</v>
      </c>
      <c r="L8" s="17">
        <f t="shared" si="0"/>
        <v>234468</v>
      </c>
      <c r="M8" s="17">
        <f t="shared" si="0"/>
        <v>243232</v>
      </c>
      <c r="N8" s="17">
        <f t="shared" si="0"/>
        <v>212414.83</v>
      </c>
      <c r="O8" s="17">
        <f t="shared" si="0"/>
        <v>228206</v>
      </c>
      <c r="P8" s="17">
        <f t="shared" si="0"/>
        <v>245772</v>
      </c>
      <c r="Q8" s="17">
        <f t="shared" si="0"/>
        <v>238548</v>
      </c>
      <c r="R8" s="17">
        <f t="shared" si="0"/>
        <v>2855958.83</v>
      </c>
    </row>
    <row r="9" spans="1:18" x14ac:dyDescent="0.2">
      <c r="C9" s="6" t="s">
        <v>16</v>
      </c>
      <c r="F9" s="21">
        <f t="shared" ref="F9:R9" si="1">F10+F14+F17</f>
        <v>253758</v>
      </c>
      <c r="G9" s="21">
        <f t="shared" si="1"/>
        <v>189410</v>
      </c>
      <c r="H9" s="21">
        <f t="shared" si="1"/>
        <v>177487</v>
      </c>
      <c r="I9" s="21">
        <f t="shared" si="1"/>
        <v>124934</v>
      </c>
      <c r="J9" s="21">
        <f t="shared" si="1"/>
        <v>145515</v>
      </c>
      <c r="K9" s="21">
        <f t="shared" si="1"/>
        <v>326559</v>
      </c>
      <c r="L9" s="21">
        <f t="shared" si="1"/>
        <v>210384</v>
      </c>
      <c r="M9" s="21">
        <f t="shared" si="1"/>
        <v>233381</v>
      </c>
      <c r="N9" s="21">
        <f t="shared" si="1"/>
        <v>192776</v>
      </c>
      <c r="O9" s="21">
        <f t="shared" si="1"/>
        <v>204331</v>
      </c>
      <c r="P9" s="21">
        <f t="shared" si="1"/>
        <v>236537</v>
      </c>
      <c r="Q9" s="21">
        <f t="shared" si="1"/>
        <v>209349</v>
      </c>
      <c r="R9" s="21">
        <f t="shared" si="1"/>
        <v>2504421</v>
      </c>
    </row>
    <row r="10" spans="1:18" x14ac:dyDescent="0.2">
      <c r="D10" s="6" t="s">
        <v>17</v>
      </c>
      <c r="F10" s="49">
        <v>194889</v>
      </c>
      <c r="G10" s="49">
        <v>142216</v>
      </c>
      <c r="H10" s="49">
        <v>131687</v>
      </c>
      <c r="I10" s="49">
        <v>90505</v>
      </c>
      <c r="J10" s="49">
        <v>114434</v>
      </c>
      <c r="K10" s="49">
        <v>282666</v>
      </c>
      <c r="L10" s="49">
        <v>158991</v>
      </c>
      <c r="M10" s="49">
        <v>187932</v>
      </c>
      <c r="N10" s="49">
        <v>140605</v>
      </c>
      <c r="O10" s="49">
        <v>152072</v>
      </c>
      <c r="P10" s="49">
        <v>191672</v>
      </c>
      <c r="Q10" s="49">
        <v>163354</v>
      </c>
      <c r="R10" s="13">
        <f>SUM(F10:Q10)</f>
        <v>1951023</v>
      </c>
    </row>
    <row r="11" spans="1:18" x14ac:dyDescent="0.2">
      <c r="E11" s="10" t="s">
        <v>18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x14ac:dyDescent="0.2">
      <c r="E12" s="6" t="s">
        <v>19</v>
      </c>
      <c r="F12" s="13">
        <v>474</v>
      </c>
      <c r="G12" s="13">
        <v>708</v>
      </c>
      <c r="H12" s="13">
        <v>67</v>
      </c>
      <c r="I12" s="13">
        <v>0</v>
      </c>
      <c r="J12" s="13">
        <v>3368</v>
      </c>
      <c r="K12" s="50">
        <v>0</v>
      </c>
      <c r="L12" s="50">
        <v>3710</v>
      </c>
      <c r="M12" s="50">
        <v>4366</v>
      </c>
      <c r="N12" s="50">
        <v>0</v>
      </c>
      <c r="O12" s="50">
        <v>0</v>
      </c>
      <c r="P12" s="50">
        <v>2234</v>
      </c>
      <c r="Q12" s="50">
        <v>5590</v>
      </c>
      <c r="R12" s="13">
        <f>SUM(F12:Q12)</f>
        <v>20517</v>
      </c>
    </row>
    <row r="13" spans="1:18" x14ac:dyDescent="0.2">
      <c r="E13" s="6" t="s">
        <v>20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8">
        <v>68</v>
      </c>
      <c r="L13" s="18">
        <v>0</v>
      </c>
      <c r="M13" s="18">
        <v>1115</v>
      </c>
      <c r="N13" s="18">
        <v>3637</v>
      </c>
      <c r="O13" s="18">
        <v>62</v>
      </c>
      <c r="P13" s="18">
        <v>455</v>
      </c>
      <c r="Q13" s="18">
        <v>3088</v>
      </c>
      <c r="R13" s="13">
        <f>SUM(F13:Q13)</f>
        <v>8425</v>
      </c>
    </row>
    <row r="14" spans="1:18" x14ac:dyDescent="0.2">
      <c r="D14" s="6" t="s">
        <v>21</v>
      </c>
      <c r="F14" s="13">
        <v>55879</v>
      </c>
      <c r="G14" s="13">
        <v>44787</v>
      </c>
      <c r="H14" s="13">
        <v>44648</v>
      </c>
      <c r="I14" s="13">
        <v>34425</v>
      </c>
      <c r="J14" s="49">
        <v>30761</v>
      </c>
      <c r="K14" s="49">
        <v>42591</v>
      </c>
      <c r="L14" s="49">
        <v>49816</v>
      </c>
      <c r="M14" s="49">
        <v>44380</v>
      </c>
      <c r="N14" s="49">
        <v>50753</v>
      </c>
      <c r="O14" s="49">
        <v>50592</v>
      </c>
      <c r="P14" s="49">
        <v>43712</v>
      </c>
      <c r="Q14" s="49">
        <v>45343</v>
      </c>
      <c r="R14" s="13">
        <f>SUM(F14:Q14)</f>
        <v>537687</v>
      </c>
    </row>
    <row r="15" spans="1:18" x14ac:dyDescent="0.2">
      <c r="E15" s="10" t="s">
        <v>18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2">
      <c r="E16" s="6" t="s">
        <v>20</v>
      </c>
      <c r="F16" s="13">
        <v>58</v>
      </c>
      <c r="G16" s="13">
        <v>455</v>
      </c>
      <c r="H16" s="13">
        <v>209</v>
      </c>
      <c r="I16" s="13">
        <v>43</v>
      </c>
      <c r="J16" s="13">
        <v>384</v>
      </c>
      <c r="K16" s="13">
        <v>617</v>
      </c>
      <c r="L16" s="13">
        <v>103</v>
      </c>
      <c r="M16" s="13">
        <v>357</v>
      </c>
      <c r="N16" s="13">
        <v>0</v>
      </c>
      <c r="O16" s="13">
        <v>1370</v>
      </c>
      <c r="P16" s="13">
        <v>17</v>
      </c>
      <c r="Q16" s="13">
        <v>514</v>
      </c>
      <c r="R16" s="13">
        <f>SUM(F16:Q16)</f>
        <v>4127</v>
      </c>
    </row>
    <row r="17" spans="2:19" x14ac:dyDescent="0.2">
      <c r="D17" s="6" t="s">
        <v>76</v>
      </c>
      <c r="F17" s="13">
        <v>2990</v>
      </c>
      <c r="G17" s="13">
        <v>2407</v>
      </c>
      <c r="H17" s="13">
        <v>1152</v>
      </c>
      <c r="I17" s="13">
        <v>4</v>
      </c>
      <c r="J17" s="13">
        <v>320</v>
      </c>
      <c r="K17" s="13">
        <v>1302</v>
      </c>
      <c r="L17" s="13">
        <v>1577</v>
      </c>
      <c r="M17" s="13">
        <v>1069</v>
      </c>
      <c r="N17" s="13">
        <v>1418</v>
      </c>
      <c r="O17" s="13">
        <v>1667</v>
      </c>
      <c r="P17" s="13">
        <v>1153</v>
      </c>
      <c r="Q17" s="13">
        <v>652</v>
      </c>
      <c r="R17" s="13">
        <f>SUM(F17:Q17)</f>
        <v>15711</v>
      </c>
    </row>
    <row r="18" spans="2:19" x14ac:dyDescent="0.2"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 t="s">
        <v>58</v>
      </c>
    </row>
    <row r="19" spans="2:19" x14ac:dyDescent="0.2">
      <c r="C19" s="6" t="s">
        <v>23</v>
      </c>
      <c r="F19" s="21">
        <f t="shared" ref="F19:R19" si="2">SUM(F20:F24)</f>
        <v>40878</v>
      </c>
      <c r="G19" s="21">
        <f t="shared" si="2"/>
        <v>17383</v>
      </c>
      <c r="H19" s="21">
        <f t="shared" si="2"/>
        <v>84112</v>
      </c>
      <c r="I19" s="21">
        <f t="shared" si="2"/>
        <v>62842</v>
      </c>
      <c r="J19" s="21">
        <f t="shared" si="2"/>
        <v>5978</v>
      </c>
      <c r="K19" s="21">
        <f t="shared" si="2"/>
        <v>24417</v>
      </c>
      <c r="L19" s="21">
        <f t="shared" si="2"/>
        <v>24006</v>
      </c>
      <c r="M19" s="21">
        <f t="shared" si="2"/>
        <v>9749</v>
      </c>
      <c r="N19" s="21">
        <f t="shared" si="2"/>
        <v>19638</v>
      </c>
      <c r="O19" s="21">
        <f t="shared" si="2"/>
        <v>23871</v>
      </c>
      <c r="P19" s="21">
        <f t="shared" si="2"/>
        <v>9225</v>
      </c>
      <c r="Q19" s="21">
        <f t="shared" si="2"/>
        <v>29198</v>
      </c>
      <c r="R19" s="21">
        <f t="shared" si="2"/>
        <v>351297</v>
      </c>
    </row>
    <row r="20" spans="2:19" x14ac:dyDescent="0.2">
      <c r="D20" s="6" t="s">
        <v>24</v>
      </c>
      <c r="F20" s="13">
        <v>28391</v>
      </c>
      <c r="G20" s="13">
        <v>5853</v>
      </c>
      <c r="H20" s="13">
        <v>76968</v>
      </c>
      <c r="I20" s="13">
        <v>58338</v>
      </c>
      <c r="J20" s="13">
        <v>2389</v>
      </c>
      <c r="K20" s="13">
        <v>11306</v>
      </c>
      <c r="L20" s="13">
        <v>7648</v>
      </c>
      <c r="M20" s="13">
        <v>2052</v>
      </c>
      <c r="N20" s="13">
        <v>8630</v>
      </c>
      <c r="O20" s="13">
        <v>6905</v>
      </c>
      <c r="P20" s="13">
        <v>2824</v>
      </c>
      <c r="Q20" s="13">
        <v>8373</v>
      </c>
      <c r="R20" s="13">
        <f>SUM(F20:Q20)</f>
        <v>219677</v>
      </c>
    </row>
    <row r="21" spans="2:19" x14ac:dyDescent="0.2">
      <c r="D21" s="6" t="s">
        <v>77</v>
      </c>
      <c r="F21" s="13">
        <v>6118</v>
      </c>
      <c r="G21" s="13">
        <v>5715</v>
      </c>
      <c r="H21" s="13">
        <v>1756</v>
      </c>
      <c r="I21" s="13">
        <v>154</v>
      </c>
      <c r="J21" s="13">
        <v>0</v>
      </c>
      <c r="K21" s="13">
        <v>224</v>
      </c>
      <c r="L21" s="13">
        <v>4149</v>
      </c>
      <c r="M21" s="13">
        <v>758</v>
      </c>
      <c r="N21" s="13">
        <v>1452</v>
      </c>
      <c r="O21" s="13">
        <v>1018</v>
      </c>
      <c r="P21" s="13">
        <v>470</v>
      </c>
      <c r="Q21" s="13">
        <v>1293</v>
      </c>
      <c r="R21" s="13">
        <f>SUM(F21:Q21)</f>
        <v>23107</v>
      </c>
    </row>
    <row r="22" spans="2:19" x14ac:dyDescent="0.2">
      <c r="D22" s="6" t="s">
        <v>26</v>
      </c>
      <c r="F22" s="13">
        <v>103</v>
      </c>
      <c r="G22" s="13">
        <v>24</v>
      </c>
      <c r="H22" s="13">
        <v>0</v>
      </c>
      <c r="I22" s="13">
        <v>195</v>
      </c>
      <c r="J22" s="13">
        <v>0</v>
      </c>
      <c r="K22" s="13">
        <v>0</v>
      </c>
      <c r="L22" s="13">
        <v>0</v>
      </c>
      <c r="M22" s="13">
        <v>34</v>
      </c>
      <c r="N22" s="13">
        <v>5</v>
      </c>
      <c r="O22" s="13">
        <v>15</v>
      </c>
      <c r="P22" s="13">
        <v>5</v>
      </c>
      <c r="Q22" s="13">
        <v>94</v>
      </c>
      <c r="R22" s="13">
        <f>SUM(F22:Q22)</f>
        <v>475</v>
      </c>
    </row>
    <row r="23" spans="2:19" x14ac:dyDescent="0.2">
      <c r="D23" s="6" t="s">
        <v>27</v>
      </c>
      <c r="F23" s="13">
        <v>2035</v>
      </c>
      <c r="G23" s="13">
        <v>1989</v>
      </c>
      <c r="H23" s="13">
        <v>1822</v>
      </c>
      <c r="I23" s="13">
        <v>716</v>
      </c>
      <c r="J23" s="13">
        <v>439</v>
      </c>
      <c r="K23" s="13">
        <v>1903</v>
      </c>
      <c r="L23" s="13">
        <v>2464</v>
      </c>
      <c r="M23" s="13">
        <v>2028</v>
      </c>
      <c r="N23" s="13">
        <v>1926</v>
      </c>
      <c r="O23" s="13">
        <v>1398</v>
      </c>
      <c r="P23" s="13">
        <v>1282</v>
      </c>
      <c r="Q23" s="13">
        <v>1076</v>
      </c>
      <c r="R23" s="13">
        <f>SUM(F23:Q23)</f>
        <v>19078</v>
      </c>
      <c r="S23" s="13"/>
    </row>
    <row r="24" spans="2:19" x14ac:dyDescent="0.2">
      <c r="D24" s="6" t="s">
        <v>28</v>
      </c>
      <c r="F24" s="13">
        <v>4231</v>
      </c>
      <c r="G24" s="13">
        <v>3802</v>
      </c>
      <c r="H24" s="13">
        <v>3566</v>
      </c>
      <c r="I24" s="13">
        <v>3439</v>
      </c>
      <c r="J24" s="13">
        <v>3150</v>
      </c>
      <c r="K24" s="13">
        <v>10984</v>
      </c>
      <c r="L24" s="13">
        <v>9745</v>
      </c>
      <c r="M24" s="13">
        <v>4877</v>
      </c>
      <c r="N24" s="13">
        <v>7625</v>
      </c>
      <c r="O24" s="13">
        <v>14535</v>
      </c>
      <c r="P24" s="13">
        <v>4644</v>
      </c>
      <c r="Q24" s="13">
        <v>18362</v>
      </c>
      <c r="R24" s="13">
        <f>SUM(F24:Q24)</f>
        <v>88960</v>
      </c>
      <c r="S24" s="13"/>
    </row>
    <row r="25" spans="2:19" x14ac:dyDescent="0.2"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2:19" x14ac:dyDescent="0.2">
      <c r="C26" s="6" t="s">
        <v>29</v>
      </c>
      <c r="F26" s="13">
        <v>2</v>
      </c>
      <c r="G26" s="13">
        <v>42</v>
      </c>
      <c r="H26" s="13">
        <v>0</v>
      </c>
      <c r="I26" s="13">
        <v>0</v>
      </c>
      <c r="J26" s="13">
        <v>0</v>
      </c>
      <c r="K26" s="13">
        <v>1</v>
      </c>
      <c r="L26" s="13">
        <v>78</v>
      </c>
      <c r="M26" s="13">
        <v>102</v>
      </c>
      <c r="N26" s="13">
        <v>0.83</v>
      </c>
      <c r="O26" s="13">
        <v>4</v>
      </c>
      <c r="P26" s="13">
        <v>10</v>
      </c>
      <c r="Q26" s="13">
        <v>1</v>
      </c>
      <c r="R26" s="13">
        <f>SUM(F26:Q26)</f>
        <v>240.83</v>
      </c>
    </row>
    <row r="27" spans="2:19" x14ac:dyDescent="0.2">
      <c r="F27" s="13" t="s">
        <v>58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2:19" ht="15" x14ac:dyDescent="0.25">
      <c r="B28" s="11" t="s">
        <v>30</v>
      </c>
      <c r="C28" s="11"/>
      <c r="D28" s="11"/>
      <c r="E28" s="11"/>
      <c r="F28" s="17">
        <v>271593</v>
      </c>
      <c r="G28" s="17">
        <v>244430</v>
      </c>
      <c r="H28" s="17">
        <v>333208</v>
      </c>
      <c r="I28" s="17">
        <v>461657.17</v>
      </c>
      <c r="J28" s="17">
        <v>353629</v>
      </c>
      <c r="K28" s="17">
        <v>349211</v>
      </c>
      <c r="L28" s="17">
        <v>374676</v>
      </c>
      <c r="M28" s="17">
        <v>283306</v>
      </c>
      <c r="N28" s="17">
        <v>350940</v>
      </c>
      <c r="O28" s="17">
        <v>289568</v>
      </c>
      <c r="P28" s="17">
        <v>374050</v>
      </c>
      <c r="Q28" s="17">
        <v>541138</v>
      </c>
      <c r="R28" s="17">
        <v>4227406.17</v>
      </c>
    </row>
    <row r="29" spans="2:19" ht="8.25" customHeight="1" x14ac:dyDescent="0.2"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2:19" x14ac:dyDescent="0.2">
      <c r="D30" s="6" t="s">
        <v>31</v>
      </c>
      <c r="F30" s="13">
        <v>54975</v>
      </c>
      <c r="G30" s="13">
        <v>67325</v>
      </c>
      <c r="H30" s="13">
        <v>65325</v>
      </c>
      <c r="I30" s="13">
        <v>96795</v>
      </c>
      <c r="J30" s="13">
        <v>62382</v>
      </c>
      <c r="K30" s="13">
        <v>62417</v>
      </c>
      <c r="L30" s="13">
        <v>67054</v>
      </c>
      <c r="M30" s="13">
        <v>64213</v>
      </c>
      <c r="N30" s="13">
        <v>66247</v>
      </c>
      <c r="O30" s="13">
        <v>67011</v>
      </c>
      <c r="P30" s="13">
        <v>63072</v>
      </c>
      <c r="Q30" s="13">
        <v>67730</v>
      </c>
      <c r="R30" s="13">
        <v>804546</v>
      </c>
    </row>
    <row r="31" spans="2:19" x14ac:dyDescent="0.2">
      <c r="D31" s="6" t="s">
        <v>32</v>
      </c>
      <c r="F31" s="13">
        <v>61415</v>
      </c>
      <c r="G31" s="13">
        <v>15352</v>
      </c>
      <c r="H31" s="13">
        <v>43115</v>
      </c>
      <c r="I31" s="13">
        <v>21880.17</v>
      </c>
      <c r="J31" s="13">
        <v>18353</v>
      </c>
      <c r="K31" s="13">
        <v>27561</v>
      </c>
      <c r="L31" s="13">
        <v>59384</v>
      </c>
      <c r="M31" s="13">
        <v>22549</v>
      </c>
      <c r="N31" s="13">
        <v>43365</v>
      </c>
      <c r="O31" s="13">
        <v>22070</v>
      </c>
      <c r="P31" s="13">
        <v>20035</v>
      </c>
      <c r="Q31" s="13">
        <v>25333</v>
      </c>
      <c r="R31" s="13">
        <v>380412.17</v>
      </c>
    </row>
    <row r="32" spans="2:19" x14ac:dyDescent="0.2">
      <c r="D32" s="6" t="s">
        <v>33</v>
      </c>
      <c r="F32" s="13">
        <v>532</v>
      </c>
      <c r="G32" s="13">
        <v>1163</v>
      </c>
      <c r="H32" s="13">
        <v>276</v>
      </c>
      <c r="I32" s="13">
        <v>43</v>
      </c>
      <c r="J32" s="13">
        <v>3752</v>
      </c>
      <c r="K32" s="13">
        <v>685</v>
      </c>
      <c r="L32" s="13">
        <v>3813</v>
      </c>
      <c r="M32" s="13">
        <v>5838</v>
      </c>
      <c r="N32" s="13">
        <v>3637</v>
      </c>
      <c r="O32" s="13">
        <v>1432</v>
      </c>
      <c r="P32" s="13">
        <v>2706</v>
      </c>
      <c r="Q32" s="13">
        <v>9192</v>
      </c>
      <c r="R32" s="13">
        <v>33069</v>
      </c>
    </row>
    <row r="33" spans="2:19" ht="13.5" customHeight="1" x14ac:dyDescent="0.2">
      <c r="D33" s="6" t="s">
        <v>78</v>
      </c>
      <c r="F33" s="13">
        <v>0</v>
      </c>
      <c r="G33" s="13">
        <v>10488</v>
      </c>
      <c r="H33" s="13">
        <v>11952</v>
      </c>
      <c r="I33" s="13">
        <v>34416</v>
      </c>
      <c r="J33" s="13">
        <v>29799</v>
      </c>
      <c r="K33" s="13">
        <v>42033</v>
      </c>
      <c r="L33" s="13">
        <v>17934</v>
      </c>
      <c r="M33" s="13">
        <v>4988</v>
      </c>
      <c r="N33" s="13">
        <v>7153</v>
      </c>
      <c r="O33" s="13">
        <v>6311</v>
      </c>
      <c r="P33" s="13">
        <v>22783</v>
      </c>
      <c r="Q33" s="13">
        <v>41161</v>
      </c>
      <c r="R33" s="13">
        <v>229018</v>
      </c>
    </row>
    <row r="34" spans="2:19" x14ac:dyDescent="0.2">
      <c r="D34" s="6" t="s">
        <v>35</v>
      </c>
      <c r="F34" s="13">
        <v>0</v>
      </c>
      <c r="G34" s="13">
        <v>0</v>
      </c>
      <c r="H34" s="13">
        <v>0</v>
      </c>
      <c r="I34" s="13">
        <v>0</v>
      </c>
      <c r="J34" s="13">
        <v>474</v>
      </c>
      <c r="K34" s="13">
        <v>79</v>
      </c>
      <c r="L34" s="13">
        <v>232</v>
      </c>
      <c r="M34" s="13">
        <v>19</v>
      </c>
      <c r="N34" s="13">
        <v>561</v>
      </c>
      <c r="O34" s="13">
        <v>112</v>
      </c>
      <c r="P34" s="13">
        <v>10093</v>
      </c>
      <c r="Q34" s="13">
        <v>1240</v>
      </c>
      <c r="R34" s="13">
        <v>12810</v>
      </c>
    </row>
    <row r="35" spans="2:19" x14ac:dyDescent="0.2">
      <c r="D35" s="6" t="s">
        <v>79</v>
      </c>
      <c r="F35" s="13">
        <v>-203</v>
      </c>
      <c r="G35" s="13">
        <v>4024</v>
      </c>
      <c r="H35" s="13">
        <v>994</v>
      </c>
      <c r="I35" s="13">
        <v>173</v>
      </c>
      <c r="J35" s="13">
        <v>5594</v>
      </c>
      <c r="K35" s="13">
        <v>311</v>
      </c>
      <c r="L35" s="13">
        <v>1</v>
      </c>
      <c r="M35" s="13">
        <v>4710</v>
      </c>
      <c r="N35" s="13">
        <v>915</v>
      </c>
      <c r="O35" s="13">
        <v>-328</v>
      </c>
      <c r="P35" s="13">
        <v>9</v>
      </c>
      <c r="Q35" s="13">
        <v>5914</v>
      </c>
      <c r="R35" s="13">
        <v>22114</v>
      </c>
    </row>
    <row r="36" spans="2:19" x14ac:dyDescent="0.2">
      <c r="D36" s="6" t="s">
        <v>80</v>
      </c>
      <c r="F36" s="13">
        <v>154874</v>
      </c>
      <c r="G36" s="13">
        <v>146078</v>
      </c>
      <c r="H36" s="13">
        <v>211546</v>
      </c>
      <c r="I36" s="13">
        <v>308350</v>
      </c>
      <c r="J36" s="13">
        <v>233275</v>
      </c>
      <c r="K36" s="13">
        <v>216125</v>
      </c>
      <c r="L36" s="13">
        <v>226258</v>
      </c>
      <c r="M36" s="13">
        <v>180989</v>
      </c>
      <c r="N36" s="13">
        <v>229062</v>
      </c>
      <c r="O36" s="13">
        <v>192960</v>
      </c>
      <c r="P36" s="13">
        <v>255352</v>
      </c>
      <c r="Q36" s="13">
        <v>390568</v>
      </c>
      <c r="R36" s="13">
        <v>2745437</v>
      </c>
    </row>
    <row r="37" spans="2:19" x14ac:dyDescent="0.2">
      <c r="F37" s="21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 t="s">
        <v>58</v>
      </c>
    </row>
    <row r="38" spans="2:19" ht="15" x14ac:dyDescent="0.25">
      <c r="B38" s="11" t="s">
        <v>38</v>
      </c>
      <c r="C38" s="11"/>
      <c r="D38" s="11"/>
      <c r="E38" s="11"/>
      <c r="F38" s="20">
        <v>23045</v>
      </c>
      <c r="G38" s="20">
        <v>-37595</v>
      </c>
      <c r="H38" s="20">
        <v>-71609</v>
      </c>
      <c r="I38" s="20">
        <v>-273881.17</v>
      </c>
      <c r="J38" s="20">
        <v>-202136</v>
      </c>
      <c r="K38" s="20">
        <v>1766</v>
      </c>
      <c r="L38" s="20">
        <v>-140208</v>
      </c>
      <c r="M38" s="20">
        <v>-40074</v>
      </c>
      <c r="N38" s="20">
        <v>-138525.17000000001</v>
      </c>
      <c r="O38" s="20">
        <v>-61362</v>
      </c>
      <c r="P38" s="20">
        <v>-128278</v>
      </c>
      <c r="Q38" s="20">
        <v>-302590</v>
      </c>
      <c r="R38" s="20">
        <v>-1371447.34</v>
      </c>
    </row>
    <row r="39" spans="2:19" x14ac:dyDescent="0.2"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9" ht="15" x14ac:dyDescent="0.25">
      <c r="B40" s="11" t="s">
        <v>39</v>
      </c>
      <c r="C40" s="11"/>
      <c r="D40" s="11"/>
      <c r="E40" s="11"/>
      <c r="F40" s="17">
        <v>65684</v>
      </c>
      <c r="G40" s="17">
        <v>368951</v>
      </c>
      <c r="H40" s="17">
        <v>365977</v>
      </c>
      <c r="I40" s="17">
        <v>257481</v>
      </c>
      <c r="J40" s="17">
        <v>283527.89</v>
      </c>
      <c r="K40" s="17">
        <v>206401</v>
      </c>
      <c r="L40" s="17">
        <v>133005</v>
      </c>
      <c r="M40" s="17">
        <v>582717</v>
      </c>
      <c r="N40" s="17">
        <v>-215550</v>
      </c>
      <c r="O40" s="17">
        <v>658094</v>
      </c>
      <c r="P40" s="17">
        <v>117285</v>
      </c>
      <c r="Q40" s="17">
        <f>Q41+Q45</f>
        <v>-328493</v>
      </c>
      <c r="R40" s="17">
        <f>R41+R45</f>
        <v>2495079.89</v>
      </c>
    </row>
    <row r="41" spans="2:19" x14ac:dyDescent="0.2">
      <c r="C41" s="6" t="s">
        <v>40</v>
      </c>
      <c r="F41" s="21">
        <v>24518</v>
      </c>
      <c r="G41" s="21">
        <v>23925</v>
      </c>
      <c r="H41" s="21">
        <v>2873</v>
      </c>
      <c r="I41" s="21">
        <v>85672</v>
      </c>
      <c r="J41" s="21">
        <v>113017.89</v>
      </c>
      <c r="K41" s="21">
        <v>49991</v>
      </c>
      <c r="L41" s="21">
        <v>66168</v>
      </c>
      <c r="M41" s="21">
        <v>26482</v>
      </c>
      <c r="N41" s="21">
        <v>34433</v>
      </c>
      <c r="O41" s="21">
        <v>19380</v>
      </c>
      <c r="P41" s="21">
        <v>2450</v>
      </c>
      <c r="Q41" s="21">
        <v>151849</v>
      </c>
      <c r="R41" s="21">
        <v>600758.89</v>
      </c>
    </row>
    <row r="42" spans="2:19" x14ac:dyDescent="0.2">
      <c r="D42" s="6" t="s">
        <v>41</v>
      </c>
      <c r="F42" s="13">
        <v>64155</v>
      </c>
      <c r="G42" s="13">
        <v>73484</v>
      </c>
      <c r="H42" s="13">
        <v>9047</v>
      </c>
      <c r="I42" s="13">
        <v>90647</v>
      </c>
      <c r="J42" s="13">
        <v>119306.89</v>
      </c>
      <c r="K42" s="13">
        <v>56817</v>
      </c>
      <c r="L42" s="13">
        <v>67695</v>
      </c>
      <c r="M42" s="13">
        <v>28539</v>
      </c>
      <c r="N42" s="13">
        <v>40575</v>
      </c>
      <c r="O42" s="13">
        <v>24169</v>
      </c>
      <c r="P42" s="13">
        <v>9202</v>
      </c>
      <c r="Q42" s="13">
        <v>158775</v>
      </c>
      <c r="R42" s="13">
        <f>SUM(F42:Q42)</f>
        <v>742411.89</v>
      </c>
      <c r="S42" s="13" t="s">
        <v>58</v>
      </c>
    </row>
    <row r="43" spans="2:19" x14ac:dyDescent="0.2">
      <c r="D43" s="6" t="s">
        <v>42</v>
      </c>
      <c r="F43" s="13">
        <v>39637</v>
      </c>
      <c r="G43" s="13">
        <v>49559</v>
      </c>
      <c r="H43" s="13">
        <v>6174</v>
      </c>
      <c r="I43" s="13">
        <v>4975</v>
      </c>
      <c r="J43" s="13">
        <v>6289</v>
      </c>
      <c r="K43" s="18">
        <v>6826</v>
      </c>
      <c r="L43" s="18">
        <v>1527</v>
      </c>
      <c r="M43" s="18">
        <v>2057</v>
      </c>
      <c r="N43" s="18">
        <v>6142</v>
      </c>
      <c r="O43" s="18">
        <v>4789</v>
      </c>
      <c r="P43" s="18">
        <v>6752</v>
      </c>
      <c r="Q43" s="18">
        <v>6926</v>
      </c>
      <c r="R43" s="13">
        <f>SUM(F43:Q43)</f>
        <v>141653</v>
      </c>
    </row>
    <row r="44" spans="2:19" x14ac:dyDescent="0.2"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9" x14ac:dyDescent="0.2">
      <c r="C45" s="6" t="s">
        <v>43</v>
      </c>
      <c r="F45" s="21">
        <v>41166</v>
      </c>
      <c r="G45" s="21">
        <v>345026</v>
      </c>
      <c r="H45" s="21">
        <v>363104</v>
      </c>
      <c r="I45" s="21">
        <v>171809</v>
      </c>
      <c r="J45" s="21">
        <v>170510</v>
      </c>
      <c r="K45" s="21">
        <v>156410</v>
      </c>
      <c r="L45" s="21">
        <v>66837</v>
      </c>
      <c r="M45" s="21">
        <v>556235</v>
      </c>
      <c r="N45" s="21">
        <v>-249983</v>
      </c>
      <c r="O45" s="21">
        <v>638714</v>
      </c>
      <c r="P45" s="21">
        <v>114835</v>
      </c>
      <c r="Q45" s="21">
        <f>Q46-Q47</f>
        <v>-480342</v>
      </c>
      <c r="R45" s="21">
        <f>R46-R47</f>
        <v>1894321</v>
      </c>
    </row>
    <row r="46" spans="2:19" x14ac:dyDescent="0.2">
      <c r="D46" s="6" t="s">
        <v>44</v>
      </c>
      <c r="F46" s="13">
        <v>41166</v>
      </c>
      <c r="G46" s="13">
        <v>405762</v>
      </c>
      <c r="H46" s="13">
        <v>363104</v>
      </c>
      <c r="I46" s="13">
        <v>172100</v>
      </c>
      <c r="J46" s="13">
        <v>170510</v>
      </c>
      <c r="K46" s="13">
        <v>156410</v>
      </c>
      <c r="L46" s="13">
        <v>66837</v>
      </c>
      <c r="M46" s="13">
        <v>584374</v>
      </c>
      <c r="N46" s="13">
        <v>-249983</v>
      </c>
      <c r="O46" s="13">
        <v>639043</v>
      </c>
      <c r="P46" s="13">
        <v>114835</v>
      </c>
      <c r="Q46" s="13">
        <v>-465469</v>
      </c>
      <c r="R46" s="13">
        <v>1998689</v>
      </c>
      <c r="S46" s="13"/>
    </row>
    <row r="47" spans="2:19" x14ac:dyDescent="0.2">
      <c r="D47" s="6" t="s">
        <v>45</v>
      </c>
      <c r="F47" s="18">
        <v>0</v>
      </c>
      <c r="G47" s="18">
        <v>60736</v>
      </c>
      <c r="H47" s="18">
        <v>0</v>
      </c>
      <c r="I47" s="18">
        <v>291</v>
      </c>
      <c r="J47" s="18">
        <v>0</v>
      </c>
      <c r="K47" s="18">
        <v>0</v>
      </c>
      <c r="L47" s="18">
        <v>0</v>
      </c>
      <c r="M47" s="18">
        <v>28139</v>
      </c>
      <c r="N47" s="18">
        <v>0</v>
      </c>
      <c r="O47" s="18">
        <v>329</v>
      </c>
      <c r="P47" s="18">
        <v>0</v>
      </c>
      <c r="Q47" s="18">
        <v>14873</v>
      </c>
      <c r="R47" s="13">
        <f>SUM(F47:Q47)</f>
        <v>104368</v>
      </c>
      <c r="S47" s="13" t="s">
        <v>58</v>
      </c>
    </row>
    <row r="48" spans="2:19" x14ac:dyDescent="0.2">
      <c r="E48" s="6" t="s">
        <v>68</v>
      </c>
      <c r="F48" s="18">
        <v>45002</v>
      </c>
      <c r="G48" s="13">
        <v>79724</v>
      </c>
      <c r="H48" s="13">
        <v>0</v>
      </c>
      <c r="I48" s="13">
        <v>121485</v>
      </c>
      <c r="J48" s="13">
        <v>0</v>
      </c>
      <c r="K48" s="13">
        <v>0</v>
      </c>
      <c r="L48" s="13">
        <v>0</v>
      </c>
      <c r="M48" s="13">
        <v>127790</v>
      </c>
      <c r="N48" s="13">
        <v>24555</v>
      </c>
      <c r="O48" s="13">
        <v>329</v>
      </c>
      <c r="P48" s="13">
        <v>0</v>
      </c>
      <c r="Q48" s="13">
        <v>41516</v>
      </c>
      <c r="R48" s="13">
        <f>SUM(F48:Q48)</f>
        <v>440401</v>
      </c>
    </row>
    <row r="49" spans="1:27" x14ac:dyDescent="0.2">
      <c r="E49" s="22" t="s">
        <v>81</v>
      </c>
      <c r="F49" s="18">
        <v>45002</v>
      </c>
      <c r="G49" s="13">
        <v>18988</v>
      </c>
      <c r="H49" s="13">
        <v>0</v>
      </c>
      <c r="I49" s="13">
        <v>121194</v>
      </c>
      <c r="J49" s="13">
        <v>0</v>
      </c>
      <c r="K49" s="13">
        <v>0</v>
      </c>
      <c r="L49" s="13">
        <v>0</v>
      </c>
      <c r="M49" s="13">
        <v>99651</v>
      </c>
      <c r="N49" s="13">
        <v>24555</v>
      </c>
      <c r="O49" s="13">
        <v>0</v>
      </c>
      <c r="P49" s="13">
        <v>0</v>
      </c>
      <c r="Q49" s="13">
        <v>26643</v>
      </c>
      <c r="R49" s="13">
        <f>SUM(F49:Q49)</f>
        <v>336033</v>
      </c>
    </row>
    <row r="50" spans="1:27" ht="14.25" customHeight="1" x14ac:dyDescent="0.2"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27" s="11" customFormat="1" ht="16.5" customHeight="1" x14ac:dyDescent="0.25">
      <c r="B51" s="11" t="s">
        <v>47</v>
      </c>
      <c r="F51" s="51">
        <v>69793.259999999995</v>
      </c>
      <c r="G51" s="51">
        <v>302467</v>
      </c>
      <c r="H51" s="51">
        <v>282737.75</v>
      </c>
      <c r="I51" s="52">
        <v>-172901.75</v>
      </c>
      <c r="J51" s="51">
        <v>21075</v>
      </c>
      <c r="K51" s="51">
        <v>196947</v>
      </c>
      <c r="L51" s="51">
        <v>2826</v>
      </c>
      <c r="M51" s="51">
        <v>421760</v>
      </c>
      <c r="N51" s="51">
        <v>-369019</v>
      </c>
      <c r="O51" s="51">
        <v>580450</v>
      </c>
      <c r="P51" s="51">
        <v>-9945.4799999999796</v>
      </c>
      <c r="Q51" s="51">
        <v>-624487.52</v>
      </c>
      <c r="R51" s="20">
        <f>SUM(F51:Q51)</f>
        <v>701702.26</v>
      </c>
    </row>
    <row r="52" spans="1:27" x14ac:dyDescent="0.2">
      <c r="A52" s="12"/>
      <c r="B52" s="12"/>
      <c r="C52" s="12"/>
      <c r="D52" s="12"/>
      <c r="E52" s="12"/>
      <c r="F52" s="53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 t="s">
        <v>58</v>
      </c>
      <c r="R52" s="54"/>
    </row>
    <row r="53" spans="1:27" s="24" customFormat="1" ht="12.75" x14ac:dyDescent="0.2">
      <c r="B53" s="55" t="s">
        <v>48</v>
      </c>
    </row>
    <row r="54" spans="1:27" s="24" customFormat="1" ht="38.25" customHeight="1" x14ac:dyDescent="0.2">
      <c r="B54" s="55"/>
      <c r="C54" s="176" t="s">
        <v>49</v>
      </c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</row>
    <row r="55" spans="1:27" s="24" customFormat="1" ht="12.75" x14ac:dyDescent="0.2">
      <c r="B55" s="55"/>
      <c r="C55" s="56"/>
      <c r="D55" s="56"/>
      <c r="E55" s="56"/>
      <c r="F55" s="56"/>
    </row>
    <row r="56" spans="1:27" s="24" customFormat="1" ht="9.75" customHeight="1" x14ac:dyDescent="0.2">
      <c r="B56" s="55"/>
      <c r="C56" s="57"/>
      <c r="D56" s="57"/>
      <c r="E56" s="57"/>
      <c r="F56" s="57"/>
    </row>
    <row r="57" spans="1:27" s="59" customFormat="1" ht="15.75" customHeight="1" x14ac:dyDescent="0.2">
      <c r="A57" s="58" t="s">
        <v>82</v>
      </c>
      <c r="B57" s="182" t="s">
        <v>83</v>
      </c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</row>
    <row r="58" spans="1:27" s="59" customFormat="1" ht="15.75" customHeight="1" x14ac:dyDescent="0.2">
      <c r="A58" s="58"/>
      <c r="B58" s="182" t="s">
        <v>84</v>
      </c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</row>
    <row r="59" spans="1:27" s="59" customFormat="1" ht="13.5" customHeight="1" x14ac:dyDescent="0.2">
      <c r="A59" s="58" t="s">
        <v>85</v>
      </c>
      <c r="B59" s="59" t="s">
        <v>86</v>
      </c>
      <c r="E59" s="60"/>
      <c r="H59" s="61"/>
      <c r="I59" s="61"/>
      <c r="W59" s="62"/>
      <c r="X59" s="62"/>
      <c r="AA59" s="61"/>
    </row>
    <row r="60" spans="1:27" s="24" customFormat="1" ht="9" customHeight="1" x14ac:dyDescent="0.2">
      <c r="C60" s="57"/>
      <c r="D60" s="57"/>
      <c r="E60" s="57"/>
      <c r="F60" s="57"/>
    </row>
    <row r="61" spans="1:27" s="24" customFormat="1" ht="12.75" x14ac:dyDescent="0.2">
      <c r="A61" s="24" t="s">
        <v>52</v>
      </c>
    </row>
    <row r="62" spans="1:27" x14ac:dyDescent="0.2">
      <c r="A62" s="10"/>
    </row>
  </sheetData>
  <mergeCells count="4">
    <mergeCell ref="A6:E6"/>
    <mergeCell ref="C54:Q54"/>
    <mergeCell ref="B57:X57"/>
    <mergeCell ref="B58:X58"/>
  </mergeCells>
  <printOptions horizontalCentered="1"/>
  <pageMargins left="0" right="0" top="1.0631944444444399" bottom="0" header="0.39374999999999999" footer="0.511811023622047"/>
  <pageSetup paperSize="9" orientation="portrait" horizontalDpi="300" verticalDpi="300"/>
  <headerFooter>
    <oddHeader>&amp;C&amp;"Arial,Bold"BUREAU OF THE TREASURY
&amp;"Arial,Italic"&amp;9 Statistical Data Analysis Division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J60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R28" sqref="R28"/>
    </sheetView>
  </sheetViews>
  <sheetFormatPr defaultColWidth="9.140625" defaultRowHeight="14.25" x14ac:dyDescent="0.2"/>
  <cols>
    <col min="1" max="1" width="2.28515625" style="6" customWidth="1"/>
    <col min="2" max="2" width="1.5703125" style="6" customWidth="1"/>
    <col min="3" max="3" width="1.85546875" style="6" customWidth="1"/>
    <col min="4" max="4" width="2.140625" style="6" customWidth="1"/>
    <col min="5" max="5" width="32.28515625" style="6" customWidth="1"/>
    <col min="6" max="18" width="11.42578125" style="6" customWidth="1"/>
    <col min="19" max="1024" width="9.140625" style="6"/>
  </cols>
  <sheetData>
    <row r="1" spans="1:19" ht="15" x14ac:dyDescent="0.25">
      <c r="A1" s="7" t="s">
        <v>53</v>
      </c>
      <c r="B1" s="7"/>
      <c r="C1" s="7"/>
      <c r="D1" s="7"/>
      <c r="E1" s="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9" ht="15" x14ac:dyDescent="0.25">
      <c r="A2" s="7" t="s">
        <v>87</v>
      </c>
      <c r="B2" s="7"/>
      <c r="C2" s="7"/>
      <c r="D2" s="7"/>
      <c r="E2" s="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/>
    </row>
    <row r="3" spans="1:19" x14ac:dyDescent="0.2">
      <c r="A3" s="8" t="s">
        <v>2</v>
      </c>
      <c r="B3" s="8"/>
      <c r="C3" s="8"/>
      <c r="D3" s="8"/>
      <c r="E3" s="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</row>
    <row r="4" spans="1:19" x14ac:dyDescent="0.2">
      <c r="A4" s="9" t="s">
        <v>55</v>
      </c>
      <c r="B4" s="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</row>
    <row r="5" spans="1:19" ht="6" customHeight="1" x14ac:dyDescent="0.2"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</row>
    <row r="6" spans="1:19" s="10" customFormat="1" ht="23.25" customHeight="1" x14ac:dyDescent="0.2">
      <c r="A6" s="183" t="s">
        <v>3</v>
      </c>
      <c r="B6" s="183"/>
      <c r="C6" s="183"/>
      <c r="D6" s="183"/>
      <c r="E6" s="183"/>
      <c r="F6" s="63" t="s">
        <v>4</v>
      </c>
      <c r="G6" s="63" t="s">
        <v>5</v>
      </c>
      <c r="H6" s="63" t="s">
        <v>6</v>
      </c>
      <c r="I6" s="63" t="s">
        <v>7</v>
      </c>
      <c r="J6" s="63" t="s">
        <v>8</v>
      </c>
      <c r="K6" s="63" t="s">
        <v>9</v>
      </c>
      <c r="L6" s="63" t="s">
        <v>10</v>
      </c>
      <c r="M6" s="63" t="s">
        <v>11</v>
      </c>
      <c r="N6" s="63" t="s">
        <v>12</v>
      </c>
      <c r="O6" s="63" t="s">
        <v>13</v>
      </c>
      <c r="P6" s="63" t="s">
        <v>56</v>
      </c>
      <c r="Q6" s="63" t="s">
        <v>57</v>
      </c>
      <c r="R6" s="64" t="s">
        <v>14</v>
      </c>
    </row>
    <row r="8" spans="1:19" ht="15" x14ac:dyDescent="0.25">
      <c r="B8" s="11" t="s">
        <v>15</v>
      </c>
      <c r="C8" s="11"/>
      <c r="D8" s="11"/>
      <c r="E8" s="11"/>
      <c r="F8" s="17">
        <f t="shared" ref="F8:R8" si="0">+F9+F19+F26</f>
        <v>256742</v>
      </c>
      <c r="G8" s="17">
        <f t="shared" si="0"/>
        <v>202085.35</v>
      </c>
      <c r="H8" s="17">
        <f t="shared" si="0"/>
        <v>228918</v>
      </c>
      <c r="I8" s="17">
        <f t="shared" si="0"/>
        <v>308676</v>
      </c>
      <c r="J8" s="17">
        <f t="shared" si="0"/>
        <v>317236</v>
      </c>
      <c r="K8" s="17">
        <f t="shared" si="0"/>
        <v>233886</v>
      </c>
      <c r="L8" s="17">
        <f t="shared" si="0"/>
        <v>264094</v>
      </c>
      <c r="M8" s="17">
        <f t="shared" si="0"/>
        <v>279745</v>
      </c>
      <c r="N8" s="17">
        <f t="shared" si="0"/>
        <v>236528</v>
      </c>
      <c r="O8" s="17">
        <f t="shared" si="0"/>
        <v>261553</v>
      </c>
      <c r="P8" s="17">
        <f t="shared" si="0"/>
        <v>304749</v>
      </c>
      <c r="Q8" s="17">
        <f t="shared" si="0"/>
        <v>243286</v>
      </c>
      <c r="R8" s="17">
        <f t="shared" si="0"/>
        <v>3137498.35</v>
      </c>
      <c r="S8" s="13"/>
    </row>
    <row r="9" spans="1:19" x14ac:dyDescent="0.2">
      <c r="C9" s="6" t="s">
        <v>16</v>
      </c>
      <c r="F9" s="21">
        <f t="shared" ref="F9:R9" si="1">+F10+F14+F17</f>
        <v>235238</v>
      </c>
      <c r="G9" s="21">
        <f t="shared" si="1"/>
        <v>182500</v>
      </c>
      <c r="H9" s="21">
        <f t="shared" si="1"/>
        <v>198296</v>
      </c>
      <c r="I9" s="21">
        <f t="shared" si="1"/>
        <v>288725</v>
      </c>
      <c r="J9" s="21">
        <f t="shared" si="1"/>
        <v>265560</v>
      </c>
      <c r="K9" s="21">
        <f t="shared" si="1"/>
        <v>210548</v>
      </c>
      <c r="L9" s="21">
        <f t="shared" si="1"/>
        <v>236786</v>
      </c>
      <c r="M9" s="21">
        <f t="shared" si="1"/>
        <v>261764</v>
      </c>
      <c r="N9" s="21">
        <f t="shared" si="1"/>
        <v>210950</v>
      </c>
      <c r="O9" s="21">
        <f t="shared" si="1"/>
        <v>237562</v>
      </c>
      <c r="P9" s="21">
        <f t="shared" si="1"/>
        <v>284192</v>
      </c>
      <c r="Q9" s="21">
        <f t="shared" si="1"/>
        <v>215530</v>
      </c>
      <c r="R9" s="21">
        <f t="shared" si="1"/>
        <v>2827651</v>
      </c>
      <c r="S9" s="13"/>
    </row>
    <row r="10" spans="1:19" x14ac:dyDescent="0.2">
      <c r="D10" s="6" t="s">
        <v>17</v>
      </c>
      <c r="F10" s="13">
        <v>185088</v>
      </c>
      <c r="G10" s="13">
        <v>135720</v>
      </c>
      <c r="H10" s="13">
        <v>147411</v>
      </c>
      <c r="I10" s="13">
        <v>235461</v>
      </c>
      <c r="J10" s="13">
        <v>204838</v>
      </c>
      <c r="K10" s="13">
        <v>157829</v>
      </c>
      <c r="L10" s="13">
        <v>180341</v>
      </c>
      <c r="M10" s="13">
        <v>205587</v>
      </c>
      <c r="N10" s="13">
        <v>150475</v>
      </c>
      <c r="O10" s="13">
        <v>178122</v>
      </c>
      <c r="P10" s="13">
        <v>232059</v>
      </c>
      <c r="Q10" s="13">
        <v>162575</v>
      </c>
      <c r="R10" s="13">
        <f>+F10+G10+H10+I10+J10+K10+L10+M10+N10+O10+P10+Q10</f>
        <v>2175506</v>
      </c>
    </row>
    <row r="11" spans="1:19" x14ac:dyDescent="0.2">
      <c r="E11" s="10" t="s">
        <v>18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9" x14ac:dyDescent="0.2">
      <c r="E12" s="6" t="s">
        <v>19</v>
      </c>
      <c r="F12" s="13">
        <v>1131</v>
      </c>
      <c r="G12" s="13">
        <v>1160</v>
      </c>
      <c r="H12" s="13">
        <v>1336</v>
      </c>
      <c r="I12" s="13">
        <v>2565</v>
      </c>
      <c r="J12" s="13">
        <v>487</v>
      </c>
      <c r="K12" s="13">
        <v>1201</v>
      </c>
      <c r="L12" s="13">
        <v>592</v>
      </c>
      <c r="M12" s="13">
        <v>611</v>
      </c>
      <c r="N12" s="13">
        <v>1170</v>
      </c>
      <c r="O12" s="13">
        <v>409</v>
      </c>
      <c r="P12" s="13">
        <v>725</v>
      </c>
      <c r="Q12" s="13">
        <v>415</v>
      </c>
      <c r="R12" s="13">
        <f>+F12+G12+H12+I12+J12+K12+L12+M12+N12+O12+P12+Q12</f>
        <v>11802</v>
      </c>
    </row>
    <row r="13" spans="1:19" x14ac:dyDescent="0.2">
      <c r="E13" s="6" t="s">
        <v>20</v>
      </c>
      <c r="F13" s="13">
        <v>0</v>
      </c>
      <c r="G13" s="13">
        <v>0</v>
      </c>
      <c r="H13" s="13">
        <v>75</v>
      </c>
      <c r="I13" s="13">
        <v>0</v>
      </c>
      <c r="J13" s="13">
        <v>1539</v>
      </c>
      <c r="K13" s="13">
        <v>1045</v>
      </c>
      <c r="L13" s="13">
        <v>0</v>
      </c>
      <c r="M13" s="13">
        <v>5</v>
      </c>
      <c r="N13" s="13">
        <v>1841</v>
      </c>
      <c r="O13" s="13">
        <v>176</v>
      </c>
      <c r="P13" s="13">
        <v>627</v>
      </c>
      <c r="Q13" s="13">
        <v>163</v>
      </c>
      <c r="R13" s="13">
        <f>+F13+G13+H13+I13+J13+K13+L13+M13+N13+O13+P13+Q13</f>
        <v>5471</v>
      </c>
    </row>
    <row r="14" spans="1:19" x14ac:dyDescent="0.2">
      <c r="D14" s="6" t="s">
        <v>21</v>
      </c>
      <c r="F14" s="13">
        <v>48376</v>
      </c>
      <c r="G14" s="13">
        <v>44200</v>
      </c>
      <c r="H14" s="13">
        <v>49294</v>
      </c>
      <c r="I14" s="13">
        <v>51674</v>
      </c>
      <c r="J14" s="13">
        <v>58168</v>
      </c>
      <c r="K14" s="13">
        <v>51298</v>
      </c>
      <c r="L14" s="13">
        <v>54644</v>
      </c>
      <c r="M14" s="13">
        <v>53593</v>
      </c>
      <c r="N14" s="13">
        <v>58802</v>
      </c>
      <c r="O14" s="13">
        <v>57652</v>
      </c>
      <c r="P14" s="13">
        <v>50414</v>
      </c>
      <c r="Q14" s="13">
        <v>52195</v>
      </c>
      <c r="R14" s="13">
        <f>+F14+G14+H14+I14+J14+K14+L14+M14+N14+O14+P14+Q14</f>
        <v>630310</v>
      </c>
    </row>
    <row r="15" spans="1:19" x14ac:dyDescent="0.2">
      <c r="E15" s="10" t="s">
        <v>18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9" x14ac:dyDescent="0.2">
      <c r="E16" s="6" t="s">
        <v>20</v>
      </c>
      <c r="F16" s="13">
        <v>150</v>
      </c>
      <c r="G16" s="13">
        <v>123</v>
      </c>
      <c r="H16" s="13">
        <v>12</v>
      </c>
      <c r="I16" s="13">
        <v>343</v>
      </c>
      <c r="J16" s="13">
        <v>263</v>
      </c>
      <c r="K16" s="13">
        <v>150</v>
      </c>
      <c r="L16" s="13">
        <v>11</v>
      </c>
      <c r="M16" s="13">
        <v>3527</v>
      </c>
      <c r="N16" s="13">
        <v>2731</v>
      </c>
      <c r="O16" s="13">
        <v>266</v>
      </c>
      <c r="P16" s="13">
        <v>361</v>
      </c>
      <c r="Q16" s="13">
        <v>2105</v>
      </c>
      <c r="R16" s="13">
        <f>+F16+G16+H16+I16+J16+K16+L16+M16+N16+O16+P16+Q16</f>
        <v>10042</v>
      </c>
    </row>
    <row r="17" spans="2:20" x14ac:dyDescent="0.2">
      <c r="D17" s="6" t="s">
        <v>88</v>
      </c>
      <c r="F17" s="13">
        <v>1774</v>
      </c>
      <c r="G17" s="13">
        <v>2580</v>
      </c>
      <c r="H17" s="13">
        <v>1591</v>
      </c>
      <c r="I17" s="13">
        <v>1590</v>
      </c>
      <c r="J17" s="13">
        <v>2554</v>
      </c>
      <c r="K17" s="13">
        <v>1421</v>
      </c>
      <c r="L17" s="13">
        <v>1801</v>
      </c>
      <c r="M17" s="13">
        <v>2584</v>
      </c>
      <c r="N17" s="13">
        <v>1673</v>
      </c>
      <c r="O17" s="13">
        <v>1788</v>
      </c>
      <c r="P17" s="13">
        <v>1719</v>
      </c>
      <c r="Q17" s="13">
        <v>760</v>
      </c>
      <c r="R17" s="13">
        <f>+F17+G17+H17+I17+J17+K17+L17+M17+N17+O17+P17+Q17</f>
        <v>21835</v>
      </c>
    </row>
    <row r="18" spans="2:20" x14ac:dyDescent="0.2"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2:20" ht="15" x14ac:dyDescent="0.25">
      <c r="C19" s="6" t="s">
        <v>23</v>
      </c>
      <c r="F19" s="17">
        <f t="shared" ref="F19:R19" si="2">SUM(F20:F24)</f>
        <v>21504</v>
      </c>
      <c r="G19" s="17">
        <f t="shared" si="2"/>
        <v>19581.349999999999</v>
      </c>
      <c r="H19" s="17">
        <f t="shared" si="2"/>
        <v>30593</v>
      </c>
      <c r="I19" s="17">
        <f t="shared" si="2"/>
        <v>19943</v>
      </c>
      <c r="J19" s="17">
        <f t="shared" si="2"/>
        <v>51670</v>
      </c>
      <c r="K19" s="17">
        <f t="shared" si="2"/>
        <v>23247</v>
      </c>
      <c r="L19" s="17">
        <f t="shared" si="2"/>
        <v>27307</v>
      </c>
      <c r="M19" s="17">
        <f t="shared" si="2"/>
        <v>17981</v>
      </c>
      <c r="N19" s="17">
        <f t="shared" si="2"/>
        <v>25572</v>
      </c>
      <c r="O19" s="17">
        <f t="shared" si="2"/>
        <v>23946</v>
      </c>
      <c r="P19" s="17">
        <f t="shared" si="2"/>
        <v>20557</v>
      </c>
      <c r="Q19" s="17">
        <f t="shared" si="2"/>
        <v>27687</v>
      </c>
      <c r="R19" s="17">
        <f t="shared" si="2"/>
        <v>309588.34999999998</v>
      </c>
    </row>
    <row r="20" spans="2:20" x14ac:dyDescent="0.2">
      <c r="D20" s="6" t="s">
        <v>24</v>
      </c>
      <c r="F20" s="13">
        <v>9608</v>
      </c>
      <c r="G20" s="13">
        <v>9181</v>
      </c>
      <c r="H20" s="13">
        <v>12046</v>
      </c>
      <c r="I20" s="13">
        <v>10454</v>
      </c>
      <c r="J20" s="13">
        <v>35666</v>
      </c>
      <c r="K20" s="13">
        <v>10681</v>
      </c>
      <c r="L20" s="13">
        <v>14360</v>
      </c>
      <c r="M20" s="13">
        <v>5913</v>
      </c>
      <c r="N20" s="13">
        <v>10701</v>
      </c>
      <c r="O20" s="13">
        <v>10612</v>
      </c>
      <c r="P20" s="13">
        <v>5495</v>
      </c>
      <c r="Q20" s="13">
        <v>11805</v>
      </c>
      <c r="R20" s="13">
        <f>+F20+G20+H20+I20+J20+K20+L20+M20+N20+O20+P20+Q20</f>
        <v>146522</v>
      </c>
    </row>
    <row r="21" spans="2:20" x14ac:dyDescent="0.2">
      <c r="D21" s="6" t="s">
        <v>89</v>
      </c>
      <c r="F21" s="13">
        <v>5785</v>
      </c>
      <c r="G21" s="13">
        <v>3245</v>
      </c>
      <c r="H21" s="13">
        <v>4493</v>
      </c>
      <c r="I21" s="13">
        <v>4102</v>
      </c>
      <c r="J21" s="13">
        <v>3439</v>
      </c>
      <c r="K21" s="13">
        <v>3318</v>
      </c>
      <c r="L21" s="13">
        <v>5290</v>
      </c>
      <c r="M21" s="13">
        <v>4881</v>
      </c>
      <c r="N21" s="13">
        <v>5045</v>
      </c>
      <c r="O21" s="13">
        <v>7326</v>
      </c>
      <c r="P21" s="13">
        <v>3465</v>
      </c>
      <c r="Q21" s="13">
        <v>5009</v>
      </c>
      <c r="R21" s="13">
        <f>+F21+G21+H21+I21+J21+K21+L21+M21+N21+O21+P21+Q21</f>
        <v>55398</v>
      </c>
    </row>
    <row r="22" spans="2:20" x14ac:dyDescent="0.2">
      <c r="D22" s="6" t="s">
        <v>26</v>
      </c>
      <c r="F22" s="13">
        <v>0</v>
      </c>
      <c r="G22" s="13">
        <v>11.35</v>
      </c>
      <c r="H22" s="13">
        <v>16</v>
      </c>
      <c r="I22" s="13">
        <v>23</v>
      </c>
      <c r="J22" s="13">
        <v>198</v>
      </c>
      <c r="K22" s="13">
        <v>14</v>
      </c>
      <c r="L22" s="13">
        <v>20</v>
      </c>
      <c r="M22" s="13">
        <v>17</v>
      </c>
      <c r="N22" s="13">
        <v>8</v>
      </c>
      <c r="O22" s="13">
        <v>184</v>
      </c>
      <c r="P22" s="13">
        <v>-143</v>
      </c>
      <c r="Q22" s="13">
        <v>534</v>
      </c>
      <c r="R22" s="13">
        <f>+F22+G22+H22+I22+J22+K22+L22+M22+N22+O22+P22+Q22</f>
        <v>882.35</v>
      </c>
    </row>
    <row r="23" spans="2:20" x14ac:dyDescent="0.2">
      <c r="D23" s="6" t="s">
        <v>27</v>
      </c>
      <c r="F23" s="13">
        <v>2464</v>
      </c>
      <c r="G23" s="13">
        <v>2092</v>
      </c>
      <c r="H23" s="13">
        <v>2213</v>
      </c>
      <c r="I23" s="13">
        <v>2274</v>
      </c>
      <c r="J23" s="13">
        <v>2317</v>
      </c>
      <c r="K23" s="13">
        <v>2487</v>
      </c>
      <c r="L23" s="13">
        <v>2754</v>
      </c>
      <c r="M23" s="13">
        <v>2467</v>
      </c>
      <c r="N23" s="13">
        <v>2119</v>
      </c>
      <c r="O23" s="13">
        <v>1802</v>
      </c>
      <c r="P23" s="13">
        <v>1872</v>
      </c>
      <c r="Q23" s="13">
        <v>1705</v>
      </c>
      <c r="R23" s="13">
        <f>+F23+G23+H23+I23+J23+K23+L23+M23+N23+O23+P23+Q23</f>
        <v>26566</v>
      </c>
    </row>
    <row r="24" spans="2:20" x14ac:dyDescent="0.2">
      <c r="D24" s="6" t="s">
        <v>28</v>
      </c>
      <c r="F24" s="13">
        <v>3647</v>
      </c>
      <c r="G24" s="13">
        <v>5052</v>
      </c>
      <c r="H24" s="13">
        <v>11825</v>
      </c>
      <c r="I24" s="13">
        <v>3090</v>
      </c>
      <c r="J24" s="13">
        <v>10050</v>
      </c>
      <c r="K24" s="13">
        <v>6747</v>
      </c>
      <c r="L24" s="13">
        <v>4883</v>
      </c>
      <c r="M24" s="13">
        <v>4703</v>
      </c>
      <c r="N24" s="13">
        <v>7699</v>
      </c>
      <c r="O24" s="13">
        <v>4022</v>
      </c>
      <c r="P24" s="13">
        <v>9868</v>
      </c>
      <c r="Q24" s="13">
        <v>8634</v>
      </c>
      <c r="R24" s="13">
        <f>+F24+G24+H24+I24+J24+K24+L24+M24+N24+O24+P24+Q24</f>
        <v>80220</v>
      </c>
    </row>
    <row r="25" spans="2:20" x14ac:dyDescent="0.2"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2:20" x14ac:dyDescent="0.2">
      <c r="C26" s="6" t="s">
        <v>29</v>
      </c>
      <c r="F26" s="13">
        <v>0</v>
      </c>
      <c r="G26" s="13">
        <v>4</v>
      </c>
      <c r="H26" s="13">
        <v>29</v>
      </c>
      <c r="I26" s="13">
        <v>8</v>
      </c>
      <c r="J26" s="13">
        <v>6</v>
      </c>
      <c r="K26" s="13">
        <v>91</v>
      </c>
      <c r="L26" s="13">
        <v>1</v>
      </c>
      <c r="M26" s="13">
        <v>0</v>
      </c>
      <c r="N26" s="13">
        <v>6</v>
      </c>
      <c r="O26" s="13">
        <v>45</v>
      </c>
      <c r="P26" s="13">
        <v>0</v>
      </c>
      <c r="Q26" s="13">
        <v>69</v>
      </c>
      <c r="R26" s="13">
        <f>+F26+G26+H26+I26+J26+K26+L26+M26+N26+O26+P26+Q26</f>
        <v>259</v>
      </c>
    </row>
    <row r="27" spans="2:20" x14ac:dyDescent="0.2">
      <c r="F27" s="13" t="s">
        <v>58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2:20" ht="15" x14ac:dyDescent="0.25">
      <c r="B28" s="11" t="s">
        <v>30</v>
      </c>
      <c r="C28" s="11"/>
      <c r="D28" s="11"/>
      <c r="E28" s="11"/>
      <c r="F28" s="17">
        <f t="shared" ref="F28:R28" si="3">SUM(F30:F36)</f>
        <v>212205</v>
      </c>
      <c r="G28" s="17">
        <f t="shared" si="3"/>
        <v>278458</v>
      </c>
      <c r="H28" s="17">
        <f t="shared" si="3"/>
        <v>287327</v>
      </c>
      <c r="I28" s="17">
        <f t="shared" si="3"/>
        <v>221804</v>
      </c>
      <c r="J28" s="17">
        <f t="shared" si="3"/>
        <v>314672</v>
      </c>
      <c r="K28" s="17">
        <f t="shared" si="3"/>
        <v>275724</v>
      </c>
      <c r="L28" s="17">
        <f t="shared" si="3"/>
        <v>339390</v>
      </c>
      <c r="M28" s="17">
        <f t="shared" si="3"/>
        <v>282233</v>
      </c>
      <c r="N28" s="17">
        <f t="shared" si="3"/>
        <v>415085</v>
      </c>
      <c r="O28" s="17">
        <f t="shared" si="3"/>
        <v>310815</v>
      </c>
      <c r="P28" s="17">
        <f t="shared" si="3"/>
        <v>365632</v>
      </c>
      <c r="Q28" s="17">
        <f t="shared" si="3"/>
        <v>494389</v>
      </c>
      <c r="R28" s="17">
        <f t="shared" si="3"/>
        <v>3797734</v>
      </c>
    </row>
    <row r="29" spans="2:20" ht="8.25" customHeight="1" x14ac:dyDescent="0.2"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2:20" x14ac:dyDescent="0.2">
      <c r="D30" s="6" t="s">
        <v>31</v>
      </c>
      <c r="F30" s="13">
        <v>0</v>
      </c>
      <c r="G30" s="65">
        <v>97328</v>
      </c>
      <c r="H30" s="65">
        <v>52173</v>
      </c>
      <c r="I30" s="65">
        <v>47967</v>
      </c>
      <c r="J30" s="65">
        <v>47957</v>
      </c>
      <c r="K30" s="65">
        <v>50293</v>
      </c>
      <c r="L30" s="65">
        <v>49166</v>
      </c>
      <c r="M30" s="65">
        <v>53670</v>
      </c>
      <c r="N30" s="65">
        <v>59812</v>
      </c>
      <c r="O30" s="65">
        <v>53847</v>
      </c>
      <c r="P30" s="65">
        <v>51999</v>
      </c>
      <c r="Q30" s="65">
        <v>53784</v>
      </c>
      <c r="R30" s="13">
        <f t="shared" ref="R30:R36" si="4">+F30+G30+H30+I30+J30+K30+L30+M30+N30+O30+P30+Q30</f>
        <v>617996</v>
      </c>
    </row>
    <row r="31" spans="2:20" x14ac:dyDescent="0.2">
      <c r="D31" s="6" t="s">
        <v>32</v>
      </c>
      <c r="F31" s="13">
        <v>45916</v>
      </c>
      <c r="G31" s="13">
        <v>25302</v>
      </c>
      <c r="H31" s="13">
        <v>36552</v>
      </c>
      <c r="I31" s="13">
        <v>23536</v>
      </c>
      <c r="J31" s="13">
        <v>19669</v>
      </c>
      <c r="K31" s="13">
        <v>29096</v>
      </c>
      <c r="L31" s="13">
        <v>50965</v>
      </c>
      <c r="M31" s="13">
        <v>19611</v>
      </c>
      <c r="N31" s="13">
        <v>43094</v>
      </c>
      <c r="O31" s="13">
        <v>20724</v>
      </c>
      <c r="P31" s="13">
        <v>17287</v>
      </c>
      <c r="Q31" s="13">
        <v>29122</v>
      </c>
      <c r="R31" s="13">
        <f t="shared" si="4"/>
        <v>360874</v>
      </c>
      <c r="T31" s="6" t="s">
        <v>58</v>
      </c>
    </row>
    <row r="32" spans="2:20" x14ac:dyDescent="0.2">
      <c r="D32" s="6" t="s">
        <v>33</v>
      </c>
      <c r="F32" s="13">
        <v>1281</v>
      </c>
      <c r="G32" s="13">
        <v>1283</v>
      </c>
      <c r="H32" s="13">
        <v>1423</v>
      </c>
      <c r="I32" s="13">
        <v>2908</v>
      </c>
      <c r="J32" s="13">
        <v>2289</v>
      </c>
      <c r="K32" s="13">
        <v>2396</v>
      </c>
      <c r="L32" s="13">
        <v>603</v>
      </c>
      <c r="M32" s="13">
        <v>4143</v>
      </c>
      <c r="N32" s="13">
        <v>5742</v>
      </c>
      <c r="O32" s="13">
        <v>851</v>
      </c>
      <c r="P32" s="13">
        <v>1713</v>
      </c>
      <c r="Q32" s="13">
        <v>2683</v>
      </c>
      <c r="R32" s="13">
        <f t="shared" si="4"/>
        <v>27315</v>
      </c>
    </row>
    <row r="33" spans="2:19" ht="13.5" customHeight="1" x14ac:dyDescent="0.2">
      <c r="D33" s="6" t="s">
        <v>78</v>
      </c>
      <c r="F33" s="13">
        <v>795</v>
      </c>
      <c r="G33" s="13">
        <v>2769</v>
      </c>
      <c r="H33" s="13">
        <v>5740</v>
      </c>
      <c r="I33" s="13">
        <v>5115</v>
      </c>
      <c r="J33" s="13">
        <v>5239</v>
      </c>
      <c r="K33" s="13">
        <v>7040</v>
      </c>
      <c r="L33" s="13">
        <v>38288</v>
      </c>
      <c r="M33" s="13">
        <v>31808</v>
      </c>
      <c r="N33" s="13">
        <v>60275</v>
      </c>
      <c r="O33" s="13">
        <v>7238</v>
      </c>
      <c r="P33" s="13">
        <v>11815</v>
      </c>
      <c r="Q33" s="13">
        <v>25402</v>
      </c>
      <c r="R33" s="13">
        <f t="shared" si="4"/>
        <v>201524</v>
      </c>
    </row>
    <row r="34" spans="2:19" x14ac:dyDescent="0.2">
      <c r="D34" s="6" t="s">
        <v>35</v>
      </c>
      <c r="F34" s="13">
        <v>0</v>
      </c>
      <c r="G34" s="66">
        <v>20</v>
      </c>
      <c r="H34" s="66">
        <v>22</v>
      </c>
      <c r="I34" s="66">
        <v>51</v>
      </c>
      <c r="J34" s="66">
        <v>75</v>
      </c>
      <c r="K34" s="66">
        <v>409</v>
      </c>
      <c r="L34" s="66">
        <v>163</v>
      </c>
      <c r="M34" s="66">
        <v>86</v>
      </c>
      <c r="N34" s="66">
        <v>854</v>
      </c>
      <c r="O34" s="66">
        <v>55</v>
      </c>
      <c r="P34" s="66">
        <v>29</v>
      </c>
      <c r="Q34" s="66">
        <v>1558</v>
      </c>
      <c r="R34" s="13">
        <f t="shared" si="4"/>
        <v>3322</v>
      </c>
    </row>
    <row r="35" spans="2:19" x14ac:dyDescent="0.2">
      <c r="D35" s="6" t="s">
        <v>79</v>
      </c>
      <c r="F35" s="13">
        <v>-406</v>
      </c>
      <c r="G35" s="13">
        <v>3252</v>
      </c>
      <c r="H35" s="13">
        <v>698</v>
      </c>
      <c r="I35" s="13">
        <v>135</v>
      </c>
      <c r="J35" s="13">
        <v>14963</v>
      </c>
      <c r="K35" s="13">
        <v>170</v>
      </c>
      <c r="L35" s="13">
        <v>-1308</v>
      </c>
      <c r="M35" s="13">
        <v>3197</v>
      </c>
      <c r="N35" s="13">
        <v>-4788</v>
      </c>
      <c r="O35" s="13">
        <v>1208</v>
      </c>
      <c r="P35" s="13">
        <v>-237</v>
      </c>
      <c r="Q35" s="13">
        <v>180</v>
      </c>
      <c r="R35" s="13">
        <f t="shared" si="4"/>
        <v>17064</v>
      </c>
    </row>
    <row r="36" spans="2:19" x14ac:dyDescent="0.2">
      <c r="D36" s="6" t="s">
        <v>80</v>
      </c>
      <c r="F36" s="13">
        <f>154808+11092-F32</f>
        <v>164619</v>
      </c>
      <c r="G36" s="13">
        <f>142400+7387-G32</f>
        <v>148504</v>
      </c>
      <c r="H36" s="13">
        <f>183623+8519-H32</f>
        <v>190719</v>
      </c>
      <c r="I36" s="13">
        <f>130561+14439-I32</f>
        <v>142092</v>
      </c>
      <c r="J36" s="13">
        <f>209876+16893-J32</f>
        <v>224480</v>
      </c>
      <c r="K36" s="13">
        <f>176477+12239-K32</f>
        <v>186320</v>
      </c>
      <c r="L36" s="13">
        <f>188024+14092-L32</f>
        <v>201513</v>
      </c>
      <c r="M36" s="13">
        <f>160401+13460-M32</f>
        <v>169718</v>
      </c>
      <c r="N36" s="13">
        <f>228786+27052-N32</f>
        <v>250096</v>
      </c>
      <c r="O36" s="13">
        <f>215631+12112-O32</f>
        <v>226892</v>
      </c>
      <c r="P36" s="13">
        <f>263464+21275-P32</f>
        <v>283026</v>
      </c>
      <c r="Q36" s="13">
        <f>355550+28793-Q32</f>
        <v>381660</v>
      </c>
      <c r="R36" s="13">
        <f t="shared" si="4"/>
        <v>2569639</v>
      </c>
    </row>
    <row r="37" spans="2:19" x14ac:dyDescent="0.2"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13" t="s">
        <v>58</v>
      </c>
    </row>
    <row r="38" spans="2:19" ht="15" x14ac:dyDescent="0.25">
      <c r="B38" s="11" t="s">
        <v>38</v>
      </c>
      <c r="C38" s="11"/>
      <c r="D38" s="11"/>
      <c r="E38" s="11"/>
      <c r="F38" s="20">
        <f t="shared" ref="F38:R38" si="5">+F8-F28</f>
        <v>44537</v>
      </c>
      <c r="G38" s="20">
        <f t="shared" si="5"/>
        <v>-76372.649999999994</v>
      </c>
      <c r="H38" s="20">
        <f t="shared" si="5"/>
        <v>-58409</v>
      </c>
      <c r="I38" s="20">
        <f t="shared" si="5"/>
        <v>86872</v>
      </c>
      <c r="J38" s="20">
        <f t="shared" si="5"/>
        <v>2564</v>
      </c>
      <c r="K38" s="20">
        <f t="shared" si="5"/>
        <v>-41838</v>
      </c>
      <c r="L38" s="20">
        <f t="shared" si="5"/>
        <v>-75296</v>
      </c>
      <c r="M38" s="20">
        <f t="shared" si="5"/>
        <v>-2488</v>
      </c>
      <c r="N38" s="20">
        <f t="shared" si="5"/>
        <v>-178557</v>
      </c>
      <c r="O38" s="20">
        <f t="shared" si="5"/>
        <v>-49262</v>
      </c>
      <c r="P38" s="20">
        <f t="shared" si="5"/>
        <v>-60883</v>
      </c>
      <c r="Q38" s="20">
        <f t="shared" si="5"/>
        <v>-251103</v>
      </c>
      <c r="R38" s="20">
        <f t="shared" si="5"/>
        <v>-660235.64999999991</v>
      </c>
    </row>
    <row r="39" spans="2:19" x14ac:dyDescent="0.2"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9" ht="15" x14ac:dyDescent="0.25">
      <c r="B40" s="11" t="s">
        <v>39</v>
      </c>
      <c r="C40" s="11"/>
      <c r="D40" s="11"/>
      <c r="E40" s="11"/>
      <c r="F40" s="17">
        <f t="shared" ref="F40:R40" si="6">+F41+F45</f>
        <v>217107</v>
      </c>
      <c r="G40" s="17">
        <f t="shared" si="6"/>
        <v>56723.82</v>
      </c>
      <c r="H40" s="17">
        <f t="shared" si="6"/>
        <v>308218</v>
      </c>
      <c r="I40" s="17">
        <f t="shared" si="6"/>
        <v>33268</v>
      </c>
      <c r="J40" s="17">
        <f t="shared" si="6"/>
        <v>117869</v>
      </c>
      <c r="K40" s="17">
        <f t="shared" si="6"/>
        <v>-1006</v>
      </c>
      <c r="L40" s="17">
        <f t="shared" si="6"/>
        <v>-2909</v>
      </c>
      <c r="M40" s="17">
        <f t="shared" si="6"/>
        <v>73233</v>
      </c>
      <c r="N40" s="17">
        <f t="shared" si="6"/>
        <v>-4817</v>
      </c>
      <c r="O40" s="17">
        <f t="shared" si="6"/>
        <v>45795</v>
      </c>
      <c r="P40" s="17">
        <f t="shared" si="6"/>
        <v>6989</v>
      </c>
      <c r="Q40" s="17">
        <f t="shared" si="6"/>
        <v>25825</v>
      </c>
      <c r="R40" s="17">
        <f t="shared" si="6"/>
        <v>876295.82000000007</v>
      </c>
      <c r="S40" s="13" t="s">
        <v>58</v>
      </c>
    </row>
    <row r="41" spans="2:19" x14ac:dyDescent="0.2">
      <c r="C41" s="6" t="s">
        <v>40</v>
      </c>
      <c r="F41" s="21">
        <f t="shared" ref="F41:R41" si="7">+F42-F43</f>
        <v>83930</v>
      </c>
      <c r="G41" s="21">
        <f t="shared" si="7"/>
        <v>-2714.18</v>
      </c>
      <c r="H41" s="21">
        <f t="shared" si="7"/>
        <v>10562</v>
      </c>
      <c r="I41" s="21">
        <f t="shared" si="7"/>
        <v>-922</v>
      </c>
      <c r="J41" s="21">
        <f t="shared" si="7"/>
        <v>66961</v>
      </c>
      <c r="K41" s="21">
        <f t="shared" si="7"/>
        <v>-40350</v>
      </c>
      <c r="L41" s="21">
        <f t="shared" si="7"/>
        <v>1666</v>
      </c>
      <c r="M41" s="21">
        <f t="shared" si="7"/>
        <v>43667</v>
      </c>
      <c r="N41" s="21">
        <f t="shared" si="7"/>
        <v>9631</v>
      </c>
      <c r="O41" s="21">
        <f t="shared" si="7"/>
        <v>-1169</v>
      </c>
      <c r="P41" s="21">
        <f t="shared" si="7"/>
        <v>-902</v>
      </c>
      <c r="Q41" s="21">
        <f t="shared" si="7"/>
        <v>14487</v>
      </c>
      <c r="R41" s="21">
        <f t="shared" si="7"/>
        <v>184846.82</v>
      </c>
    </row>
    <row r="42" spans="2:19" x14ac:dyDescent="0.2">
      <c r="D42" s="6" t="s">
        <v>41</v>
      </c>
      <c r="F42" s="13">
        <v>115621</v>
      </c>
      <c r="G42" s="13">
        <v>894.82</v>
      </c>
      <c r="H42" s="13">
        <v>16467</v>
      </c>
      <c r="I42" s="13">
        <v>3430</v>
      </c>
      <c r="J42" s="13">
        <v>74699</v>
      </c>
      <c r="K42" s="13">
        <v>14365</v>
      </c>
      <c r="L42" s="13">
        <v>3215</v>
      </c>
      <c r="M42" s="13">
        <v>46854</v>
      </c>
      <c r="N42" s="13">
        <v>15460</v>
      </c>
      <c r="O42" s="13">
        <v>2745</v>
      </c>
      <c r="P42" s="13">
        <v>6285</v>
      </c>
      <c r="Q42" s="13">
        <v>21911</v>
      </c>
      <c r="R42" s="13">
        <f>+F42+G42+H42+I42+J42+K42+L42+M42+N42+O42+P42+Q42</f>
        <v>321946.82</v>
      </c>
    </row>
    <row r="43" spans="2:19" x14ac:dyDescent="0.2">
      <c r="D43" s="6" t="s">
        <v>42</v>
      </c>
      <c r="F43" s="13">
        <v>31691</v>
      </c>
      <c r="G43" s="13">
        <v>3609</v>
      </c>
      <c r="H43" s="13">
        <v>5905</v>
      </c>
      <c r="I43" s="13">
        <v>4352</v>
      </c>
      <c r="J43" s="13">
        <v>7738</v>
      </c>
      <c r="K43" s="13">
        <v>54715</v>
      </c>
      <c r="L43" s="13">
        <v>1549</v>
      </c>
      <c r="M43" s="13">
        <v>3187</v>
      </c>
      <c r="N43" s="13">
        <v>5829</v>
      </c>
      <c r="O43" s="13">
        <v>3914</v>
      </c>
      <c r="P43" s="13">
        <v>7187</v>
      </c>
      <c r="Q43" s="13">
        <v>7424</v>
      </c>
      <c r="R43" s="13">
        <f>+F43+G43+H43+I43+J43+K43+L43+M43+N43+O43+P43+Q43</f>
        <v>137100</v>
      </c>
    </row>
    <row r="44" spans="2:19" x14ac:dyDescent="0.2"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9" x14ac:dyDescent="0.2">
      <c r="C45" s="6" t="s">
        <v>43</v>
      </c>
      <c r="F45" s="21">
        <f t="shared" ref="F45:R45" si="8">+F46-F47</f>
        <v>133177</v>
      </c>
      <c r="G45" s="21">
        <f t="shared" si="8"/>
        <v>59438</v>
      </c>
      <c r="H45" s="21">
        <f t="shared" si="8"/>
        <v>297656</v>
      </c>
      <c r="I45" s="21">
        <f t="shared" si="8"/>
        <v>34190</v>
      </c>
      <c r="J45" s="21">
        <f t="shared" si="8"/>
        <v>50908</v>
      </c>
      <c r="K45" s="21">
        <f t="shared" si="8"/>
        <v>39344</v>
      </c>
      <c r="L45" s="21">
        <f t="shared" si="8"/>
        <v>-4575</v>
      </c>
      <c r="M45" s="21">
        <f t="shared" si="8"/>
        <v>29566</v>
      </c>
      <c r="N45" s="21">
        <f t="shared" si="8"/>
        <v>-14448</v>
      </c>
      <c r="O45" s="21">
        <f t="shared" si="8"/>
        <v>46964</v>
      </c>
      <c r="P45" s="21">
        <f t="shared" si="8"/>
        <v>7891</v>
      </c>
      <c r="Q45" s="21">
        <f t="shared" si="8"/>
        <v>11338</v>
      </c>
      <c r="R45" s="21">
        <f t="shared" si="8"/>
        <v>691449</v>
      </c>
    </row>
    <row r="46" spans="2:19" x14ac:dyDescent="0.2">
      <c r="D46" s="6" t="s">
        <v>44</v>
      </c>
      <c r="F46" s="13">
        <v>133177</v>
      </c>
      <c r="G46" s="13">
        <v>59438</v>
      </c>
      <c r="H46" s="13">
        <v>298000</v>
      </c>
      <c r="I46" s="13">
        <v>34493</v>
      </c>
      <c r="J46" s="13">
        <v>50908</v>
      </c>
      <c r="K46" s="13">
        <v>39344</v>
      </c>
      <c r="L46" s="13">
        <v>-4305</v>
      </c>
      <c r="M46" s="13">
        <v>29670</v>
      </c>
      <c r="N46" s="13">
        <v>-14448</v>
      </c>
      <c r="O46" s="13">
        <v>47528</v>
      </c>
      <c r="P46" s="13">
        <v>8061</v>
      </c>
      <c r="Q46" s="13">
        <v>11977</v>
      </c>
      <c r="R46" s="13">
        <f>+F46+G46+H46+I46+J46+K46+L46+M46+N46+O46+P46+Q46</f>
        <v>693843</v>
      </c>
      <c r="S46" s="13" t="s">
        <v>58</v>
      </c>
    </row>
    <row r="47" spans="2:19" x14ac:dyDescent="0.2">
      <c r="D47" s="6" t="s">
        <v>45</v>
      </c>
      <c r="F47" s="18">
        <f t="shared" ref="F47:Q47" si="9">F48-F49</f>
        <v>0</v>
      </c>
      <c r="G47" s="18">
        <f t="shared" si="9"/>
        <v>0</v>
      </c>
      <c r="H47" s="18">
        <f t="shared" si="9"/>
        <v>344</v>
      </c>
      <c r="I47" s="18">
        <f t="shared" si="9"/>
        <v>303</v>
      </c>
      <c r="J47" s="18">
        <f t="shared" si="9"/>
        <v>0</v>
      </c>
      <c r="K47" s="18">
        <f t="shared" si="9"/>
        <v>0</v>
      </c>
      <c r="L47" s="18">
        <f t="shared" si="9"/>
        <v>270</v>
      </c>
      <c r="M47" s="18">
        <f t="shared" si="9"/>
        <v>104</v>
      </c>
      <c r="N47" s="18">
        <f t="shared" si="9"/>
        <v>0</v>
      </c>
      <c r="O47" s="18">
        <f t="shared" si="9"/>
        <v>564</v>
      </c>
      <c r="P47" s="18">
        <f t="shared" si="9"/>
        <v>170</v>
      </c>
      <c r="Q47" s="18">
        <f t="shared" si="9"/>
        <v>639</v>
      </c>
      <c r="R47" s="13">
        <f>+F47+G47+H47+I47+J47+K47+L47+M47+N47+O47+P47+Q47</f>
        <v>2394</v>
      </c>
    </row>
    <row r="48" spans="2:19" x14ac:dyDescent="0.2">
      <c r="E48" s="6" t="s">
        <v>68</v>
      </c>
      <c r="F48" s="18">
        <v>7</v>
      </c>
      <c r="G48" s="18">
        <v>70870</v>
      </c>
      <c r="H48" s="18">
        <v>344</v>
      </c>
      <c r="I48" s="18">
        <v>25952</v>
      </c>
      <c r="J48" s="18">
        <v>0</v>
      </c>
      <c r="K48" s="18">
        <v>0</v>
      </c>
      <c r="L48" s="18">
        <v>39946</v>
      </c>
      <c r="M48" s="18">
        <v>8783</v>
      </c>
      <c r="N48" s="18">
        <v>0</v>
      </c>
      <c r="O48" s="18">
        <v>564</v>
      </c>
      <c r="P48" s="18">
        <v>197370</v>
      </c>
      <c r="Q48" s="18">
        <v>639</v>
      </c>
      <c r="R48" s="13">
        <f>+F48+G48+H48+I48+J48+K48+L48+M48+N48+O48+P48+Q48</f>
        <v>344475</v>
      </c>
    </row>
    <row r="49" spans="1:18" x14ac:dyDescent="0.2">
      <c r="E49" s="22" t="s">
        <v>81</v>
      </c>
      <c r="F49" s="18">
        <v>7</v>
      </c>
      <c r="G49" s="18">
        <v>70870</v>
      </c>
      <c r="H49" s="18">
        <v>0</v>
      </c>
      <c r="I49" s="18">
        <v>25649</v>
      </c>
      <c r="J49" s="18">
        <v>0</v>
      </c>
      <c r="K49" s="18">
        <v>0</v>
      </c>
      <c r="L49" s="18">
        <v>39676</v>
      </c>
      <c r="M49" s="18">
        <v>8679</v>
      </c>
      <c r="N49" s="18">
        <v>0</v>
      </c>
      <c r="O49" s="18">
        <v>0</v>
      </c>
      <c r="P49" s="18">
        <v>197200</v>
      </c>
      <c r="Q49" s="18">
        <v>0</v>
      </c>
      <c r="R49" s="13">
        <f>+F49+G49+H49+I49+J49+K49+L49+M49+N49+O49+P49+Q49</f>
        <v>342081</v>
      </c>
    </row>
    <row r="50" spans="1:18" ht="14.25" customHeight="1" x14ac:dyDescent="0.2"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ht="16.5" customHeight="1" x14ac:dyDescent="0.25">
      <c r="B51" s="11" t="s">
        <v>47</v>
      </c>
      <c r="C51" s="11"/>
      <c r="D51" s="11"/>
      <c r="E51" s="11"/>
      <c r="F51" s="20">
        <v>215141.12299999999</v>
      </c>
      <c r="G51" s="20">
        <v>-66415.123000000007</v>
      </c>
      <c r="H51" s="20">
        <v>206233</v>
      </c>
      <c r="I51" s="20">
        <v>106952</v>
      </c>
      <c r="J51" s="20">
        <v>104529.03</v>
      </c>
      <c r="K51" s="20">
        <v>-54945.03</v>
      </c>
      <c r="L51" s="20">
        <v>-140883</v>
      </c>
      <c r="M51" s="20">
        <v>60130</v>
      </c>
      <c r="N51" s="20">
        <v>-188825</v>
      </c>
      <c r="O51" s="20">
        <v>-5557</v>
      </c>
      <c r="P51" s="20">
        <v>-233762.26</v>
      </c>
      <c r="Q51" s="20">
        <v>-227167</v>
      </c>
      <c r="R51" s="20">
        <f>+F51+G51+H51+I51+J51+K51+L51+M51+N51+O51+P51+Q51</f>
        <v>-224569.26</v>
      </c>
    </row>
    <row r="52" spans="1:18" x14ac:dyDescent="0.2">
      <c r="A52" s="12"/>
      <c r="B52" s="12"/>
      <c r="C52" s="12"/>
      <c r="D52" s="12"/>
      <c r="E52" s="12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</row>
    <row r="53" spans="1:18" s="24" customFormat="1" ht="12.75" x14ac:dyDescent="0.2">
      <c r="B53" s="55" t="s">
        <v>48</v>
      </c>
    </row>
    <row r="54" spans="1:18" s="24" customFormat="1" ht="36" customHeight="1" x14ac:dyDescent="0.2">
      <c r="B54" s="55"/>
      <c r="C54" s="176" t="s">
        <v>49</v>
      </c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</row>
    <row r="55" spans="1:18" s="24" customFormat="1" ht="9.75" customHeight="1" x14ac:dyDescent="0.2">
      <c r="B55" s="55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</row>
    <row r="56" spans="1:18" s="68" customFormat="1" ht="12.75" x14ac:dyDescent="0.2">
      <c r="A56" s="68" t="s">
        <v>90</v>
      </c>
      <c r="C56" s="69"/>
      <c r="D56" s="69"/>
    </row>
    <row r="57" spans="1:18" s="68" customFormat="1" ht="12.75" x14ac:dyDescent="0.2">
      <c r="A57" s="68" t="s">
        <v>91</v>
      </c>
      <c r="B57" s="68" t="s">
        <v>92</v>
      </c>
      <c r="C57" s="69"/>
      <c r="D57" s="69"/>
    </row>
    <row r="58" spans="1:18" s="24" customFormat="1" ht="9" customHeight="1" x14ac:dyDescent="0.2"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</row>
    <row r="59" spans="1:18" s="24" customFormat="1" ht="12.75" x14ac:dyDescent="0.2">
      <c r="A59" s="24" t="s">
        <v>52</v>
      </c>
    </row>
    <row r="60" spans="1:18" x14ac:dyDescent="0.2">
      <c r="A60" s="10"/>
    </row>
  </sheetData>
  <mergeCells count="2">
    <mergeCell ref="A6:E6"/>
    <mergeCell ref="C54:Q54"/>
  </mergeCells>
  <printOptions horizontalCentered="1"/>
  <pageMargins left="0.23611111111111099" right="0.23611111111111099" top="1.1027777777777801" bottom="0" header="0.51180555555555596" footer="0.511811023622047"/>
  <pageSetup paperSize="9" orientation="portrait" horizontalDpi="300" verticalDpi="300"/>
  <headerFooter>
    <oddHeader>&amp;C&amp;"Arial,Bold"BUREAU OF THE TREASURY
&amp;"Arial,Italic"&amp;9 Statistical Data Analysis Division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J61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S28" sqref="S28"/>
    </sheetView>
  </sheetViews>
  <sheetFormatPr defaultColWidth="9.140625" defaultRowHeight="14.25" x14ac:dyDescent="0.2"/>
  <cols>
    <col min="1" max="1" width="1.7109375" style="6" customWidth="1"/>
    <col min="2" max="2" width="1.5703125" style="6" customWidth="1"/>
    <col min="3" max="3" width="1.85546875" style="6" customWidth="1"/>
    <col min="4" max="4" width="2.140625" style="6" customWidth="1"/>
    <col min="5" max="5" width="34.42578125" style="6" customWidth="1"/>
    <col min="6" max="6" width="10.7109375" style="6" customWidth="1"/>
    <col min="7" max="7" width="11.7109375" style="6" customWidth="1"/>
    <col min="8" max="8" width="11.28515625" style="6" customWidth="1"/>
    <col min="9" max="9" width="10.5703125" style="6" customWidth="1"/>
    <col min="10" max="10" width="11.28515625" style="6" customWidth="1"/>
    <col min="11" max="17" width="10.5703125" style="6" customWidth="1"/>
    <col min="18" max="18" width="12.5703125" style="6" customWidth="1"/>
    <col min="19" max="19" width="9.140625" style="13"/>
    <col min="20" max="1024" width="9.140625" style="6"/>
  </cols>
  <sheetData>
    <row r="1" spans="1:19" ht="15" x14ac:dyDescent="0.25">
      <c r="A1" s="7" t="s">
        <v>53</v>
      </c>
      <c r="B1" s="7"/>
      <c r="C1" s="7"/>
      <c r="D1" s="7"/>
      <c r="E1" s="7"/>
      <c r="F1" s="7"/>
    </row>
    <row r="2" spans="1:19" ht="15" x14ac:dyDescent="0.25">
      <c r="A2" s="7" t="s">
        <v>93</v>
      </c>
      <c r="B2" s="7"/>
      <c r="C2" s="7"/>
      <c r="D2" s="7"/>
      <c r="E2" s="7"/>
      <c r="F2" s="7"/>
    </row>
    <row r="3" spans="1:19" x14ac:dyDescent="0.2">
      <c r="A3" s="8" t="s">
        <v>2</v>
      </c>
      <c r="B3" s="8"/>
      <c r="C3" s="8"/>
      <c r="D3" s="8"/>
      <c r="E3" s="8"/>
      <c r="F3" s="8"/>
    </row>
    <row r="4" spans="1:19" x14ac:dyDescent="0.2">
      <c r="A4" s="9" t="s">
        <v>55</v>
      </c>
      <c r="B4" s="8"/>
    </row>
    <row r="5" spans="1:19" ht="6" customHeight="1" x14ac:dyDescent="0.2"/>
    <row r="6" spans="1:19" s="10" customFormat="1" ht="22.5" customHeight="1" x14ac:dyDescent="0.2">
      <c r="A6" s="183" t="s">
        <v>3</v>
      </c>
      <c r="B6" s="183"/>
      <c r="C6" s="183"/>
      <c r="D6" s="183"/>
      <c r="E6" s="183"/>
      <c r="F6" s="63" t="s">
        <v>4</v>
      </c>
      <c r="G6" s="63" t="s">
        <v>5</v>
      </c>
      <c r="H6" s="63" t="s">
        <v>6</v>
      </c>
      <c r="I6" s="63" t="s">
        <v>7</v>
      </c>
      <c r="J6" s="63" t="s">
        <v>8</v>
      </c>
      <c r="K6" s="63" t="s">
        <v>9</v>
      </c>
      <c r="L6" s="63" t="s">
        <v>10</v>
      </c>
      <c r="M6" s="63" t="s">
        <v>11</v>
      </c>
      <c r="N6" s="63" t="s">
        <v>65</v>
      </c>
      <c r="O6" s="63" t="s">
        <v>13</v>
      </c>
      <c r="P6" s="63" t="s">
        <v>56</v>
      </c>
      <c r="Q6" s="63" t="s">
        <v>57</v>
      </c>
      <c r="R6" s="64" t="s">
        <v>14</v>
      </c>
      <c r="S6" s="70"/>
    </row>
    <row r="8" spans="1:19" ht="15" x14ac:dyDescent="0.25">
      <c r="B8" s="11" t="s">
        <v>15</v>
      </c>
      <c r="C8" s="11"/>
      <c r="D8" s="11"/>
      <c r="E8" s="11"/>
      <c r="F8" s="17">
        <f t="shared" ref="F8:R8" si="0">+F9+F19+F26</f>
        <v>238898.02299999999</v>
      </c>
      <c r="G8" s="17">
        <f t="shared" si="0"/>
        <v>178534.576</v>
      </c>
      <c r="H8" s="17">
        <f t="shared" si="0"/>
        <v>202359.66700000002</v>
      </c>
      <c r="I8" s="17">
        <f t="shared" si="0"/>
        <v>307558.26</v>
      </c>
      <c r="J8" s="17">
        <f t="shared" si="0"/>
        <v>258991.986</v>
      </c>
      <c r="K8" s="17">
        <f t="shared" si="0"/>
        <v>224199.11800000002</v>
      </c>
      <c r="L8" s="17">
        <f t="shared" si="0"/>
        <v>241742.94899999999</v>
      </c>
      <c r="M8" s="17">
        <f t="shared" si="0"/>
        <v>256874.72899999999</v>
      </c>
      <c r="N8" s="17">
        <f t="shared" si="0"/>
        <v>202350.649</v>
      </c>
      <c r="O8" s="17">
        <f t="shared" si="0"/>
        <v>246762.00200000001</v>
      </c>
      <c r="P8" s="17">
        <f t="shared" si="0"/>
        <v>259702.166</v>
      </c>
      <c r="Q8" s="17">
        <f t="shared" si="0"/>
        <v>232209.18900000001</v>
      </c>
      <c r="R8" s="17">
        <f t="shared" si="0"/>
        <v>2850184.13</v>
      </c>
    </row>
    <row r="9" spans="1:19" x14ac:dyDescent="0.2">
      <c r="C9" s="6" t="s">
        <v>16</v>
      </c>
      <c r="F9" s="21">
        <f t="shared" ref="F9:R9" si="1">+F10+F14+F17</f>
        <v>218070</v>
      </c>
      <c r="G9" s="21">
        <f t="shared" si="1"/>
        <v>162882</v>
      </c>
      <c r="H9" s="21">
        <f t="shared" si="1"/>
        <v>177710</v>
      </c>
      <c r="I9" s="21">
        <f t="shared" si="1"/>
        <v>280947</v>
      </c>
      <c r="J9" s="21">
        <f t="shared" si="1"/>
        <v>226893</v>
      </c>
      <c r="K9" s="21">
        <f t="shared" si="1"/>
        <v>188235</v>
      </c>
      <c r="L9" s="21">
        <f t="shared" si="1"/>
        <v>217700</v>
      </c>
      <c r="M9" s="21">
        <f t="shared" si="1"/>
        <v>239620</v>
      </c>
      <c r="N9" s="21">
        <f t="shared" si="1"/>
        <v>183237</v>
      </c>
      <c r="O9" s="21">
        <f t="shared" si="1"/>
        <v>222373</v>
      </c>
      <c r="P9" s="21">
        <f t="shared" si="1"/>
        <v>242228</v>
      </c>
      <c r="Q9" s="21">
        <f t="shared" si="1"/>
        <v>205977</v>
      </c>
      <c r="R9" s="21">
        <f t="shared" si="1"/>
        <v>2565872</v>
      </c>
    </row>
    <row r="10" spans="1:19" x14ac:dyDescent="0.2">
      <c r="D10" s="6" t="s">
        <v>17</v>
      </c>
      <c r="F10" s="13">
        <v>175612</v>
      </c>
      <c r="G10" s="13">
        <v>116641</v>
      </c>
      <c r="H10" s="13">
        <v>130827</v>
      </c>
      <c r="I10" s="13">
        <v>232618</v>
      </c>
      <c r="J10" s="13">
        <v>172032</v>
      </c>
      <c r="K10" s="13">
        <v>136780</v>
      </c>
      <c r="L10" s="13">
        <v>163999</v>
      </c>
      <c r="M10" s="13">
        <v>185091</v>
      </c>
      <c r="N10" s="13">
        <v>130573</v>
      </c>
      <c r="O10" s="13">
        <v>164792</v>
      </c>
      <c r="P10" s="13">
        <v>192048</v>
      </c>
      <c r="Q10" s="13">
        <v>150837</v>
      </c>
      <c r="R10" s="13">
        <f>+F10+G10+H10+I10+J10+K10+L10+M10+N10+O10+P10+Q10</f>
        <v>1951850</v>
      </c>
    </row>
    <row r="11" spans="1:19" x14ac:dyDescent="0.2">
      <c r="E11" s="10" t="s">
        <v>18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9" x14ac:dyDescent="0.2">
      <c r="E12" s="6" t="s">
        <v>19</v>
      </c>
      <c r="F12" s="13">
        <v>1389</v>
      </c>
      <c r="G12" s="13">
        <v>314</v>
      </c>
      <c r="H12" s="13">
        <v>1125</v>
      </c>
      <c r="I12" s="13">
        <v>403</v>
      </c>
      <c r="J12" s="13">
        <v>476</v>
      </c>
      <c r="K12" s="13">
        <v>479</v>
      </c>
      <c r="L12" s="13">
        <v>1393</v>
      </c>
      <c r="M12" s="13">
        <v>287</v>
      </c>
      <c r="N12" s="13">
        <v>1382</v>
      </c>
      <c r="O12" s="13">
        <v>420</v>
      </c>
      <c r="P12" s="13">
        <v>432</v>
      </c>
      <c r="Q12" s="13">
        <v>943</v>
      </c>
      <c r="R12" s="13">
        <f>+F12+G12+H12+I12+J12+K12+L12+M12+N12+O12+P12+Q12</f>
        <v>9043</v>
      </c>
    </row>
    <row r="13" spans="1:19" x14ac:dyDescent="0.2">
      <c r="E13" s="6" t="s">
        <v>20</v>
      </c>
      <c r="F13" s="13">
        <v>36</v>
      </c>
      <c r="G13" s="13">
        <v>6</v>
      </c>
      <c r="H13" s="13">
        <v>6</v>
      </c>
      <c r="I13" s="13">
        <v>1962</v>
      </c>
      <c r="J13" s="13">
        <v>8</v>
      </c>
      <c r="K13" s="13">
        <v>262</v>
      </c>
      <c r="L13" s="13">
        <v>101</v>
      </c>
      <c r="M13" s="13">
        <v>1489</v>
      </c>
      <c r="N13" s="13">
        <v>396</v>
      </c>
      <c r="O13" s="13">
        <v>65</v>
      </c>
      <c r="P13" s="13">
        <v>44</v>
      </c>
      <c r="Q13" s="13">
        <v>515</v>
      </c>
      <c r="R13" s="13">
        <f>+F13+G13+H13+I13+J13+K13+L13+M13+N13+O13+P13+Q13</f>
        <v>4890</v>
      </c>
    </row>
    <row r="14" spans="1:19" x14ac:dyDescent="0.2">
      <c r="D14" s="6" t="s">
        <v>21</v>
      </c>
      <c r="F14" s="13">
        <v>40831</v>
      </c>
      <c r="G14" s="13">
        <v>43716</v>
      </c>
      <c r="H14" s="13">
        <v>45251</v>
      </c>
      <c r="I14" s="13">
        <v>46794</v>
      </c>
      <c r="J14" s="13">
        <v>52747</v>
      </c>
      <c r="K14" s="13">
        <v>50049</v>
      </c>
      <c r="L14" s="13">
        <v>52144</v>
      </c>
      <c r="M14" s="13">
        <v>52012</v>
      </c>
      <c r="N14" s="13">
        <v>51075</v>
      </c>
      <c r="O14" s="13">
        <v>55953</v>
      </c>
      <c r="P14" s="13">
        <v>47902</v>
      </c>
      <c r="Q14" s="13">
        <v>54637</v>
      </c>
      <c r="R14" s="13">
        <f>+F14+G14+H14+I14+J14+K14+L14+M14+N14+O14+P14+Q14</f>
        <v>593111</v>
      </c>
    </row>
    <row r="15" spans="1:19" x14ac:dyDescent="0.2">
      <c r="E15" s="10" t="s">
        <v>18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9" x14ac:dyDescent="0.2">
      <c r="E16" s="6" t="s">
        <v>20</v>
      </c>
      <c r="F16" s="13">
        <v>16</v>
      </c>
      <c r="G16" s="13">
        <v>34</v>
      </c>
      <c r="H16" s="13">
        <v>1453</v>
      </c>
      <c r="I16" s="13">
        <v>148</v>
      </c>
      <c r="J16" s="13">
        <v>90</v>
      </c>
      <c r="K16" s="13">
        <v>3</v>
      </c>
      <c r="L16" s="13">
        <v>30</v>
      </c>
      <c r="M16" s="13">
        <v>496</v>
      </c>
      <c r="N16" s="13">
        <v>204</v>
      </c>
      <c r="O16" s="13">
        <v>346</v>
      </c>
      <c r="P16" s="13">
        <v>214</v>
      </c>
      <c r="Q16" s="13">
        <v>4625</v>
      </c>
      <c r="R16" s="13">
        <f>+F16+G16+H16+I16+J16+K16+L16+M16+N16+O16+P16+Q16</f>
        <v>7659</v>
      </c>
    </row>
    <row r="17" spans="2:20" x14ac:dyDescent="0.2">
      <c r="D17" s="6" t="s">
        <v>88</v>
      </c>
      <c r="F17" s="13">
        <v>1627</v>
      </c>
      <c r="G17" s="13">
        <v>2525</v>
      </c>
      <c r="H17" s="13">
        <v>1632</v>
      </c>
      <c r="I17" s="13">
        <v>1535</v>
      </c>
      <c r="J17" s="13">
        <v>2114</v>
      </c>
      <c r="K17" s="13">
        <v>1406</v>
      </c>
      <c r="L17" s="13">
        <v>1557</v>
      </c>
      <c r="M17" s="13">
        <v>2517</v>
      </c>
      <c r="N17" s="13">
        <v>1589</v>
      </c>
      <c r="O17" s="13">
        <v>1628</v>
      </c>
      <c r="P17" s="13">
        <v>2278</v>
      </c>
      <c r="Q17" s="13">
        <v>503</v>
      </c>
      <c r="R17" s="13">
        <f>+F17+G17+H17+I17+J17+K17+L17+M17+N17+O17+P17+Q17</f>
        <v>20911</v>
      </c>
    </row>
    <row r="18" spans="2:20" x14ac:dyDescent="0.2"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71"/>
      <c r="R18" s="71"/>
    </row>
    <row r="19" spans="2:20" x14ac:dyDescent="0.2">
      <c r="C19" s="6" t="s">
        <v>23</v>
      </c>
      <c r="F19" s="21">
        <f t="shared" ref="F19:R19" si="2">SUM(F20:F24)</f>
        <v>20828.023000000001</v>
      </c>
      <c r="G19" s="21">
        <f t="shared" si="2"/>
        <v>15652.576000000001</v>
      </c>
      <c r="H19" s="21">
        <f t="shared" si="2"/>
        <v>24649.667000000001</v>
      </c>
      <c r="I19" s="21">
        <f t="shared" si="2"/>
        <v>26611.26</v>
      </c>
      <c r="J19" s="21">
        <f t="shared" si="2"/>
        <v>32098.986000000001</v>
      </c>
      <c r="K19" s="21">
        <f t="shared" si="2"/>
        <v>35942.118000000002</v>
      </c>
      <c r="L19" s="21">
        <f t="shared" si="2"/>
        <v>24042.949000000001</v>
      </c>
      <c r="M19" s="21">
        <f t="shared" si="2"/>
        <v>17254.728999999999</v>
      </c>
      <c r="N19" s="21">
        <f t="shared" si="2"/>
        <v>19113.648999999998</v>
      </c>
      <c r="O19" s="21">
        <f t="shared" si="2"/>
        <v>24389.002</v>
      </c>
      <c r="P19" s="21">
        <f t="shared" si="2"/>
        <v>17474.166000000001</v>
      </c>
      <c r="Q19" s="21">
        <f t="shared" si="2"/>
        <v>26203.188999999998</v>
      </c>
      <c r="R19" s="21">
        <f t="shared" si="2"/>
        <v>284261.13</v>
      </c>
    </row>
    <row r="20" spans="2:20" x14ac:dyDescent="0.2">
      <c r="D20" s="6" t="s">
        <v>24</v>
      </c>
      <c r="F20" s="13">
        <v>8080</v>
      </c>
      <c r="G20" s="13">
        <v>5870</v>
      </c>
      <c r="H20" s="13">
        <v>8816</v>
      </c>
      <c r="I20" s="13">
        <v>14215</v>
      </c>
      <c r="J20" s="13">
        <v>21378</v>
      </c>
      <c r="K20" s="13">
        <v>7789</v>
      </c>
      <c r="L20" s="13">
        <v>11757</v>
      </c>
      <c r="M20" s="13">
        <v>5413</v>
      </c>
      <c r="N20" s="13">
        <v>7190</v>
      </c>
      <c r="O20" s="13">
        <v>8371</v>
      </c>
      <c r="P20" s="13">
        <v>4725</v>
      </c>
      <c r="Q20" s="13">
        <v>10595</v>
      </c>
      <c r="R20" s="13">
        <f>+F20+G20+H20+I20+J20+K20+L20+M20+N20+O20+P20+Q20</f>
        <v>114199</v>
      </c>
    </row>
    <row r="21" spans="2:20" x14ac:dyDescent="0.2">
      <c r="D21" s="6" t="s">
        <v>89</v>
      </c>
      <c r="F21" s="13">
        <v>3657</v>
      </c>
      <c r="G21" s="13">
        <v>5380</v>
      </c>
      <c r="H21" s="13">
        <v>3333</v>
      </c>
      <c r="I21" s="13">
        <v>3878</v>
      </c>
      <c r="J21" s="13">
        <v>3580</v>
      </c>
      <c r="K21" s="13">
        <v>2951</v>
      </c>
      <c r="L21" s="13">
        <v>4369</v>
      </c>
      <c r="M21" s="13">
        <v>4924</v>
      </c>
      <c r="N21" s="13">
        <v>4788</v>
      </c>
      <c r="O21" s="13">
        <v>6287</v>
      </c>
      <c r="P21" s="13">
        <v>5913</v>
      </c>
      <c r="Q21" s="13">
        <v>3669</v>
      </c>
      <c r="R21" s="13">
        <f>+F21+G21+H21+I21+J21+K21+L21+M21+N21+O21+P21+Q21</f>
        <v>52729</v>
      </c>
    </row>
    <row r="22" spans="2:20" x14ac:dyDescent="0.2">
      <c r="D22" s="6" t="s">
        <v>26</v>
      </c>
      <c r="F22" s="13">
        <v>17.13</v>
      </c>
      <c r="G22" s="13">
        <v>9</v>
      </c>
      <c r="H22" s="13">
        <v>0</v>
      </c>
      <c r="I22" s="13">
        <v>209</v>
      </c>
      <c r="J22" s="13">
        <v>117</v>
      </c>
      <c r="K22" s="13">
        <v>14029</v>
      </c>
      <c r="L22" s="13">
        <v>23</v>
      </c>
      <c r="M22" s="13">
        <v>628</v>
      </c>
      <c r="N22" s="13">
        <v>362</v>
      </c>
      <c r="O22" s="13">
        <v>29</v>
      </c>
      <c r="P22" s="13">
        <v>14</v>
      </c>
      <c r="Q22" s="13">
        <v>218</v>
      </c>
      <c r="R22" s="13">
        <f>+F22+G22+H22+I22+J22+K22+L22+M22+N22+O22+P22+Q22</f>
        <v>15655.13</v>
      </c>
    </row>
    <row r="23" spans="2:20" x14ac:dyDescent="0.2">
      <c r="D23" s="6" t="s">
        <v>27</v>
      </c>
      <c r="F23" s="13">
        <v>1772.893</v>
      </c>
      <c r="G23" s="13">
        <v>1601.576</v>
      </c>
      <c r="H23" s="13">
        <v>1579.6669999999999</v>
      </c>
      <c r="I23" s="13">
        <v>1775.26</v>
      </c>
      <c r="J23" s="13">
        <v>2124.9859999999999</v>
      </c>
      <c r="K23" s="13">
        <v>1765.1179999999999</v>
      </c>
      <c r="L23" s="13">
        <v>2265.9490000000001</v>
      </c>
      <c r="M23" s="13">
        <v>1988.729</v>
      </c>
      <c r="N23" s="13">
        <v>2245.6489999999999</v>
      </c>
      <c r="O23" s="13">
        <v>2454.002</v>
      </c>
      <c r="P23" s="13">
        <v>2354.1660000000002</v>
      </c>
      <c r="Q23" s="13">
        <v>2588.1889999999999</v>
      </c>
      <c r="R23" s="13">
        <v>24516.19</v>
      </c>
      <c r="T23" s="13"/>
    </row>
    <row r="24" spans="2:20" x14ac:dyDescent="0.2">
      <c r="D24" s="6" t="s">
        <v>28</v>
      </c>
      <c r="F24" s="13">
        <v>7301</v>
      </c>
      <c r="G24" s="13">
        <v>2792</v>
      </c>
      <c r="H24" s="13">
        <v>10921</v>
      </c>
      <c r="I24" s="13">
        <v>6534</v>
      </c>
      <c r="J24" s="13">
        <v>4899</v>
      </c>
      <c r="K24" s="13">
        <v>9408</v>
      </c>
      <c r="L24" s="13">
        <v>5628</v>
      </c>
      <c r="M24" s="13">
        <v>4301</v>
      </c>
      <c r="N24" s="13">
        <v>4528</v>
      </c>
      <c r="O24" s="13">
        <v>7248</v>
      </c>
      <c r="P24" s="13">
        <v>4468</v>
      </c>
      <c r="Q24" s="13">
        <v>9133</v>
      </c>
      <c r="R24" s="13">
        <v>77161.81</v>
      </c>
    </row>
    <row r="25" spans="2:20" x14ac:dyDescent="0.2"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2:20" x14ac:dyDescent="0.2">
      <c r="C26" s="6" t="s">
        <v>29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22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29</v>
      </c>
      <c r="R26" s="13">
        <f>+F26+G26+H26+I26+J26+K26+L26+M26+N26+O26+P26+Q26</f>
        <v>51</v>
      </c>
    </row>
    <row r="27" spans="2:20" x14ac:dyDescent="0.2">
      <c r="F27" s="13" t="s">
        <v>58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2:20" ht="15" x14ac:dyDescent="0.25">
      <c r="B28" s="11" t="s">
        <v>30</v>
      </c>
      <c r="C28" s="11"/>
      <c r="D28" s="11"/>
      <c r="E28" s="11"/>
      <c r="F28" s="17">
        <f t="shared" ref="F28:R28" si="3">SUM(F30:F36)</f>
        <v>228707</v>
      </c>
      <c r="G28" s="17">
        <f t="shared" si="3"/>
        <v>230204</v>
      </c>
      <c r="H28" s="17">
        <f t="shared" si="3"/>
        <v>313053</v>
      </c>
      <c r="I28" s="17">
        <f t="shared" si="3"/>
        <v>261243</v>
      </c>
      <c r="J28" s="17">
        <f t="shared" si="3"/>
        <v>291865</v>
      </c>
      <c r="K28" s="17">
        <f t="shared" si="3"/>
        <v>278487</v>
      </c>
      <c r="L28" s="17">
        <f t="shared" si="3"/>
        <v>328126</v>
      </c>
      <c r="M28" s="17">
        <f t="shared" si="3"/>
        <v>259462</v>
      </c>
      <c r="N28" s="17">
        <f t="shared" si="3"/>
        <v>298598</v>
      </c>
      <c r="O28" s="17">
        <f t="shared" si="3"/>
        <v>306627</v>
      </c>
      <c r="P28" s="17">
        <f t="shared" si="3"/>
        <v>298820</v>
      </c>
      <c r="Q28" s="17">
        <f t="shared" si="3"/>
        <v>313251</v>
      </c>
      <c r="R28" s="17">
        <f t="shared" si="3"/>
        <v>3408443</v>
      </c>
    </row>
    <row r="29" spans="2:20" ht="8.25" customHeight="1" x14ac:dyDescent="0.2"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2:20" x14ac:dyDescent="0.2">
      <c r="D30" s="6" t="s">
        <v>31</v>
      </c>
      <c r="F30" s="13">
        <v>43305</v>
      </c>
      <c r="G30" s="13">
        <v>59162</v>
      </c>
      <c r="H30" s="13">
        <v>46272</v>
      </c>
      <c r="I30" s="13">
        <v>58836</v>
      </c>
      <c r="J30" s="13">
        <v>48657</v>
      </c>
      <c r="K30" s="13">
        <v>46427</v>
      </c>
      <c r="L30" s="13">
        <v>46356</v>
      </c>
      <c r="M30" s="13">
        <v>45939</v>
      </c>
      <c r="N30" s="13">
        <v>47868</v>
      </c>
      <c r="O30" s="13">
        <v>44601</v>
      </c>
      <c r="P30" s="13">
        <v>44059</v>
      </c>
      <c r="Q30" s="13">
        <v>44168</v>
      </c>
      <c r="R30" s="13">
        <f t="shared" ref="R30:R36" si="4">+F30+G30+H30+I30+J30+K30+L30+M30+N30+O30+P30+Q30</f>
        <v>575650</v>
      </c>
    </row>
    <row r="31" spans="2:20" x14ac:dyDescent="0.2">
      <c r="D31" s="6" t="s">
        <v>32</v>
      </c>
      <c r="F31" s="13">
        <v>43516</v>
      </c>
      <c r="G31" s="13">
        <v>26097</v>
      </c>
      <c r="H31" s="13">
        <v>27549</v>
      </c>
      <c r="I31" s="13">
        <v>23172</v>
      </c>
      <c r="J31" s="13">
        <v>21111</v>
      </c>
      <c r="K31" s="13">
        <v>24065</v>
      </c>
      <c r="L31" s="13">
        <v>44841</v>
      </c>
      <c r="M31" s="13">
        <v>28301</v>
      </c>
      <c r="N31" s="13">
        <v>32675</v>
      </c>
      <c r="O31" s="13">
        <v>24015</v>
      </c>
      <c r="P31" s="13">
        <v>24660</v>
      </c>
      <c r="Q31" s="13">
        <v>29213</v>
      </c>
      <c r="R31" s="13">
        <f t="shared" si="4"/>
        <v>349215</v>
      </c>
    </row>
    <row r="32" spans="2:20" x14ac:dyDescent="0.2">
      <c r="D32" s="6" t="s">
        <v>33</v>
      </c>
      <c r="F32" s="13">
        <v>1441</v>
      </c>
      <c r="G32" s="13">
        <v>354</v>
      </c>
      <c r="H32" s="13">
        <v>2584</v>
      </c>
      <c r="I32" s="13">
        <v>2513</v>
      </c>
      <c r="J32" s="13">
        <v>574</v>
      </c>
      <c r="K32" s="13">
        <v>744</v>
      </c>
      <c r="L32" s="13">
        <v>1524</v>
      </c>
      <c r="M32" s="13">
        <v>2272</v>
      </c>
      <c r="N32" s="13">
        <v>1982</v>
      </c>
      <c r="O32" s="13">
        <v>831</v>
      </c>
      <c r="P32" s="13">
        <v>690</v>
      </c>
      <c r="Q32" s="13">
        <v>6083</v>
      </c>
      <c r="R32" s="13">
        <f t="shared" si="4"/>
        <v>21592</v>
      </c>
    </row>
    <row r="33" spans="2:18" ht="13.5" customHeight="1" x14ac:dyDescent="0.2">
      <c r="D33" s="6" t="s">
        <v>78</v>
      </c>
      <c r="F33" s="13">
        <v>922</v>
      </c>
      <c r="G33" s="13">
        <v>9126</v>
      </c>
      <c r="H33" s="13">
        <v>35240</v>
      </c>
      <c r="I33" s="13">
        <v>3874</v>
      </c>
      <c r="J33" s="13">
        <v>3832</v>
      </c>
      <c r="K33" s="13">
        <v>14750</v>
      </c>
      <c r="L33" s="13">
        <v>32470</v>
      </c>
      <c r="M33" s="13">
        <v>5037</v>
      </c>
      <c r="N33" s="13">
        <v>19583</v>
      </c>
      <c r="O33" s="13">
        <v>1551</v>
      </c>
      <c r="P33" s="13">
        <v>8086</v>
      </c>
      <c r="Q33" s="13">
        <v>2181</v>
      </c>
      <c r="R33" s="13">
        <f t="shared" si="4"/>
        <v>136652</v>
      </c>
    </row>
    <row r="34" spans="2:18" x14ac:dyDescent="0.2">
      <c r="D34" s="6" t="s">
        <v>35</v>
      </c>
      <c r="F34" s="13">
        <v>0</v>
      </c>
      <c r="G34" s="13">
        <v>31</v>
      </c>
      <c r="H34" s="13">
        <v>2000</v>
      </c>
      <c r="I34" s="13">
        <v>18</v>
      </c>
      <c r="J34" s="13">
        <v>0</v>
      </c>
      <c r="K34" s="13">
        <v>538</v>
      </c>
      <c r="L34" s="13">
        <v>484</v>
      </c>
      <c r="M34" s="13">
        <v>6</v>
      </c>
      <c r="N34" s="13">
        <v>770</v>
      </c>
      <c r="O34" s="13">
        <v>25</v>
      </c>
      <c r="P34" s="13">
        <v>90</v>
      </c>
      <c r="Q34" s="13">
        <v>23</v>
      </c>
      <c r="R34" s="13">
        <f t="shared" si="4"/>
        <v>3985</v>
      </c>
    </row>
    <row r="35" spans="2:18" x14ac:dyDescent="0.2">
      <c r="D35" s="6" t="s">
        <v>79</v>
      </c>
      <c r="F35" s="13">
        <v>20</v>
      </c>
      <c r="G35" s="13">
        <v>-1078</v>
      </c>
      <c r="H35" s="13">
        <v>817</v>
      </c>
      <c r="I35" s="13">
        <v>25</v>
      </c>
      <c r="J35" s="13">
        <v>1412</v>
      </c>
      <c r="K35" s="13">
        <v>174</v>
      </c>
      <c r="L35" s="13">
        <v>1322</v>
      </c>
      <c r="M35" s="13">
        <v>3067</v>
      </c>
      <c r="N35" s="13">
        <v>1078</v>
      </c>
      <c r="O35" s="13">
        <v>-1316</v>
      </c>
      <c r="P35" s="13">
        <v>990</v>
      </c>
      <c r="Q35" s="13">
        <v>-1636</v>
      </c>
      <c r="R35" s="13">
        <f t="shared" si="4"/>
        <v>4875</v>
      </c>
    </row>
    <row r="36" spans="2:18" x14ac:dyDescent="0.2">
      <c r="D36" s="6" t="s">
        <v>80</v>
      </c>
      <c r="F36" s="13">
        <f>127345+13599-F32</f>
        <v>139503</v>
      </c>
      <c r="G36" s="13">
        <f>129388+7478-G32</f>
        <v>136512</v>
      </c>
      <c r="H36" s="13">
        <f>187338+13837-H32</f>
        <v>198591</v>
      </c>
      <c r="I36" s="13">
        <f>161653+13665-I32</f>
        <v>172805</v>
      </c>
      <c r="J36" s="13">
        <f>206956+9897-J32</f>
        <v>216279</v>
      </c>
      <c r="K36" s="13">
        <f>180928+11605-K32</f>
        <v>191789</v>
      </c>
      <c r="L36" s="13">
        <f>188057+14596-L32</f>
        <v>201129</v>
      </c>
      <c r="M36" s="13">
        <f>164157+12955-M32</f>
        <v>174840</v>
      </c>
      <c r="N36" s="13">
        <f>183440+13184-N32</f>
        <v>194642</v>
      </c>
      <c r="O36" s="13">
        <f>225241+12510-O32</f>
        <v>236920</v>
      </c>
      <c r="P36" s="13">
        <f>206144+14791-P32</f>
        <v>220245</v>
      </c>
      <c r="Q36" s="13">
        <f>220718+18584-Q32</f>
        <v>233219</v>
      </c>
      <c r="R36" s="13">
        <f t="shared" si="4"/>
        <v>2316474</v>
      </c>
    </row>
    <row r="37" spans="2:18" x14ac:dyDescent="0.2">
      <c r="F37" s="21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ht="15" x14ac:dyDescent="0.25">
      <c r="B38" s="11" t="s">
        <v>38</v>
      </c>
      <c r="C38" s="11"/>
      <c r="D38" s="11"/>
      <c r="E38" s="11"/>
      <c r="F38" s="20">
        <f t="shared" ref="F38:Q38" si="5">+F8-F28</f>
        <v>10191.022999999986</v>
      </c>
      <c r="G38" s="20">
        <f t="shared" si="5"/>
        <v>-51669.423999999999</v>
      </c>
      <c r="H38" s="20">
        <f t="shared" si="5"/>
        <v>-110693.33299999998</v>
      </c>
      <c r="I38" s="20">
        <f t="shared" si="5"/>
        <v>46315.260000000009</v>
      </c>
      <c r="J38" s="20">
        <f t="shared" si="5"/>
        <v>-32873.013999999996</v>
      </c>
      <c r="K38" s="20">
        <f t="shared" si="5"/>
        <v>-54287.881999999983</v>
      </c>
      <c r="L38" s="20">
        <f t="shared" si="5"/>
        <v>-86383.051000000007</v>
      </c>
      <c r="M38" s="20">
        <f t="shared" si="5"/>
        <v>-2587.2710000000079</v>
      </c>
      <c r="N38" s="20">
        <f t="shared" si="5"/>
        <v>-96247.350999999995</v>
      </c>
      <c r="O38" s="20">
        <f t="shared" si="5"/>
        <v>-59864.997999999992</v>
      </c>
      <c r="P38" s="20">
        <f t="shared" si="5"/>
        <v>-39117.834000000003</v>
      </c>
      <c r="Q38" s="20">
        <f t="shared" si="5"/>
        <v>-81041.810999999987</v>
      </c>
      <c r="R38" s="20">
        <f>+F38+G38+H38+I38+J38+K38+L38+M38+N38+O38+P38+Q38+1</f>
        <v>-558258.68599999999</v>
      </c>
    </row>
    <row r="39" spans="2:18" x14ac:dyDescent="0.2"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2:18" ht="15" x14ac:dyDescent="0.25">
      <c r="B40" s="11" t="s">
        <v>39</v>
      </c>
      <c r="C40" s="11"/>
      <c r="D40" s="11"/>
      <c r="E40" s="11"/>
      <c r="F40" s="17">
        <f t="shared" ref="F40:R40" si="6">+F41+F45</f>
        <v>44661</v>
      </c>
      <c r="G40" s="17">
        <f t="shared" si="6"/>
        <v>54479</v>
      </c>
      <c r="H40" s="17">
        <f t="shared" si="6"/>
        <v>44993</v>
      </c>
      <c r="I40" s="17">
        <f t="shared" si="6"/>
        <v>32018</v>
      </c>
      <c r="J40" s="17">
        <f t="shared" si="6"/>
        <v>50509</v>
      </c>
      <c r="K40" s="17">
        <f t="shared" si="6"/>
        <v>153291</v>
      </c>
      <c r="L40" s="17">
        <f t="shared" si="6"/>
        <v>42026</v>
      </c>
      <c r="M40" s="17">
        <f t="shared" si="6"/>
        <v>129601</v>
      </c>
      <c r="N40" s="17">
        <f t="shared" si="6"/>
        <v>38061</v>
      </c>
      <c r="O40" s="17">
        <f t="shared" si="6"/>
        <v>28937</v>
      </c>
      <c r="P40" s="17">
        <f t="shared" si="6"/>
        <v>90380</v>
      </c>
      <c r="Q40" s="17">
        <f t="shared" si="6"/>
        <v>74321</v>
      </c>
      <c r="R40" s="17">
        <f t="shared" si="6"/>
        <v>783277</v>
      </c>
    </row>
    <row r="41" spans="2:18" x14ac:dyDescent="0.2">
      <c r="C41" s="6" t="s">
        <v>40</v>
      </c>
      <c r="F41" s="21">
        <f t="shared" ref="F41:R41" si="7">+F42-F43</f>
        <v>16980</v>
      </c>
      <c r="G41" s="21">
        <f t="shared" si="7"/>
        <v>55948</v>
      </c>
      <c r="H41" s="21">
        <f t="shared" si="7"/>
        <v>9893</v>
      </c>
      <c r="I41" s="21">
        <f t="shared" si="7"/>
        <v>-1103</v>
      </c>
      <c r="J41" s="21">
        <f t="shared" si="7"/>
        <v>-4815</v>
      </c>
      <c r="K41" s="21">
        <f t="shared" si="7"/>
        <v>-1118</v>
      </c>
      <c r="L41" s="21">
        <f t="shared" si="7"/>
        <v>20975</v>
      </c>
      <c r="M41" s="21">
        <f t="shared" si="7"/>
        <v>71668</v>
      </c>
      <c r="N41" s="21">
        <f t="shared" si="7"/>
        <v>23614</v>
      </c>
      <c r="O41" s="21">
        <f t="shared" si="7"/>
        <v>-2629</v>
      </c>
      <c r="P41" s="21">
        <f t="shared" si="7"/>
        <v>-3930</v>
      </c>
      <c r="Q41" s="21">
        <f t="shared" si="7"/>
        <v>6269</v>
      </c>
      <c r="R41" s="21">
        <f t="shared" si="7"/>
        <v>191752</v>
      </c>
    </row>
    <row r="42" spans="2:18" x14ac:dyDescent="0.2">
      <c r="D42" s="6" t="s">
        <v>41</v>
      </c>
      <c r="F42" s="13">
        <v>18278</v>
      </c>
      <c r="G42" s="13">
        <v>110339</v>
      </c>
      <c r="H42" s="13">
        <v>15785</v>
      </c>
      <c r="I42" s="13">
        <v>3455</v>
      </c>
      <c r="J42" s="13">
        <v>2534</v>
      </c>
      <c r="K42" s="13">
        <v>5394</v>
      </c>
      <c r="L42" s="13">
        <v>23072</v>
      </c>
      <c r="M42" s="13">
        <v>75853</v>
      </c>
      <c r="N42" s="13">
        <v>29532</v>
      </c>
      <c r="O42" s="13">
        <v>1810</v>
      </c>
      <c r="P42" s="13">
        <v>3410</v>
      </c>
      <c r="Q42" s="13">
        <v>13615</v>
      </c>
      <c r="R42" s="13">
        <f>+F42+G42+H42+I42+J42+K42+L42+M42+N42+O42+P42+Q42</f>
        <v>303077</v>
      </c>
    </row>
    <row r="43" spans="2:18" x14ac:dyDescent="0.2">
      <c r="D43" s="6" t="s">
        <v>42</v>
      </c>
      <c r="F43" s="13">
        <v>1298</v>
      </c>
      <c r="G43" s="13">
        <v>54391</v>
      </c>
      <c r="H43" s="13">
        <v>5892</v>
      </c>
      <c r="I43" s="13">
        <v>4558</v>
      </c>
      <c r="J43" s="13">
        <v>7349</v>
      </c>
      <c r="K43" s="13">
        <v>6512</v>
      </c>
      <c r="L43" s="13">
        <v>2097</v>
      </c>
      <c r="M43" s="13">
        <v>4185</v>
      </c>
      <c r="N43" s="13">
        <v>5918</v>
      </c>
      <c r="O43" s="13">
        <v>4439</v>
      </c>
      <c r="P43" s="13">
        <v>7340</v>
      </c>
      <c r="Q43" s="13">
        <v>7346</v>
      </c>
      <c r="R43" s="13">
        <f>+F43+G43+H43+I43+J43+K43+L43+M43+N43+O43+P43+Q43</f>
        <v>111325</v>
      </c>
    </row>
    <row r="44" spans="2:18" x14ac:dyDescent="0.2"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2:18" x14ac:dyDescent="0.2">
      <c r="C45" s="6" t="s">
        <v>43</v>
      </c>
      <c r="F45" s="21">
        <f t="shared" ref="F45:R45" si="8">+F46-F47</f>
        <v>27681</v>
      </c>
      <c r="G45" s="21">
        <f t="shared" si="8"/>
        <v>-1469</v>
      </c>
      <c r="H45" s="21">
        <f t="shared" si="8"/>
        <v>35100</v>
      </c>
      <c r="I45" s="21">
        <f t="shared" si="8"/>
        <v>33121</v>
      </c>
      <c r="J45" s="21">
        <f t="shared" si="8"/>
        <v>55324</v>
      </c>
      <c r="K45" s="21">
        <f t="shared" si="8"/>
        <v>154409</v>
      </c>
      <c r="L45" s="21">
        <f t="shared" si="8"/>
        <v>21051</v>
      </c>
      <c r="M45" s="21">
        <f t="shared" si="8"/>
        <v>57933</v>
      </c>
      <c r="N45" s="21">
        <f t="shared" si="8"/>
        <v>14447</v>
      </c>
      <c r="O45" s="21">
        <f t="shared" si="8"/>
        <v>31566</v>
      </c>
      <c r="P45" s="21">
        <f t="shared" si="8"/>
        <v>94310</v>
      </c>
      <c r="Q45" s="21">
        <f t="shared" si="8"/>
        <v>68052</v>
      </c>
      <c r="R45" s="21">
        <f t="shared" si="8"/>
        <v>591525</v>
      </c>
    </row>
    <row r="46" spans="2:18" x14ac:dyDescent="0.2">
      <c r="D46" s="6" t="s">
        <v>44</v>
      </c>
      <c r="F46" s="13">
        <v>27681</v>
      </c>
      <c r="G46" s="13">
        <v>-1469</v>
      </c>
      <c r="H46" s="13">
        <v>35565</v>
      </c>
      <c r="I46" s="13">
        <v>33237</v>
      </c>
      <c r="J46" s="13">
        <v>55435</v>
      </c>
      <c r="K46" s="13">
        <v>154588</v>
      </c>
      <c r="L46" s="13">
        <v>21324</v>
      </c>
      <c r="M46" s="13">
        <v>58196</v>
      </c>
      <c r="N46" s="13">
        <v>14447</v>
      </c>
      <c r="O46" s="13">
        <v>32292</v>
      </c>
      <c r="P46" s="13">
        <v>94502</v>
      </c>
      <c r="Q46" s="13">
        <v>68676</v>
      </c>
      <c r="R46" s="13">
        <f>+F46+G46+H46+I46+J46+K46+L46+M46+N46+O46+P46+Q46</f>
        <v>594474</v>
      </c>
    </row>
    <row r="47" spans="2:18" x14ac:dyDescent="0.2">
      <c r="D47" s="6" t="s">
        <v>45</v>
      </c>
      <c r="F47" s="18">
        <f t="shared" ref="F47:Q47" si="9">F48-F49</f>
        <v>0</v>
      </c>
      <c r="G47" s="18">
        <f t="shared" si="9"/>
        <v>0</v>
      </c>
      <c r="H47" s="18">
        <f t="shared" si="9"/>
        <v>465</v>
      </c>
      <c r="I47" s="18">
        <f t="shared" si="9"/>
        <v>116</v>
      </c>
      <c r="J47" s="18">
        <f t="shared" si="9"/>
        <v>111</v>
      </c>
      <c r="K47" s="18">
        <f t="shared" si="9"/>
        <v>179</v>
      </c>
      <c r="L47" s="18">
        <f t="shared" si="9"/>
        <v>273</v>
      </c>
      <c r="M47" s="18">
        <f t="shared" si="9"/>
        <v>263</v>
      </c>
      <c r="N47" s="18">
        <f t="shared" si="9"/>
        <v>0</v>
      </c>
      <c r="O47" s="18">
        <f t="shared" si="9"/>
        <v>726</v>
      </c>
      <c r="P47" s="18">
        <f t="shared" si="9"/>
        <v>192</v>
      </c>
      <c r="Q47" s="18">
        <f t="shared" si="9"/>
        <v>624</v>
      </c>
      <c r="R47" s="13">
        <f>+F47+G47+H47+I47+J47+K47+L47+M47+N47+O47+P47+Q47</f>
        <v>2949</v>
      </c>
    </row>
    <row r="48" spans="2:18" x14ac:dyDescent="0.2">
      <c r="E48" s="6" t="s">
        <v>68</v>
      </c>
      <c r="F48" s="18">
        <v>38992</v>
      </c>
      <c r="G48" s="13">
        <v>0</v>
      </c>
      <c r="H48" s="13">
        <v>465</v>
      </c>
      <c r="I48" s="13">
        <v>116</v>
      </c>
      <c r="J48" s="13">
        <v>130636</v>
      </c>
      <c r="K48" s="13">
        <v>179</v>
      </c>
      <c r="L48" s="13">
        <v>273</v>
      </c>
      <c r="M48" s="13">
        <v>86350</v>
      </c>
      <c r="N48" s="13">
        <v>0</v>
      </c>
      <c r="O48" s="13">
        <v>726</v>
      </c>
      <c r="P48" s="13">
        <v>6688</v>
      </c>
      <c r="Q48" s="13">
        <v>624</v>
      </c>
      <c r="R48" s="13">
        <f>+F48+G48+H48+I48+J48+K48+L48+M48+N48+O48+P48+Q48</f>
        <v>265049</v>
      </c>
    </row>
    <row r="49" spans="1:19" x14ac:dyDescent="0.2">
      <c r="E49" s="22" t="s">
        <v>81</v>
      </c>
      <c r="F49" s="18">
        <v>38992</v>
      </c>
      <c r="G49" s="13">
        <v>0</v>
      </c>
      <c r="H49" s="13">
        <v>0</v>
      </c>
      <c r="I49" s="13">
        <v>0</v>
      </c>
      <c r="J49" s="13">
        <v>130525</v>
      </c>
      <c r="K49" s="13">
        <v>0</v>
      </c>
      <c r="L49" s="13">
        <v>0</v>
      </c>
      <c r="M49" s="13">
        <v>86087</v>
      </c>
      <c r="N49" s="13">
        <v>0</v>
      </c>
      <c r="O49" s="13">
        <v>0</v>
      </c>
      <c r="P49" s="13">
        <v>6496</v>
      </c>
      <c r="Q49" s="13">
        <v>0</v>
      </c>
      <c r="R49" s="13">
        <f>+F49+G49+H49+I49+J49+K49+L49+M49+N49+O49+P49+Q49</f>
        <v>262100</v>
      </c>
    </row>
    <row r="50" spans="1:19" ht="14.25" customHeight="1" x14ac:dyDescent="0.2"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9" ht="16.5" customHeight="1" x14ac:dyDescent="0.25">
      <c r="B51" s="11" t="s">
        <v>47</v>
      </c>
      <c r="C51" s="11"/>
      <c r="D51" s="11"/>
      <c r="E51" s="11"/>
      <c r="F51" s="20">
        <v>18778</v>
      </c>
      <c r="G51" s="20">
        <v>-17787</v>
      </c>
      <c r="H51" s="20">
        <v>-62866</v>
      </c>
      <c r="I51" s="20">
        <v>86260</v>
      </c>
      <c r="J51" s="20">
        <v>-114512</v>
      </c>
      <c r="K51" s="20">
        <v>64604</v>
      </c>
      <c r="L51" s="20">
        <v>-51342</v>
      </c>
      <c r="M51" s="20">
        <v>82270</v>
      </c>
      <c r="N51" s="20">
        <v>-57505</v>
      </c>
      <c r="O51" s="20">
        <v>-32374</v>
      </c>
      <c r="P51" s="20">
        <v>38315</v>
      </c>
      <c r="Q51" s="20">
        <v>-6492</v>
      </c>
      <c r="R51" s="20">
        <f>+F51+G51+H51+I51+J51+K51+L51+M51+N51+O51+P51+Q51</f>
        <v>-52651</v>
      </c>
    </row>
    <row r="52" spans="1:19" x14ac:dyDescent="0.2">
      <c r="A52" s="12"/>
      <c r="B52" s="12"/>
      <c r="C52" s="12"/>
      <c r="D52" s="12"/>
      <c r="E52" s="12"/>
      <c r="F52" s="67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9" s="24" customFormat="1" ht="12.75" x14ac:dyDescent="0.2">
      <c r="B53" s="55" t="s">
        <v>48</v>
      </c>
      <c r="S53" s="72"/>
    </row>
    <row r="54" spans="1:19" s="24" customFormat="1" ht="12.75" customHeight="1" x14ac:dyDescent="0.2">
      <c r="B54" s="55"/>
      <c r="C54" s="176" t="s">
        <v>49</v>
      </c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72"/>
    </row>
    <row r="55" spans="1:19" s="24" customFormat="1" ht="12.75" customHeight="1" x14ac:dyDescent="0.2">
      <c r="B55" s="55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72"/>
    </row>
    <row r="56" spans="1:19" s="24" customFormat="1" ht="12.75" customHeight="1" x14ac:dyDescent="0.2"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72"/>
    </row>
    <row r="57" spans="1:19" s="24" customFormat="1" ht="12.75" x14ac:dyDescent="0.2">
      <c r="S57" s="72"/>
    </row>
    <row r="58" spans="1:19" s="24" customFormat="1" ht="12.75" x14ac:dyDescent="0.2">
      <c r="B58" s="24" t="s">
        <v>52</v>
      </c>
      <c r="S58" s="72"/>
    </row>
    <row r="59" spans="1:19" s="24" customFormat="1" ht="12.75" x14ac:dyDescent="0.2">
      <c r="B59" s="24" t="s">
        <v>94</v>
      </c>
      <c r="S59" s="72"/>
    </row>
    <row r="61" spans="1:19" x14ac:dyDescent="0.2">
      <c r="A61" s="10"/>
    </row>
  </sheetData>
  <mergeCells count="2">
    <mergeCell ref="A6:E6"/>
    <mergeCell ref="C54:R56"/>
  </mergeCells>
  <printOptions horizontalCentered="1"/>
  <pageMargins left="0.23611111111111099" right="0.23611111111111099" top="1.10208333333333" bottom="0" header="0.51180555555555596" footer="0.511811023622047"/>
  <pageSetup paperSize="9" orientation="portrait" horizontalDpi="300" verticalDpi="300"/>
  <headerFooter>
    <oddHeader>&amp;C&amp;"Arial,Bold"&amp;9BUREAU OF THE TREASURY
&amp;"Arial,Italic"Statistical Data Analysis Division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J58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S25" sqref="S25"/>
    </sheetView>
  </sheetViews>
  <sheetFormatPr defaultColWidth="9.140625" defaultRowHeight="14.25" x14ac:dyDescent="0.2"/>
  <cols>
    <col min="1" max="1" width="1.7109375" style="6" customWidth="1"/>
    <col min="2" max="2" width="1.5703125" style="6" customWidth="1"/>
    <col min="3" max="3" width="1.85546875" style="6" customWidth="1"/>
    <col min="4" max="4" width="2.140625" style="6" customWidth="1"/>
    <col min="5" max="5" width="22.42578125" style="6" customWidth="1"/>
    <col min="6" max="6" width="9.140625" style="6"/>
    <col min="7" max="16" width="9.5703125" style="6" customWidth="1"/>
    <col min="17" max="17" width="10.140625" style="6" customWidth="1"/>
    <col min="18" max="18" width="11.140625" style="6" customWidth="1"/>
    <col min="19" max="1024" width="9.140625" style="6"/>
  </cols>
  <sheetData>
    <row r="1" spans="1:19" ht="15" x14ac:dyDescent="0.25">
      <c r="A1" s="7" t="s">
        <v>53</v>
      </c>
      <c r="B1" s="7"/>
      <c r="C1" s="7"/>
      <c r="D1" s="7"/>
      <c r="E1" s="7"/>
      <c r="F1" s="7"/>
    </row>
    <row r="2" spans="1:19" ht="15" x14ac:dyDescent="0.25">
      <c r="A2" s="7" t="s">
        <v>95</v>
      </c>
      <c r="B2" s="7"/>
      <c r="C2" s="7"/>
      <c r="D2" s="7"/>
      <c r="E2" s="7"/>
      <c r="F2" s="7"/>
    </row>
    <row r="3" spans="1:19" x14ac:dyDescent="0.2">
      <c r="A3" s="8" t="s">
        <v>2</v>
      </c>
      <c r="B3" s="8"/>
      <c r="C3" s="8"/>
      <c r="D3" s="8"/>
      <c r="E3" s="8"/>
      <c r="F3" s="8"/>
    </row>
    <row r="4" spans="1:19" x14ac:dyDescent="0.2">
      <c r="A4" s="9" t="s">
        <v>96</v>
      </c>
      <c r="B4" s="8"/>
    </row>
    <row r="5" spans="1:19" ht="6" customHeight="1" x14ac:dyDescent="0.2"/>
    <row r="6" spans="1:19" ht="22.5" customHeight="1" x14ac:dyDescent="0.25">
      <c r="A6" s="73"/>
      <c r="B6" s="175" t="s">
        <v>3</v>
      </c>
      <c r="C6" s="175"/>
      <c r="D6" s="175"/>
      <c r="E6" s="175"/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  <c r="O6" s="5" t="s">
        <v>13</v>
      </c>
      <c r="P6" s="5" t="s">
        <v>56</v>
      </c>
      <c r="Q6" s="5" t="s">
        <v>57</v>
      </c>
      <c r="R6" s="5" t="s">
        <v>14</v>
      </c>
    </row>
    <row r="7" spans="1:19" ht="15" customHeight="1" x14ac:dyDescent="0.2"/>
    <row r="8" spans="1:19" ht="15" customHeight="1" x14ac:dyDescent="0.25">
      <c r="B8" s="11" t="s">
        <v>15</v>
      </c>
      <c r="C8" s="11"/>
      <c r="D8" s="11"/>
      <c r="E8" s="11"/>
      <c r="F8" s="17">
        <f t="shared" ref="F8:R8" si="0">F9+F19+F26</f>
        <v>200314</v>
      </c>
      <c r="G8" s="17">
        <f t="shared" si="0"/>
        <v>151838</v>
      </c>
      <c r="H8" s="17">
        <f t="shared" si="0"/>
        <v>180237</v>
      </c>
      <c r="I8" s="17">
        <f t="shared" si="0"/>
        <v>235876</v>
      </c>
      <c r="J8" s="17">
        <f t="shared" si="0"/>
        <v>228251</v>
      </c>
      <c r="K8" s="17">
        <f t="shared" si="0"/>
        <v>179844</v>
      </c>
      <c r="L8" s="17">
        <f t="shared" si="0"/>
        <v>194621</v>
      </c>
      <c r="M8" s="17">
        <f t="shared" si="0"/>
        <v>230408</v>
      </c>
      <c r="N8" s="17">
        <f t="shared" si="0"/>
        <v>200091</v>
      </c>
      <c r="O8" s="17">
        <f t="shared" si="0"/>
        <v>205068</v>
      </c>
      <c r="P8" s="17">
        <f t="shared" si="0"/>
        <v>243492</v>
      </c>
      <c r="Q8" s="17">
        <f t="shared" si="0"/>
        <v>223092</v>
      </c>
      <c r="R8" s="17">
        <f t="shared" si="0"/>
        <v>2473132</v>
      </c>
    </row>
    <row r="9" spans="1:19" ht="15" customHeight="1" x14ac:dyDescent="0.2">
      <c r="C9" s="6" t="s">
        <v>16</v>
      </c>
      <c r="F9" s="21">
        <v>184663</v>
      </c>
      <c r="G9" s="21">
        <v>138977</v>
      </c>
      <c r="H9" s="21">
        <v>156313</v>
      </c>
      <c r="I9" s="21">
        <v>220077</v>
      </c>
      <c r="J9" s="21">
        <v>200736</v>
      </c>
      <c r="K9" s="21">
        <v>168137</v>
      </c>
      <c r="L9" s="21">
        <v>174656</v>
      </c>
      <c r="M9" s="21">
        <v>212211</v>
      </c>
      <c r="N9" s="21">
        <v>183154</v>
      </c>
      <c r="O9" s="21">
        <v>186493</v>
      </c>
      <c r="P9" s="21">
        <v>228254</v>
      </c>
      <c r="Q9" s="21">
        <v>197007</v>
      </c>
      <c r="R9" s="21">
        <v>2250678</v>
      </c>
    </row>
    <row r="10" spans="1:19" ht="15" customHeight="1" x14ac:dyDescent="0.2">
      <c r="D10" s="6" t="s">
        <v>17</v>
      </c>
      <c r="F10" s="13">
        <v>147393</v>
      </c>
      <c r="G10" s="13">
        <v>105862</v>
      </c>
      <c r="H10" s="13">
        <v>117149</v>
      </c>
      <c r="I10" s="13">
        <v>187670</v>
      </c>
      <c r="J10" s="13">
        <v>158694</v>
      </c>
      <c r="K10" s="13">
        <v>131245</v>
      </c>
      <c r="L10" s="13">
        <v>138080</v>
      </c>
      <c r="M10" s="13">
        <v>171654</v>
      </c>
      <c r="N10" s="13">
        <v>141431</v>
      </c>
      <c r="O10" s="13">
        <v>142542</v>
      </c>
      <c r="P10" s="13">
        <v>179355</v>
      </c>
      <c r="Q10" s="13">
        <v>151246</v>
      </c>
      <c r="R10" s="13">
        <v>1772321</v>
      </c>
    </row>
    <row r="11" spans="1:19" ht="15" customHeight="1" x14ac:dyDescent="0.2">
      <c r="E11" s="10" t="s">
        <v>18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9" ht="15" customHeight="1" x14ac:dyDescent="0.2">
      <c r="E12" s="6" t="s">
        <v>19</v>
      </c>
      <c r="F12" s="13">
        <v>117</v>
      </c>
      <c r="G12" s="13">
        <v>582</v>
      </c>
      <c r="H12" s="13">
        <v>887</v>
      </c>
      <c r="I12" s="13">
        <v>330</v>
      </c>
      <c r="J12" s="13">
        <v>1049</v>
      </c>
      <c r="K12" s="13">
        <v>246</v>
      </c>
      <c r="L12" s="13">
        <v>398</v>
      </c>
      <c r="M12" s="13">
        <v>153</v>
      </c>
      <c r="N12" s="13">
        <v>435</v>
      </c>
      <c r="O12" s="13">
        <v>339</v>
      </c>
      <c r="P12" s="13">
        <v>282</v>
      </c>
      <c r="Q12" s="13">
        <v>125</v>
      </c>
      <c r="R12" s="13">
        <v>4943</v>
      </c>
    </row>
    <row r="13" spans="1:19" ht="15" customHeight="1" x14ac:dyDescent="0.2">
      <c r="E13" s="6" t="s">
        <v>20</v>
      </c>
      <c r="F13" s="13">
        <v>7</v>
      </c>
      <c r="G13" s="13">
        <v>0</v>
      </c>
      <c r="H13" s="13">
        <v>0</v>
      </c>
      <c r="I13" s="13">
        <v>525</v>
      </c>
      <c r="J13" s="13">
        <v>267</v>
      </c>
      <c r="K13" s="13">
        <v>108</v>
      </c>
      <c r="L13" s="13">
        <v>7</v>
      </c>
      <c r="M13" s="13">
        <v>7</v>
      </c>
      <c r="N13" s="13">
        <v>300</v>
      </c>
      <c r="O13" s="13">
        <v>69</v>
      </c>
      <c r="P13" s="13">
        <v>150</v>
      </c>
      <c r="Q13" s="13">
        <v>508</v>
      </c>
      <c r="R13" s="13">
        <v>1948</v>
      </c>
    </row>
    <row r="14" spans="1:19" ht="15" customHeight="1" x14ac:dyDescent="0.2">
      <c r="D14" s="6" t="s">
        <v>21</v>
      </c>
      <c r="F14" s="13">
        <v>35943</v>
      </c>
      <c r="G14" s="13">
        <v>30854</v>
      </c>
      <c r="H14" s="13">
        <v>37333</v>
      </c>
      <c r="I14" s="13">
        <v>31142</v>
      </c>
      <c r="J14" s="13">
        <v>39592</v>
      </c>
      <c r="K14" s="13">
        <v>35417</v>
      </c>
      <c r="L14" s="13">
        <v>34994</v>
      </c>
      <c r="M14" s="13">
        <v>38289</v>
      </c>
      <c r="N14" s="13">
        <v>40261</v>
      </c>
      <c r="O14" s="13">
        <v>42915</v>
      </c>
      <c r="P14" s="13">
        <v>46366</v>
      </c>
      <c r="Q14" s="13">
        <v>45078</v>
      </c>
      <c r="R14" s="13">
        <v>458184</v>
      </c>
    </row>
    <row r="15" spans="1:19" ht="15" customHeight="1" x14ac:dyDescent="0.2">
      <c r="E15" s="10" t="s">
        <v>18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9" ht="15" customHeight="1" x14ac:dyDescent="0.2">
      <c r="E16" s="6" t="s">
        <v>20</v>
      </c>
      <c r="F16" s="13">
        <v>0</v>
      </c>
      <c r="G16" s="13">
        <v>69</v>
      </c>
      <c r="H16" s="13">
        <v>81</v>
      </c>
      <c r="I16" s="13">
        <v>219</v>
      </c>
      <c r="J16" s="13">
        <v>120</v>
      </c>
      <c r="K16" s="13">
        <v>130</v>
      </c>
      <c r="L16" s="13">
        <v>163</v>
      </c>
      <c r="M16" s="13">
        <v>121</v>
      </c>
      <c r="N16" s="13">
        <v>78</v>
      </c>
      <c r="O16" s="13">
        <v>5</v>
      </c>
      <c r="P16" s="13">
        <v>183</v>
      </c>
      <c r="Q16" s="13">
        <v>271</v>
      </c>
      <c r="R16" s="13">
        <v>1440</v>
      </c>
      <c r="S16" s="13"/>
    </row>
    <row r="17" spans="2:19" ht="15" customHeight="1" x14ac:dyDescent="0.2">
      <c r="D17" s="6" t="s">
        <v>88</v>
      </c>
      <c r="F17" s="13">
        <v>1327</v>
      </c>
      <c r="G17" s="13">
        <v>2261</v>
      </c>
      <c r="H17" s="13">
        <v>1831</v>
      </c>
      <c r="I17" s="13">
        <v>1265</v>
      </c>
      <c r="J17" s="13">
        <v>2450</v>
      </c>
      <c r="K17" s="13">
        <v>1475</v>
      </c>
      <c r="L17" s="13">
        <v>1582</v>
      </c>
      <c r="M17" s="13">
        <v>2268</v>
      </c>
      <c r="N17" s="13">
        <v>1462</v>
      </c>
      <c r="O17" s="13">
        <v>1036</v>
      </c>
      <c r="P17" s="13">
        <v>2533</v>
      </c>
      <c r="Q17" s="13">
        <v>683</v>
      </c>
      <c r="R17" s="13">
        <v>20173</v>
      </c>
      <c r="S17" s="13"/>
    </row>
    <row r="18" spans="2:19" ht="15" customHeight="1" x14ac:dyDescent="0.2"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2:19" ht="15" customHeight="1" x14ac:dyDescent="0.2">
      <c r="C19" s="6" t="s">
        <v>23</v>
      </c>
      <c r="F19" s="21">
        <f t="shared" ref="F19:R19" si="1">SUM(F20:F24)</f>
        <v>15649</v>
      </c>
      <c r="G19" s="21">
        <f t="shared" si="1"/>
        <v>12855</v>
      </c>
      <c r="H19" s="21">
        <f t="shared" si="1"/>
        <v>23922</v>
      </c>
      <c r="I19" s="21">
        <f t="shared" si="1"/>
        <v>15788</v>
      </c>
      <c r="J19" s="21">
        <f t="shared" si="1"/>
        <v>27509</v>
      </c>
      <c r="K19" s="21">
        <f t="shared" si="1"/>
        <v>11703</v>
      </c>
      <c r="L19" s="21">
        <f t="shared" si="1"/>
        <v>19965</v>
      </c>
      <c r="M19" s="21">
        <f t="shared" si="1"/>
        <v>18189</v>
      </c>
      <c r="N19" s="21">
        <f t="shared" si="1"/>
        <v>16937</v>
      </c>
      <c r="O19" s="21">
        <f t="shared" si="1"/>
        <v>18575</v>
      </c>
      <c r="P19" s="21">
        <f t="shared" si="1"/>
        <v>15238</v>
      </c>
      <c r="Q19" s="21">
        <f t="shared" si="1"/>
        <v>26085</v>
      </c>
      <c r="R19" s="21">
        <f t="shared" si="1"/>
        <v>222415</v>
      </c>
    </row>
    <row r="20" spans="2:19" ht="15" customHeight="1" x14ac:dyDescent="0.2">
      <c r="D20" s="6" t="s">
        <v>24</v>
      </c>
      <c r="F20" s="13">
        <v>8005</v>
      </c>
      <c r="G20" s="13">
        <v>5342</v>
      </c>
      <c r="H20" s="13">
        <v>9584</v>
      </c>
      <c r="I20" s="13">
        <v>7123</v>
      </c>
      <c r="J20" s="13">
        <v>17977</v>
      </c>
      <c r="K20" s="13">
        <v>4691</v>
      </c>
      <c r="L20" s="13">
        <v>8467</v>
      </c>
      <c r="M20" s="13">
        <v>6192</v>
      </c>
      <c r="N20" s="13">
        <v>7300</v>
      </c>
      <c r="O20" s="13">
        <v>7581</v>
      </c>
      <c r="P20" s="13">
        <v>4287</v>
      </c>
      <c r="Q20" s="13">
        <v>13356</v>
      </c>
      <c r="R20" s="13">
        <f>SUM(F20:Q20)</f>
        <v>99905</v>
      </c>
    </row>
    <row r="21" spans="2:19" ht="15" customHeight="1" x14ac:dyDescent="0.2">
      <c r="D21" s="6" t="s">
        <v>89</v>
      </c>
      <c r="F21" s="13">
        <v>3344</v>
      </c>
      <c r="G21" s="13">
        <v>3345</v>
      </c>
      <c r="H21" s="13">
        <v>3284</v>
      </c>
      <c r="I21" s="13">
        <v>2113</v>
      </c>
      <c r="J21" s="13">
        <v>4186</v>
      </c>
      <c r="K21" s="13">
        <v>2847</v>
      </c>
      <c r="L21" s="13">
        <v>2762</v>
      </c>
      <c r="M21" s="13">
        <v>3870</v>
      </c>
      <c r="N21" s="13">
        <v>3748</v>
      </c>
      <c r="O21" s="13">
        <v>3357</v>
      </c>
      <c r="P21" s="13">
        <v>5339</v>
      </c>
      <c r="Q21" s="13">
        <v>2576</v>
      </c>
      <c r="R21" s="13">
        <f>SUM(F21:Q21)</f>
        <v>40771</v>
      </c>
    </row>
    <row r="22" spans="2:19" ht="15" customHeight="1" x14ac:dyDescent="0.2">
      <c r="D22" s="6" t="s">
        <v>26</v>
      </c>
      <c r="F22" s="13">
        <v>8</v>
      </c>
      <c r="G22" s="13">
        <v>4</v>
      </c>
      <c r="H22" s="13">
        <v>30</v>
      </c>
      <c r="I22" s="13">
        <v>5</v>
      </c>
      <c r="J22" s="13">
        <v>196</v>
      </c>
      <c r="K22" s="13">
        <v>8</v>
      </c>
      <c r="L22" s="13">
        <v>16</v>
      </c>
      <c r="M22" s="13">
        <v>256</v>
      </c>
      <c r="N22" s="13">
        <v>1</v>
      </c>
      <c r="O22" s="13">
        <v>289</v>
      </c>
      <c r="P22" s="13">
        <v>4</v>
      </c>
      <c r="Q22" s="13">
        <v>13</v>
      </c>
      <c r="R22" s="13">
        <f>SUM(F22:Q22)</f>
        <v>830</v>
      </c>
    </row>
    <row r="23" spans="2:19" ht="15" customHeight="1" x14ac:dyDescent="0.2">
      <c r="D23" s="6" t="s">
        <v>27</v>
      </c>
      <c r="F23" s="13">
        <v>1025.3420000000001</v>
      </c>
      <c r="G23" s="13">
        <v>966.94200000000001</v>
      </c>
      <c r="H23" s="13">
        <v>1018.322</v>
      </c>
      <c r="I23" s="13">
        <v>421.64299999999997</v>
      </c>
      <c r="J23" s="13">
        <v>1288.8920000000001</v>
      </c>
      <c r="K23" s="13">
        <v>1011.615</v>
      </c>
      <c r="L23" s="13">
        <v>1773.3720000000001</v>
      </c>
      <c r="M23" s="13">
        <v>1623.5340000000001</v>
      </c>
      <c r="N23" s="13">
        <v>1539.41</v>
      </c>
      <c r="O23" s="13">
        <v>2130.498</v>
      </c>
      <c r="P23" s="13">
        <v>1827.498</v>
      </c>
      <c r="Q23" s="13">
        <v>1623.6210000000001</v>
      </c>
      <c r="R23" s="13">
        <f>SUM(F23:Q23)</f>
        <v>16250.688999999998</v>
      </c>
    </row>
    <row r="24" spans="2:19" ht="15" customHeight="1" x14ac:dyDescent="0.2">
      <c r="D24" s="6" t="s">
        <v>28</v>
      </c>
      <c r="F24" s="13">
        <v>3266.6579999999999</v>
      </c>
      <c r="G24" s="13">
        <v>3197.058</v>
      </c>
      <c r="H24" s="13">
        <v>10005.678</v>
      </c>
      <c r="I24" s="13">
        <v>6125.357</v>
      </c>
      <c r="J24" s="13">
        <v>3861.1080000000002</v>
      </c>
      <c r="K24" s="13">
        <v>3145.3850000000002</v>
      </c>
      <c r="L24" s="13">
        <v>6946.6279999999997</v>
      </c>
      <c r="M24" s="13">
        <v>6247.4660000000003</v>
      </c>
      <c r="N24" s="13">
        <v>4348.59</v>
      </c>
      <c r="O24" s="13">
        <v>5217.5020000000004</v>
      </c>
      <c r="P24" s="13">
        <v>3780.502</v>
      </c>
      <c r="Q24" s="13">
        <v>8516.3790000000008</v>
      </c>
      <c r="R24" s="13">
        <f>SUM(F24:Q24)</f>
        <v>64658.311000000002</v>
      </c>
    </row>
    <row r="25" spans="2:19" ht="11.25" customHeight="1" x14ac:dyDescent="0.2"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2:19" ht="15" customHeight="1" x14ac:dyDescent="0.2">
      <c r="C26" s="6" t="s">
        <v>29</v>
      </c>
      <c r="F26" s="13">
        <v>2</v>
      </c>
      <c r="G26" s="13">
        <v>6</v>
      </c>
      <c r="H26" s="13">
        <v>2</v>
      </c>
      <c r="I26" s="13">
        <v>11</v>
      </c>
      <c r="J26" s="13">
        <v>6</v>
      </c>
      <c r="K26" s="13">
        <v>4</v>
      </c>
      <c r="L26" s="13">
        <v>0</v>
      </c>
      <c r="M26" s="13">
        <v>8</v>
      </c>
      <c r="N26" s="13">
        <v>0</v>
      </c>
      <c r="O26" s="13">
        <v>0</v>
      </c>
      <c r="P26" s="13">
        <v>0</v>
      </c>
      <c r="Q26" s="13">
        <v>0</v>
      </c>
      <c r="R26" s="13">
        <v>39</v>
      </c>
    </row>
    <row r="27" spans="2:19" ht="15" customHeight="1" x14ac:dyDescent="0.2"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2:19" ht="15" customHeight="1" x14ac:dyDescent="0.25">
      <c r="B28" s="11" t="s">
        <v>30</v>
      </c>
      <c r="C28" s="11"/>
      <c r="D28" s="11"/>
      <c r="E28" s="11"/>
      <c r="F28" s="17">
        <f t="shared" ref="F28:R28" si="2">SUM(F30:F36)</f>
        <v>198092.45300000001</v>
      </c>
      <c r="G28" s="17">
        <f t="shared" si="2"/>
        <v>175562</v>
      </c>
      <c r="H28" s="17">
        <f t="shared" si="2"/>
        <v>241708</v>
      </c>
      <c r="I28" s="17">
        <f t="shared" si="2"/>
        <v>183079</v>
      </c>
      <c r="J28" s="17">
        <f t="shared" si="2"/>
        <v>261672</v>
      </c>
      <c r="K28" s="17">
        <f t="shared" si="2"/>
        <v>270717</v>
      </c>
      <c r="L28" s="17">
        <f t="shared" si="2"/>
        <v>245133</v>
      </c>
      <c r="M28" s="17">
        <f t="shared" si="2"/>
        <v>201600</v>
      </c>
      <c r="N28" s="17">
        <f t="shared" si="2"/>
        <v>236983</v>
      </c>
      <c r="O28" s="17">
        <f t="shared" si="2"/>
        <v>226868</v>
      </c>
      <c r="P28" s="17">
        <f t="shared" si="2"/>
        <v>252115</v>
      </c>
      <c r="Q28" s="17">
        <f t="shared" si="2"/>
        <v>330239.82</v>
      </c>
      <c r="R28" s="17">
        <f t="shared" si="2"/>
        <v>2823769.273</v>
      </c>
    </row>
    <row r="29" spans="2:19" ht="15" customHeight="1" x14ac:dyDescent="0.2"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2:19" ht="15" customHeight="1" x14ac:dyDescent="0.2">
      <c r="D30" s="6" t="s">
        <v>31</v>
      </c>
      <c r="F30" s="13">
        <v>40844</v>
      </c>
      <c r="G30" s="13">
        <v>40792</v>
      </c>
      <c r="H30" s="13">
        <v>40773</v>
      </c>
      <c r="I30" s="13">
        <v>49670</v>
      </c>
      <c r="J30" s="13">
        <v>46519</v>
      </c>
      <c r="K30" s="13">
        <v>55084</v>
      </c>
      <c r="L30" s="13">
        <v>42712</v>
      </c>
      <c r="M30" s="13">
        <v>43690</v>
      </c>
      <c r="N30" s="13">
        <v>41871</v>
      </c>
      <c r="O30" s="13">
        <v>41595</v>
      </c>
      <c r="P30" s="13">
        <v>41839</v>
      </c>
      <c r="Q30" s="13">
        <v>44761</v>
      </c>
      <c r="R30" s="13">
        <f t="shared" ref="R30:R36" si="3">SUM(F30:Q30)</f>
        <v>530150</v>
      </c>
    </row>
    <row r="31" spans="2:19" ht="15" customHeight="1" x14ac:dyDescent="0.2">
      <c r="D31" s="6" t="s">
        <v>32</v>
      </c>
      <c r="F31" s="13">
        <v>42353.453000000001</v>
      </c>
      <c r="G31" s="13">
        <v>24230</v>
      </c>
      <c r="H31" s="13">
        <v>31272</v>
      </c>
      <c r="I31" s="13">
        <v>13483</v>
      </c>
      <c r="J31" s="13">
        <v>20966</v>
      </c>
      <c r="K31" s="13">
        <v>19273</v>
      </c>
      <c r="L31" s="13">
        <v>44626</v>
      </c>
      <c r="M31" s="13">
        <v>26370</v>
      </c>
      <c r="N31" s="13">
        <v>26397</v>
      </c>
      <c r="O31" s="13">
        <v>20434</v>
      </c>
      <c r="P31" s="13">
        <v>20583</v>
      </c>
      <c r="Q31" s="13">
        <v>20553.82</v>
      </c>
      <c r="R31" s="13">
        <f t="shared" si="3"/>
        <v>310541.27299999999</v>
      </c>
    </row>
    <row r="32" spans="2:19" ht="15" customHeight="1" x14ac:dyDescent="0.2">
      <c r="D32" s="6" t="s">
        <v>33</v>
      </c>
      <c r="F32" s="13">
        <f t="shared" ref="F32:Q32" si="4">+F12+F13+F16</f>
        <v>124</v>
      </c>
      <c r="G32" s="13">
        <f t="shared" si="4"/>
        <v>651</v>
      </c>
      <c r="H32" s="13">
        <f t="shared" si="4"/>
        <v>968</v>
      </c>
      <c r="I32" s="13">
        <f t="shared" si="4"/>
        <v>1074</v>
      </c>
      <c r="J32" s="13">
        <f t="shared" si="4"/>
        <v>1436</v>
      </c>
      <c r="K32" s="13">
        <f t="shared" si="4"/>
        <v>484</v>
      </c>
      <c r="L32" s="13">
        <f t="shared" si="4"/>
        <v>568</v>
      </c>
      <c r="M32" s="13">
        <f t="shared" si="4"/>
        <v>281</v>
      </c>
      <c r="N32" s="13">
        <f t="shared" si="4"/>
        <v>813</v>
      </c>
      <c r="O32" s="13">
        <f t="shared" si="4"/>
        <v>413</v>
      </c>
      <c r="P32" s="13">
        <f t="shared" si="4"/>
        <v>615</v>
      </c>
      <c r="Q32" s="13">
        <f t="shared" si="4"/>
        <v>904</v>
      </c>
      <c r="R32" s="13">
        <f t="shared" si="3"/>
        <v>8331</v>
      </c>
    </row>
    <row r="33" spans="2:19" ht="15" customHeight="1" x14ac:dyDescent="0.2">
      <c r="D33" s="6" t="s">
        <v>78</v>
      </c>
      <c r="F33" s="13">
        <v>1266</v>
      </c>
      <c r="G33" s="13">
        <v>9993</v>
      </c>
      <c r="H33" s="13">
        <v>8407</v>
      </c>
      <c r="I33" s="13">
        <v>2150</v>
      </c>
      <c r="J33" s="13">
        <v>4097</v>
      </c>
      <c r="K33" s="13">
        <v>32306</v>
      </c>
      <c r="L33" s="13">
        <v>16867</v>
      </c>
      <c r="M33" s="13">
        <v>6085</v>
      </c>
      <c r="N33" s="13">
        <v>2454</v>
      </c>
      <c r="O33" s="13">
        <v>10275</v>
      </c>
      <c r="P33" s="13">
        <v>5961</v>
      </c>
      <c r="Q33" s="13">
        <v>31227</v>
      </c>
      <c r="R33" s="13">
        <f t="shared" si="3"/>
        <v>131088</v>
      </c>
    </row>
    <row r="34" spans="2:19" ht="15" customHeight="1" x14ac:dyDescent="0.2">
      <c r="D34" s="6" t="s">
        <v>35</v>
      </c>
      <c r="F34" s="13">
        <v>0</v>
      </c>
      <c r="G34" s="13">
        <v>0</v>
      </c>
      <c r="H34" s="13">
        <v>0</v>
      </c>
      <c r="I34" s="13">
        <v>48</v>
      </c>
      <c r="J34" s="13">
        <v>6</v>
      </c>
      <c r="K34" s="13">
        <v>3186</v>
      </c>
      <c r="L34" s="13">
        <v>22</v>
      </c>
      <c r="M34" s="13">
        <v>15</v>
      </c>
      <c r="N34" s="13">
        <v>4</v>
      </c>
      <c r="O34" s="13">
        <v>144</v>
      </c>
      <c r="P34" s="13">
        <v>1280</v>
      </c>
      <c r="Q34" s="13">
        <v>653</v>
      </c>
      <c r="R34" s="13">
        <f t="shared" si="3"/>
        <v>5358</v>
      </c>
    </row>
    <row r="35" spans="2:19" ht="15" customHeight="1" x14ac:dyDescent="0.2">
      <c r="D35" s="6" t="s">
        <v>79</v>
      </c>
      <c r="F35" s="13">
        <v>-278</v>
      </c>
      <c r="G35" s="13">
        <v>-823</v>
      </c>
      <c r="H35" s="13">
        <v>-634</v>
      </c>
      <c r="I35" s="13">
        <v>115</v>
      </c>
      <c r="J35" s="13">
        <v>160</v>
      </c>
      <c r="K35" s="13">
        <v>132</v>
      </c>
      <c r="L35" s="13">
        <v>3</v>
      </c>
      <c r="M35" s="13">
        <v>2</v>
      </c>
      <c r="N35" s="13">
        <v>-4136</v>
      </c>
      <c r="O35" s="13">
        <v>2195</v>
      </c>
      <c r="P35" s="13">
        <v>3151</v>
      </c>
      <c r="Q35" s="13">
        <v>-4124</v>
      </c>
      <c r="R35" s="13">
        <f t="shared" si="3"/>
        <v>-4237</v>
      </c>
    </row>
    <row r="36" spans="2:19" ht="15" customHeight="1" x14ac:dyDescent="0.2">
      <c r="D36" s="6" t="s">
        <v>80</v>
      </c>
      <c r="F36" s="13">
        <v>113783</v>
      </c>
      <c r="G36" s="13">
        <v>100719</v>
      </c>
      <c r="H36" s="13">
        <v>160922</v>
      </c>
      <c r="I36" s="13">
        <v>116539</v>
      </c>
      <c r="J36" s="13">
        <v>188488</v>
      </c>
      <c r="K36" s="13">
        <v>160252</v>
      </c>
      <c r="L36" s="13">
        <v>140335</v>
      </c>
      <c r="M36" s="13">
        <v>125157</v>
      </c>
      <c r="N36" s="13">
        <v>169580</v>
      </c>
      <c r="O36" s="13">
        <v>151812</v>
      </c>
      <c r="P36" s="13">
        <f>165107+14194-P32</f>
        <v>178686</v>
      </c>
      <c r="Q36" s="13">
        <v>236265</v>
      </c>
      <c r="R36" s="13">
        <f t="shared" si="3"/>
        <v>1842538</v>
      </c>
      <c r="S36" s="13"/>
    </row>
    <row r="37" spans="2:19" ht="15" customHeight="1" x14ac:dyDescent="0.25"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2:19" ht="15" customHeight="1" x14ac:dyDescent="0.25">
      <c r="B38" s="11" t="s">
        <v>38</v>
      </c>
      <c r="C38" s="11"/>
      <c r="D38" s="11"/>
      <c r="E38" s="11"/>
      <c r="F38" s="20">
        <f t="shared" ref="F38:Q38" si="5">F8-F28</f>
        <v>2221.5469999999914</v>
      </c>
      <c r="G38" s="20">
        <f t="shared" si="5"/>
        <v>-23724</v>
      </c>
      <c r="H38" s="20">
        <f t="shared" si="5"/>
        <v>-61471</v>
      </c>
      <c r="I38" s="20">
        <f t="shared" si="5"/>
        <v>52797</v>
      </c>
      <c r="J38" s="20">
        <f t="shared" si="5"/>
        <v>-33421</v>
      </c>
      <c r="K38" s="20">
        <f t="shared" si="5"/>
        <v>-90873</v>
      </c>
      <c r="L38" s="20">
        <f t="shared" si="5"/>
        <v>-50512</v>
      </c>
      <c r="M38" s="20">
        <f t="shared" si="5"/>
        <v>28808</v>
      </c>
      <c r="N38" s="20">
        <f t="shared" si="5"/>
        <v>-36892</v>
      </c>
      <c r="O38" s="20">
        <f t="shared" si="5"/>
        <v>-21800</v>
      </c>
      <c r="P38" s="20">
        <f t="shared" si="5"/>
        <v>-8623</v>
      </c>
      <c r="Q38" s="20">
        <f t="shared" si="5"/>
        <v>-107147.82</v>
      </c>
      <c r="R38" s="20">
        <f>SUM(F38:Q38)</f>
        <v>-350637.27300000004</v>
      </c>
    </row>
    <row r="39" spans="2:19" ht="15" customHeight="1" x14ac:dyDescent="0.2"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9" ht="15" customHeight="1" x14ac:dyDescent="0.25">
      <c r="B40" s="11" t="s">
        <v>39</v>
      </c>
      <c r="C40" s="11"/>
      <c r="D40" s="11"/>
      <c r="E40" s="11"/>
      <c r="F40" s="17">
        <v>-8526</v>
      </c>
      <c r="G40" s="17">
        <v>69888</v>
      </c>
      <c r="H40" s="17">
        <v>26084</v>
      </c>
      <c r="I40" s="17">
        <v>187652</v>
      </c>
      <c r="J40" s="17">
        <v>26553</v>
      </c>
      <c r="K40" s="17">
        <v>47185.18</v>
      </c>
      <c r="L40" s="17">
        <v>12217</v>
      </c>
      <c r="M40" s="17">
        <v>56552</v>
      </c>
      <c r="N40" s="17">
        <v>37191</v>
      </c>
      <c r="O40" s="17">
        <v>33587</v>
      </c>
      <c r="P40" s="17">
        <v>-54402</v>
      </c>
      <c r="Q40" s="17">
        <v>229948</v>
      </c>
      <c r="R40" s="17">
        <v>663929.18000000005</v>
      </c>
    </row>
    <row r="41" spans="2:19" ht="15" customHeight="1" x14ac:dyDescent="0.2">
      <c r="C41" s="6" t="s">
        <v>40</v>
      </c>
      <c r="F41" s="21">
        <v>-7552</v>
      </c>
      <c r="G41" s="21">
        <v>38226</v>
      </c>
      <c r="H41" s="21">
        <v>-895</v>
      </c>
      <c r="I41" s="21">
        <v>1279</v>
      </c>
      <c r="J41" s="21">
        <v>-1339</v>
      </c>
      <c r="K41" s="21">
        <v>-1563.82</v>
      </c>
      <c r="L41" s="21">
        <v>-663</v>
      </c>
      <c r="M41" s="21">
        <v>9487</v>
      </c>
      <c r="N41" s="21">
        <v>499</v>
      </c>
      <c r="O41" s="21">
        <v>-2183</v>
      </c>
      <c r="P41" s="21">
        <v>-4998</v>
      </c>
      <c r="Q41" s="21">
        <v>-2728</v>
      </c>
      <c r="R41" s="21">
        <v>27569.18</v>
      </c>
    </row>
    <row r="42" spans="2:19" ht="15" customHeight="1" x14ac:dyDescent="0.2">
      <c r="D42" s="6" t="s">
        <v>41</v>
      </c>
      <c r="F42" s="13">
        <v>20037</v>
      </c>
      <c r="G42" s="13">
        <v>42591</v>
      </c>
      <c r="H42" s="13">
        <v>4333</v>
      </c>
      <c r="I42" s="13">
        <v>5101</v>
      </c>
      <c r="J42" s="13">
        <v>5182</v>
      </c>
      <c r="K42" s="13">
        <v>3987.18</v>
      </c>
      <c r="L42" s="13">
        <v>1181</v>
      </c>
      <c r="M42" s="13">
        <v>14244</v>
      </c>
      <c r="N42" s="13">
        <v>5501</v>
      </c>
      <c r="O42" s="13">
        <v>2016</v>
      </c>
      <c r="P42" s="13">
        <v>1846</v>
      </c>
      <c r="Q42" s="13">
        <v>4106</v>
      </c>
      <c r="R42" s="13">
        <v>110125.18</v>
      </c>
    </row>
    <row r="43" spans="2:19" ht="15" customHeight="1" x14ac:dyDescent="0.2">
      <c r="D43" s="6" t="s">
        <v>97</v>
      </c>
      <c r="F43" s="13">
        <v>27589</v>
      </c>
      <c r="G43" s="13">
        <v>4365</v>
      </c>
      <c r="H43" s="13">
        <v>5228</v>
      </c>
      <c r="I43" s="13">
        <v>3822</v>
      </c>
      <c r="J43" s="13">
        <v>6521</v>
      </c>
      <c r="K43" s="13">
        <v>5551</v>
      </c>
      <c r="L43" s="13">
        <v>1844</v>
      </c>
      <c r="M43" s="13">
        <v>4757</v>
      </c>
      <c r="N43" s="13">
        <v>5002</v>
      </c>
      <c r="O43" s="13">
        <v>4199</v>
      </c>
      <c r="P43" s="13">
        <v>6844</v>
      </c>
      <c r="Q43" s="13">
        <v>6834</v>
      </c>
      <c r="R43" s="13">
        <v>82556</v>
      </c>
    </row>
    <row r="44" spans="2:19" ht="15" customHeight="1" x14ac:dyDescent="0.2"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9" ht="15" customHeight="1" x14ac:dyDescent="0.2">
      <c r="C45" s="6" t="s">
        <v>43</v>
      </c>
      <c r="F45" s="21">
        <v>-974</v>
      </c>
      <c r="G45" s="21">
        <v>31662</v>
      </c>
      <c r="H45" s="21">
        <v>26979</v>
      </c>
      <c r="I45" s="21">
        <v>186373</v>
      </c>
      <c r="J45" s="21">
        <v>27892</v>
      </c>
      <c r="K45" s="21">
        <v>48749</v>
      </c>
      <c r="L45" s="21">
        <v>12880</v>
      </c>
      <c r="M45" s="21">
        <v>47065</v>
      </c>
      <c r="N45" s="21">
        <v>36692</v>
      </c>
      <c r="O45" s="21">
        <v>35770</v>
      </c>
      <c r="P45" s="21">
        <v>-49404</v>
      </c>
      <c r="Q45" s="21">
        <v>232676</v>
      </c>
      <c r="R45" s="21">
        <v>636360</v>
      </c>
    </row>
    <row r="46" spans="2:19" ht="15" customHeight="1" x14ac:dyDescent="0.2">
      <c r="D46" s="6" t="s">
        <v>44</v>
      </c>
      <c r="F46" s="13">
        <v>19090</v>
      </c>
      <c r="G46" s="13">
        <v>31662</v>
      </c>
      <c r="H46" s="13">
        <v>37430</v>
      </c>
      <c r="I46" s="13">
        <v>201373</v>
      </c>
      <c r="J46" s="13">
        <v>28028</v>
      </c>
      <c r="K46" s="13">
        <v>48968</v>
      </c>
      <c r="L46" s="13">
        <v>13028</v>
      </c>
      <c r="M46" s="13">
        <v>47065</v>
      </c>
      <c r="N46" s="13">
        <v>37000</v>
      </c>
      <c r="O46" s="13">
        <v>35963</v>
      </c>
      <c r="P46" s="13">
        <v>711</v>
      </c>
      <c r="Q46" s="13">
        <v>233251</v>
      </c>
      <c r="R46" s="13">
        <v>733569</v>
      </c>
    </row>
    <row r="47" spans="2:19" ht="15" customHeight="1" x14ac:dyDescent="0.2">
      <c r="D47" s="6" t="s">
        <v>98</v>
      </c>
      <c r="F47" s="13">
        <v>20064</v>
      </c>
      <c r="G47" s="13">
        <v>0</v>
      </c>
      <c r="H47" s="13">
        <v>10451</v>
      </c>
      <c r="I47" s="13">
        <v>15000</v>
      </c>
      <c r="J47" s="13">
        <v>136</v>
      </c>
      <c r="K47" s="13">
        <v>219</v>
      </c>
      <c r="L47" s="13">
        <v>148</v>
      </c>
      <c r="M47" s="13">
        <v>0</v>
      </c>
      <c r="N47" s="13">
        <v>308</v>
      </c>
      <c r="O47" s="13">
        <v>193</v>
      </c>
      <c r="P47" s="13">
        <v>50115</v>
      </c>
      <c r="Q47" s="13">
        <v>575</v>
      </c>
      <c r="R47" s="13">
        <v>97209</v>
      </c>
    </row>
    <row r="48" spans="2:19" ht="15" customHeight="1" x14ac:dyDescent="0.2"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1:18" ht="15" customHeight="1" x14ac:dyDescent="0.25">
      <c r="B49" s="11" t="s">
        <v>47</v>
      </c>
      <c r="C49" s="11"/>
      <c r="D49" s="11"/>
      <c r="E49" s="11"/>
      <c r="F49" s="17">
        <v>30319.546999999999</v>
      </c>
      <c r="G49" s="17">
        <v>49268</v>
      </c>
      <c r="H49" s="17">
        <v>-29130</v>
      </c>
      <c r="I49" s="17">
        <v>217436</v>
      </c>
      <c r="J49" s="17">
        <v>-50398</v>
      </c>
      <c r="K49" s="17">
        <v>-40708.82</v>
      </c>
      <c r="L49" s="17">
        <v>-65161</v>
      </c>
      <c r="M49" s="17">
        <v>44987</v>
      </c>
      <c r="N49" s="17">
        <v>-3870</v>
      </c>
      <c r="O49" s="17">
        <v>8473</v>
      </c>
      <c r="P49" s="17">
        <v>-21901</v>
      </c>
      <c r="Q49" s="17">
        <v>116088.18</v>
      </c>
      <c r="R49" s="17">
        <v>255402.90700000001</v>
      </c>
    </row>
    <row r="50" spans="1:18" x14ac:dyDescent="0.2"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 x14ac:dyDescent="0.2">
      <c r="B52" s="9" t="s">
        <v>48</v>
      </c>
    </row>
    <row r="53" spans="1:18" x14ac:dyDescent="0.2">
      <c r="B53" s="9"/>
      <c r="C53" s="10" t="s">
        <v>99</v>
      </c>
    </row>
    <row r="54" spans="1:18" x14ac:dyDescent="0.2">
      <c r="B54" s="10"/>
      <c r="C54" s="10" t="s">
        <v>100</v>
      </c>
    </row>
    <row r="55" spans="1:18" x14ac:dyDescent="0.2">
      <c r="A55" s="10"/>
    </row>
    <row r="57" spans="1:18" x14ac:dyDescent="0.2">
      <c r="B57" s="10" t="s">
        <v>52</v>
      </c>
    </row>
    <row r="58" spans="1:18" x14ac:dyDescent="0.2">
      <c r="B58" s="10" t="s">
        <v>94</v>
      </c>
    </row>
  </sheetData>
  <mergeCells count="1">
    <mergeCell ref="B6:E6"/>
  </mergeCells>
  <printOptions horizontalCentered="1"/>
  <pageMargins left="0.23611111111111099" right="0.23611111111111099" top="1.10208333333333" bottom="0" header="0.51180555555555596" footer="0.511811023622047"/>
  <pageSetup paperSize="9" orientation="portrait" horizontalDpi="300" verticalDpi="300"/>
  <headerFooter>
    <oddHeader>&amp;C&amp;"Arial,Bold"&amp;9BUREAU OF THE TREASURY
&amp;"Arial,Italic"Statistical Data Analysis Division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J61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R38" sqref="R38"/>
    </sheetView>
  </sheetViews>
  <sheetFormatPr defaultColWidth="9.140625" defaultRowHeight="14.25" x14ac:dyDescent="0.2"/>
  <cols>
    <col min="1" max="1" width="1.7109375" style="6" customWidth="1"/>
    <col min="2" max="2" width="1.5703125" style="6" customWidth="1"/>
    <col min="3" max="3" width="1.85546875" style="6" customWidth="1"/>
    <col min="4" max="4" width="2.140625" style="6" customWidth="1"/>
    <col min="5" max="5" width="22.85546875" style="6" customWidth="1"/>
    <col min="6" max="16" width="9.140625" style="6"/>
    <col min="17" max="17" width="10" style="6" customWidth="1"/>
    <col min="18" max="18" width="11" style="6" customWidth="1"/>
    <col min="19" max="19" width="9.5703125" style="6" customWidth="1"/>
    <col min="20" max="1024" width="9.140625" style="6"/>
  </cols>
  <sheetData>
    <row r="1" spans="1:20" ht="15" x14ac:dyDescent="0.25">
      <c r="A1" s="7" t="s">
        <v>53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20" ht="15" x14ac:dyDescent="0.25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20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20" x14ac:dyDescent="0.2">
      <c r="A4" s="9" t="s">
        <v>55</v>
      </c>
      <c r="B4" s="8"/>
    </row>
    <row r="5" spans="1:20" ht="6" customHeight="1" x14ac:dyDescent="0.2"/>
    <row r="6" spans="1:20" ht="22.5" customHeight="1" x14ac:dyDescent="0.2">
      <c r="A6" s="183" t="s">
        <v>3</v>
      </c>
      <c r="B6" s="183"/>
      <c r="C6" s="183"/>
      <c r="D6" s="183"/>
      <c r="E6" s="183"/>
      <c r="F6" s="63" t="s">
        <v>4</v>
      </c>
      <c r="G6" s="63" t="s">
        <v>5</v>
      </c>
      <c r="H6" s="63" t="s">
        <v>6</v>
      </c>
      <c r="I6" s="63" t="s">
        <v>7</v>
      </c>
      <c r="J6" s="63" t="s">
        <v>8</v>
      </c>
      <c r="K6" s="63" t="s">
        <v>9</v>
      </c>
      <c r="L6" s="63" t="s">
        <v>10</v>
      </c>
      <c r="M6" s="63" t="s">
        <v>11</v>
      </c>
      <c r="N6" s="63" t="s">
        <v>65</v>
      </c>
      <c r="O6" s="63" t="s">
        <v>13</v>
      </c>
      <c r="P6" s="63" t="s">
        <v>56</v>
      </c>
      <c r="Q6" s="63" t="s">
        <v>57</v>
      </c>
      <c r="R6" s="64" t="s">
        <v>14</v>
      </c>
    </row>
    <row r="7" spans="1:20" ht="15.75" customHeight="1" x14ac:dyDescent="0.2"/>
    <row r="8" spans="1:20" ht="15.75" customHeight="1" x14ac:dyDescent="0.25">
      <c r="B8" s="11" t="s">
        <v>15</v>
      </c>
      <c r="C8" s="11"/>
      <c r="D8" s="11"/>
      <c r="E8" s="11"/>
      <c r="F8" s="17">
        <f t="shared" ref="F8:R8" si="0">F9+F19+F26</f>
        <v>200314</v>
      </c>
      <c r="G8" s="17">
        <f t="shared" si="0"/>
        <v>151838</v>
      </c>
      <c r="H8" s="17">
        <f t="shared" si="0"/>
        <v>180237</v>
      </c>
      <c r="I8" s="17">
        <f t="shared" si="0"/>
        <v>235876</v>
      </c>
      <c r="J8" s="17">
        <f t="shared" si="0"/>
        <v>228251</v>
      </c>
      <c r="K8" s="17">
        <f t="shared" si="0"/>
        <v>179844</v>
      </c>
      <c r="L8" s="17">
        <f t="shared" si="0"/>
        <v>194621</v>
      </c>
      <c r="M8" s="17">
        <f t="shared" si="0"/>
        <v>230408</v>
      </c>
      <c r="N8" s="17">
        <f t="shared" si="0"/>
        <v>200091</v>
      </c>
      <c r="O8" s="17">
        <f t="shared" si="0"/>
        <v>205068</v>
      </c>
      <c r="P8" s="17">
        <f t="shared" si="0"/>
        <v>243492</v>
      </c>
      <c r="Q8" s="17">
        <f t="shared" si="0"/>
        <v>223092</v>
      </c>
      <c r="R8" s="17">
        <f t="shared" si="0"/>
        <v>2473132</v>
      </c>
      <c r="S8" s="6" t="s">
        <v>58</v>
      </c>
    </row>
    <row r="9" spans="1:20" ht="15.75" customHeight="1" x14ac:dyDescent="0.2">
      <c r="C9" s="6" t="s">
        <v>16</v>
      </c>
      <c r="F9" s="21">
        <f t="shared" ref="F9:R9" si="1">F10+F14+F17</f>
        <v>184663</v>
      </c>
      <c r="G9" s="21">
        <f t="shared" si="1"/>
        <v>138977</v>
      </c>
      <c r="H9" s="21">
        <f t="shared" si="1"/>
        <v>156313</v>
      </c>
      <c r="I9" s="21">
        <f t="shared" si="1"/>
        <v>220077</v>
      </c>
      <c r="J9" s="21">
        <f t="shared" si="1"/>
        <v>200736</v>
      </c>
      <c r="K9" s="21">
        <f t="shared" si="1"/>
        <v>168137</v>
      </c>
      <c r="L9" s="21">
        <f t="shared" si="1"/>
        <v>174656</v>
      </c>
      <c r="M9" s="21">
        <f t="shared" si="1"/>
        <v>212211</v>
      </c>
      <c r="N9" s="21">
        <f t="shared" si="1"/>
        <v>183154</v>
      </c>
      <c r="O9" s="21">
        <f t="shared" si="1"/>
        <v>186493</v>
      </c>
      <c r="P9" s="21">
        <f t="shared" si="1"/>
        <v>228254</v>
      </c>
      <c r="Q9" s="21">
        <f t="shared" si="1"/>
        <v>197007</v>
      </c>
      <c r="R9" s="21">
        <f t="shared" si="1"/>
        <v>2250678</v>
      </c>
    </row>
    <row r="10" spans="1:20" ht="15.75" customHeight="1" x14ac:dyDescent="0.2">
      <c r="D10" s="6" t="s">
        <v>17</v>
      </c>
      <c r="F10" s="13">
        <v>147393</v>
      </c>
      <c r="G10" s="13">
        <v>105862</v>
      </c>
      <c r="H10" s="13">
        <v>117149</v>
      </c>
      <c r="I10" s="13">
        <v>187670</v>
      </c>
      <c r="J10" s="13">
        <v>158694</v>
      </c>
      <c r="K10" s="13">
        <v>131245</v>
      </c>
      <c r="L10" s="13">
        <v>138080</v>
      </c>
      <c r="M10" s="13">
        <v>171654</v>
      </c>
      <c r="N10" s="13">
        <v>141431</v>
      </c>
      <c r="O10" s="13">
        <v>142542</v>
      </c>
      <c r="P10" s="13">
        <v>179355</v>
      </c>
      <c r="Q10" s="13">
        <v>151246</v>
      </c>
      <c r="R10" s="13">
        <f>SUM(F10:Q10)</f>
        <v>1772321</v>
      </c>
    </row>
    <row r="11" spans="1:20" ht="15.75" customHeight="1" x14ac:dyDescent="0.2">
      <c r="E11" s="10" t="s">
        <v>18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20" ht="15.75" customHeight="1" x14ac:dyDescent="0.2">
      <c r="E12" s="6" t="s">
        <v>19</v>
      </c>
      <c r="F12" s="13">
        <v>117</v>
      </c>
      <c r="G12" s="13">
        <v>582</v>
      </c>
      <c r="H12" s="13">
        <v>887</v>
      </c>
      <c r="I12" s="13">
        <v>330</v>
      </c>
      <c r="J12" s="13">
        <v>1049</v>
      </c>
      <c r="K12" s="13">
        <v>246</v>
      </c>
      <c r="L12" s="13">
        <v>398</v>
      </c>
      <c r="M12" s="13">
        <v>153</v>
      </c>
      <c r="N12" s="13">
        <v>435</v>
      </c>
      <c r="O12" s="13">
        <v>339</v>
      </c>
      <c r="P12" s="13">
        <v>282</v>
      </c>
      <c r="Q12" s="13">
        <v>125</v>
      </c>
      <c r="R12" s="13">
        <f>SUM(F12:Q12)</f>
        <v>4943</v>
      </c>
    </row>
    <row r="13" spans="1:20" ht="15.75" customHeight="1" x14ac:dyDescent="0.2">
      <c r="E13" s="6" t="s">
        <v>20</v>
      </c>
      <c r="F13" s="13">
        <v>7</v>
      </c>
      <c r="G13" s="13">
        <v>0</v>
      </c>
      <c r="H13" s="13">
        <v>0</v>
      </c>
      <c r="I13" s="13">
        <v>525</v>
      </c>
      <c r="J13" s="13">
        <v>267</v>
      </c>
      <c r="K13" s="13">
        <v>108</v>
      </c>
      <c r="L13" s="13">
        <v>7</v>
      </c>
      <c r="M13" s="13">
        <v>7</v>
      </c>
      <c r="N13" s="13">
        <v>300</v>
      </c>
      <c r="O13" s="13">
        <v>69</v>
      </c>
      <c r="P13" s="13">
        <v>150</v>
      </c>
      <c r="Q13" s="13">
        <v>508</v>
      </c>
      <c r="R13" s="13">
        <f>SUM(F13:Q13)</f>
        <v>1948</v>
      </c>
    </row>
    <row r="14" spans="1:20" ht="15.75" customHeight="1" x14ac:dyDescent="0.2">
      <c r="D14" s="6" t="s">
        <v>21</v>
      </c>
      <c r="F14" s="13">
        <v>35943</v>
      </c>
      <c r="G14" s="13">
        <v>30854</v>
      </c>
      <c r="H14" s="13">
        <v>37333</v>
      </c>
      <c r="I14" s="13">
        <v>31142</v>
      </c>
      <c r="J14" s="13">
        <v>39592</v>
      </c>
      <c r="K14" s="13">
        <v>35417</v>
      </c>
      <c r="L14" s="13">
        <v>34994</v>
      </c>
      <c r="M14" s="13">
        <v>38289</v>
      </c>
      <c r="N14" s="13">
        <v>40261</v>
      </c>
      <c r="O14" s="13">
        <v>42915</v>
      </c>
      <c r="P14" s="13">
        <v>46366</v>
      </c>
      <c r="Q14" s="13">
        <v>45078</v>
      </c>
      <c r="R14" s="13">
        <f>SUM(F14:Q14)</f>
        <v>458184</v>
      </c>
    </row>
    <row r="15" spans="1:20" ht="15.75" customHeight="1" x14ac:dyDescent="0.2">
      <c r="E15" s="10" t="s">
        <v>18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20" ht="15.75" customHeight="1" x14ac:dyDescent="0.2">
      <c r="E16" s="6" t="s">
        <v>20</v>
      </c>
      <c r="F16" s="13">
        <v>0</v>
      </c>
      <c r="G16" s="13">
        <v>69</v>
      </c>
      <c r="H16" s="13">
        <v>81</v>
      </c>
      <c r="I16" s="13">
        <v>219</v>
      </c>
      <c r="J16" s="13">
        <v>120</v>
      </c>
      <c r="K16" s="13">
        <v>130</v>
      </c>
      <c r="L16" s="13">
        <v>163</v>
      </c>
      <c r="M16" s="13">
        <v>121</v>
      </c>
      <c r="N16" s="13">
        <v>78</v>
      </c>
      <c r="O16" s="13">
        <v>5</v>
      </c>
      <c r="P16" s="13">
        <v>183</v>
      </c>
      <c r="Q16" s="13">
        <v>271</v>
      </c>
      <c r="R16" s="13">
        <f>SUM(F16:Q16)</f>
        <v>1440</v>
      </c>
      <c r="T16" s="6" t="s">
        <v>58</v>
      </c>
    </row>
    <row r="17" spans="2:20" ht="15.75" customHeight="1" x14ac:dyDescent="0.2">
      <c r="D17" s="6" t="s">
        <v>88</v>
      </c>
      <c r="F17" s="13">
        <v>1327</v>
      </c>
      <c r="G17" s="13">
        <v>2261</v>
      </c>
      <c r="H17" s="13">
        <v>1831</v>
      </c>
      <c r="I17" s="13">
        <v>1265</v>
      </c>
      <c r="J17" s="13">
        <v>2450</v>
      </c>
      <c r="K17" s="13">
        <v>1475</v>
      </c>
      <c r="L17" s="13">
        <v>1582</v>
      </c>
      <c r="M17" s="13">
        <v>2268</v>
      </c>
      <c r="N17" s="13">
        <v>1462</v>
      </c>
      <c r="O17" s="13">
        <v>1036</v>
      </c>
      <c r="P17" s="13">
        <v>2533</v>
      </c>
      <c r="Q17" s="13">
        <v>683</v>
      </c>
      <c r="R17" s="13">
        <f>SUM(F17:Q17)</f>
        <v>20173</v>
      </c>
    </row>
    <row r="18" spans="2:20" ht="15.75" customHeight="1" x14ac:dyDescent="0.2"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2:20" ht="15.75" customHeight="1" x14ac:dyDescent="0.2">
      <c r="C19" s="6" t="s">
        <v>23</v>
      </c>
      <c r="F19" s="21">
        <f t="shared" ref="F19:R19" si="2">SUM(F20:F24)</f>
        <v>15649</v>
      </c>
      <c r="G19" s="21">
        <f t="shared" si="2"/>
        <v>12855</v>
      </c>
      <c r="H19" s="21">
        <f t="shared" si="2"/>
        <v>23922</v>
      </c>
      <c r="I19" s="21">
        <f t="shared" si="2"/>
        <v>15788</v>
      </c>
      <c r="J19" s="21">
        <f t="shared" si="2"/>
        <v>27509</v>
      </c>
      <c r="K19" s="21">
        <f t="shared" si="2"/>
        <v>11703</v>
      </c>
      <c r="L19" s="21">
        <f t="shared" si="2"/>
        <v>19965</v>
      </c>
      <c r="M19" s="21">
        <f t="shared" si="2"/>
        <v>18189</v>
      </c>
      <c r="N19" s="21">
        <f t="shared" si="2"/>
        <v>16937</v>
      </c>
      <c r="O19" s="21">
        <f t="shared" si="2"/>
        <v>18575</v>
      </c>
      <c r="P19" s="21">
        <f t="shared" si="2"/>
        <v>15238</v>
      </c>
      <c r="Q19" s="21">
        <f t="shared" si="2"/>
        <v>26085</v>
      </c>
      <c r="R19" s="21">
        <f t="shared" si="2"/>
        <v>222415</v>
      </c>
      <c r="S19" s="13"/>
    </row>
    <row r="20" spans="2:20" ht="15.75" customHeight="1" x14ac:dyDescent="0.2">
      <c r="D20" s="6" t="s">
        <v>24</v>
      </c>
      <c r="F20" s="13">
        <v>8005</v>
      </c>
      <c r="G20" s="13">
        <v>5342</v>
      </c>
      <c r="H20" s="13">
        <v>9584</v>
      </c>
      <c r="I20" s="13">
        <v>7123</v>
      </c>
      <c r="J20" s="13">
        <v>17977</v>
      </c>
      <c r="K20" s="13">
        <v>4691</v>
      </c>
      <c r="L20" s="13">
        <v>8467</v>
      </c>
      <c r="M20" s="13">
        <v>6192</v>
      </c>
      <c r="N20" s="13">
        <v>7300</v>
      </c>
      <c r="O20" s="13">
        <v>7581</v>
      </c>
      <c r="P20" s="13">
        <v>4287</v>
      </c>
      <c r="Q20" s="13">
        <v>13356</v>
      </c>
      <c r="R20" s="13">
        <f>SUM(F20:Q20)</f>
        <v>99905</v>
      </c>
    </row>
    <row r="21" spans="2:20" ht="15.75" customHeight="1" x14ac:dyDescent="0.2">
      <c r="D21" s="6" t="s">
        <v>89</v>
      </c>
      <c r="F21" s="13">
        <v>3344</v>
      </c>
      <c r="G21" s="13">
        <v>3345</v>
      </c>
      <c r="H21" s="13">
        <v>3284</v>
      </c>
      <c r="I21" s="13">
        <v>2113</v>
      </c>
      <c r="J21" s="13">
        <v>4186</v>
      </c>
      <c r="K21" s="13">
        <v>2847</v>
      </c>
      <c r="L21" s="13">
        <v>2762</v>
      </c>
      <c r="M21" s="13">
        <v>3870</v>
      </c>
      <c r="N21" s="13">
        <v>3748</v>
      </c>
      <c r="O21" s="13">
        <v>3357</v>
      </c>
      <c r="P21" s="13">
        <v>5339</v>
      </c>
      <c r="Q21" s="13">
        <v>2576</v>
      </c>
      <c r="R21" s="13">
        <f>SUM(F21:Q21)</f>
        <v>40771</v>
      </c>
      <c r="S21" s="13"/>
    </row>
    <row r="22" spans="2:20" ht="15.75" customHeight="1" x14ac:dyDescent="0.2">
      <c r="D22" s="6" t="s">
        <v>26</v>
      </c>
      <c r="F22" s="13">
        <v>8</v>
      </c>
      <c r="G22" s="13">
        <v>4</v>
      </c>
      <c r="H22" s="13">
        <v>30</v>
      </c>
      <c r="I22" s="13">
        <v>5</v>
      </c>
      <c r="J22" s="13">
        <v>196</v>
      </c>
      <c r="K22" s="13">
        <v>8</v>
      </c>
      <c r="L22" s="13">
        <v>16</v>
      </c>
      <c r="M22" s="13">
        <v>256</v>
      </c>
      <c r="N22" s="13">
        <v>1</v>
      </c>
      <c r="O22" s="13">
        <v>289</v>
      </c>
      <c r="P22" s="13">
        <v>4</v>
      </c>
      <c r="Q22" s="13">
        <v>13</v>
      </c>
      <c r="R22" s="13">
        <f>SUM(F22:Q22)</f>
        <v>830</v>
      </c>
      <c r="S22" s="13"/>
    </row>
    <row r="23" spans="2:20" ht="15.75" customHeight="1" x14ac:dyDescent="0.2">
      <c r="D23" s="6" t="s">
        <v>27</v>
      </c>
      <c r="F23" s="13">
        <v>1025.3420000000001</v>
      </c>
      <c r="G23" s="13">
        <v>966.94200000000001</v>
      </c>
      <c r="H23" s="13">
        <v>1018.322</v>
      </c>
      <c r="I23" s="13">
        <v>421.64299999999997</v>
      </c>
      <c r="J23" s="13">
        <v>1288.8920000000001</v>
      </c>
      <c r="K23" s="13">
        <v>1011.615</v>
      </c>
      <c r="L23" s="13">
        <v>1773.3720000000001</v>
      </c>
      <c r="M23" s="13">
        <v>1623.5340000000001</v>
      </c>
      <c r="N23" s="13">
        <v>1539.41</v>
      </c>
      <c r="O23" s="13">
        <v>2130.498</v>
      </c>
      <c r="P23" s="13">
        <v>1827.498</v>
      </c>
      <c r="Q23" s="13">
        <v>1623.6210000000001</v>
      </c>
      <c r="R23" s="13">
        <f>SUM(F23:Q23)</f>
        <v>16250.688999999998</v>
      </c>
      <c r="S23" s="71"/>
      <c r="T23" s="13"/>
    </row>
    <row r="24" spans="2:20" ht="15.75" customHeight="1" x14ac:dyDescent="0.2">
      <c r="D24" s="6" t="s">
        <v>28</v>
      </c>
      <c r="F24" s="13">
        <v>3266.6579999999999</v>
      </c>
      <c r="G24" s="13">
        <v>3197.058</v>
      </c>
      <c r="H24" s="13">
        <v>10005.678</v>
      </c>
      <c r="I24" s="13">
        <v>6125.357</v>
      </c>
      <c r="J24" s="13">
        <v>3861.1080000000002</v>
      </c>
      <c r="K24" s="13">
        <v>3145.3850000000002</v>
      </c>
      <c r="L24" s="13">
        <v>6946.6279999999997</v>
      </c>
      <c r="M24" s="13">
        <v>6247.4660000000003</v>
      </c>
      <c r="N24" s="13">
        <v>4348.59</v>
      </c>
      <c r="O24" s="13">
        <v>5217.5020000000004</v>
      </c>
      <c r="P24" s="13">
        <v>3780.502</v>
      </c>
      <c r="Q24" s="13">
        <v>8516.3790000000008</v>
      </c>
      <c r="R24" s="13">
        <f>SUM(F24:Q24)</f>
        <v>64658.311000000002</v>
      </c>
      <c r="S24" s="71"/>
    </row>
    <row r="25" spans="2:20" ht="15.75" customHeight="1" x14ac:dyDescent="0.2"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2:20" ht="15.75" customHeight="1" x14ac:dyDescent="0.2">
      <c r="C26" s="6" t="s">
        <v>29</v>
      </c>
      <c r="F26" s="13">
        <v>2</v>
      </c>
      <c r="G26" s="13">
        <v>6</v>
      </c>
      <c r="H26" s="13">
        <v>2</v>
      </c>
      <c r="I26" s="13">
        <v>11</v>
      </c>
      <c r="J26" s="13">
        <v>6</v>
      </c>
      <c r="K26" s="13">
        <v>4</v>
      </c>
      <c r="L26" s="13">
        <v>0</v>
      </c>
      <c r="M26" s="13">
        <v>8</v>
      </c>
      <c r="N26" s="13">
        <v>0</v>
      </c>
      <c r="O26" s="13">
        <v>0</v>
      </c>
      <c r="P26" s="13">
        <v>0</v>
      </c>
      <c r="Q26" s="13">
        <v>0</v>
      </c>
      <c r="R26" s="13">
        <f>SUM(F26:Q26)</f>
        <v>39</v>
      </c>
    </row>
    <row r="27" spans="2:20" ht="15.75" customHeight="1" x14ac:dyDescent="0.2">
      <c r="F27" s="13" t="s">
        <v>58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2:20" ht="15.75" customHeight="1" x14ac:dyDescent="0.25">
      <c r="B28" s="11" t="s">
        <v>30</v>
      </c>
      <c r="C28" s="11"/>
      <c r="D28" s="11"/>
      <c r="E28" s="11"/>
      <c r="F28" s="17">
        <f t="shared" ref="F28:R28" si="3">SUM(F30:F36)</f>
        <v>198092.45300000001</v>
      </c>
      <c r="G28" s="17">
        <f t="shared" si="3"/>
        <v>175562</v>
      </c>
      <c r="H28" s="17">
        <f t="shared" si="3"/>
        <v>241708</v>
      </c>
      <c r="I28" s="17">
        <f t="shared" si="3"/>
        <v>183079</v>
      </c>
      <c r="J28" s="17">
        <f t="shared" si="3"/>
        <v>261672</v>
      </c>
      <c r="K28" s="17">
        <f t="shared" si="3"/>
        <v>270717</v>
      </c>
      <c r="L28" s="17">
        <f t="shared" si="3"/>
        <v>245133</v>
      </c>
      <c r="M28" s="17">
        <f t="shared" si="3"/>
        <v>201600</v>
      </c>
      <c r="N28" s="17">
        <f t="shared" si="3"/>
        <v>236983</v>
      </c>
      <c r="O28" s="17">
        <f t="shared" si="3"/>
        <v>226868</v>
      </c>
      <c r="P28" s="17">
        <f t="shared" si="3"/>
        <v>252115</v>
      </c>
      <c r="Q28" s="17">
        <f t="shared" si="3"/>
        <v>330239.82</v>
      </c>
      <c r="R28" s="17">
        <f t="shared" si="3"/>
        <v>2823769.273</v>
      </c>
      <c r="S28" s="13" t="s">
        <v>58</v>
      </c>
    </row>
    <row r="29" spans="2:20" ht="15.75" customHeight="1" x14ac:dyDescent="0.2"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2:20" ht="15.75" customHeight="1" x14ac:dyDescent="0.2">
      <c r="D30" s="6" t="s">
        <v>31</v>
      </c>
      <c r="F30" s="13">
        <v>40844</v>
      </c>
      <c r="G30" s="13">
        <v>40792</v>
      </c>
      <c r="H30" s="13">
        <v>40773</v>
      </c>
      <c r="I30" s="13">
        <v>49670</v>
      </c>
      <c r="J30" s="13">
        <v>46519</v>
      </c>
      <c r="K30" s="13">
        <v>55084</v>
      </c>
      <c r="L30" s="13">
        <v>42712</v>
      </c>
      <c r="M30" s="13">
        <v>43690</v>
      </c>
      <c r="N30" s="13">
        <v>41871</v>
      </c>
      <c r="O30" s="13">
        <v>41595</v>
      </c>
      <c r="P30" s="13">
        <v>41839</v>
      </c>
      <c r="Q30" s="13">
        <v>44761</v>
      </c>
      <c r="R30" s="13">
        <f t="shared" ref="R30:R36" si="4">SUM(F30:Q30)</f>
        <v>530150</v>
      </c>
      <c r="S30" s="13"/>
    </row>
    <row r="31" spans="2:20" ht="15.75" customHeight="1" x14ac:dyDescent="0.2">
      <c r="D31" s="6" t="s">
        <v>32</v>
      </c>
      <c r="F31" s="13">
        <v>42353.453000000001</v>
      </c>
      <c r="G31" s="13">
        <v>24230</v>
      </c>
      <c r="H31" s="13">
        <v>31272</v>
      </c>
      <c r="I31" s="13">
        <v>13483</v>
      </c>
      <c r="J31" s="13">
        <v>20966</v>
      </c>
      <c r="K31" s="13">
        <v>19273</v>
      </c>
      <c r="L31" s="13">
        <v>44626</v>
      </c>
      <c r="M31" s="13">
        <v>26370</v>
      </c>
      <c r="N31" s="13">
        <v>26397</v>
      </c>
      <c r="O31" s="13">
        <v>20434</v>
      </c>
      <c r="P31" s="13">
        <v>20583</v>
      </c>
      <c r="Q31" s="13">
        <v>20553.82</v>
      </c>
      <c r="R31" s="13">
        <f t="shared" si="4"/>
        <v>310541.27299999999</v>
      </c>
      <c r="S31" s="13"/>
    </row>
    <row r="32" spans="2:20" ht="15.75" customHeight="1" x14ac:dyDescent="0.2">
      <c r="D32" s="6" t="s">
        <v>33</v>
      </c>
      <c r="F32" s="13">
        <v>124</v>
      </c>
      <c r="G32" s="13">
        <v>651</v>
      </c>
      <c r="H32" s="13">
        <v>968</v>
      </c>
      <c r="I32" s="13">
        <v>1074</v>
      </c>
      <c r="J32" s="13">
        <v>1436</v>
      </c>
      <c r="K32" s="13">
        <v>484</v>
      </c>
      <c r="L32" s="13">
        <v>568</v>
      </c>
      <c r="M32" s="13">
        <v>281</v>
      </c>
      <c r="N32" s="13">
        <v>813</v>
      </c>
      <c r="O32" s="13">
        <v>413</v>
      </c>
      <c r="P32" s="13">
        <v>615</v>
      </c>
      <c r="Q32" s="13">
        <v>904</v>
      </c>
      <c r="R32" s="13">
        <f t="shared" si="4"/>
        <v>8331</v>
      </c>
    </row>
    <row r="33" spans="2:19" ht="15.75" customHeight="1" x14ac:dyDescent="0.2">
      <c r="D33" s="6" t="s">
        <v>78</v>
      </c>
      <c r="F33" s="13">
        <v>1266</v>
      </c>
      <c r="G33" s="13">
        <v>9993</v>
      </c>
      <c r="H33" s="13">
        <v>8407</v>
      </c>
      <c r="I33" s="13">
        <v>2150</v>
      </c>
      <c r="J33" s="13">
        <v>4097</v>
      </c>
      <c r="K33" s="13">
        <v>32306</v>
      </c>
      <c r="L33" s="13">
        <v>16867</v>
      </c>
      <c r="M33" s="13">
        <v>6085</v>
      </c>
      <c r="N33" s="13">
        <v>2454</v>
      </c>
      <c r="O33" s="13">
        <v>10275</v>
      </c>
      <c r="P33" s="13">
        <v>5961</v>
      </c>
      <c r="Q33" s="13">
        <v>31227</v>
      </c>
      <c r="R33" s="13">
        <f t="shared" si="4"/>
        <v>131088</v>
      </c>
      <c r="S33" s="13"/>
    </row>
    <row r="34" spans="2:19" ht="15.75" customHeight="1" x14ac:dyDescent="0.2">
      <c r="D34" s="6" t="s">
        <v>35</v>
      </c>
      <c r="F34" s="13">
        <v>0</v>
      </c>
      <c r="G34" s="13">
        <v>0</v>
      </c>
      <c r="H34" s="13">
        <v>0</v>
      </c>
      <c r="I34" s="13">
        <v>48</v>
      </c>
      <c r="J34" s="13">
        <v>6</v>
      </c>
      <c r="K34" s="13">
        <v>3186</v>
      </c>
      <c r="L34" s="13">
        <v>22</v>
      </c>
      <c r="M34" s="13">
        <v>15</v>
      </c>
      <c r="N34" s="13">
        <v>4</v>
      </c>
      <c r="O34" s="13">
        <v>144</v>
      </c>
      <c r="P34" s="13">
        <v>1280</v>
      </c>
      <c r="Q34" s="13">
        <v>653</v>
      </c>
      <c r="R34" s="13">
        <f t="shared" si="4"/>
        <v>5358</v>
      </c>
    </row>
    <row r="35" spans="2:19" ht="15.75" customHeight="1" x14ac:dyDescent="0.2">
      <c r="D35" s="6" t="s">
        <v>79</v>
      </c>
      <c r="F35" s="13">
        <v>-278</v>
      </c>
      <c r="G35" s="13">
        <v>-823</v>
      </c>
      <c r="H35" s="13">
        <v>-634</v>
      </c>
      <c r="I35" s="13">
        <v>115</v>
      </c>
      <c r="J35" s="13">
        <v>160</v>
      </c>
      <c r="K35" s="13">
        <v>132</v>
      </c>
      <c r="L35" s="13">
        <v>3</v>
      </c>
      <c r="M35" s="13">
        <v>2</v>
      </c>
      <c r="N35" s="13">
        <v>-4136</v>
      </c>
      <c r="O35" s="13">
        <v>2195</v>
      </c>
      <c r="P35" s="13">
        <v>3151</v>
      </c>
      <c r="Q35" s="13">
        <v>-4124</v>
      </c>
      <c r="R35" s="13">
        <f t="shared" si="4"/>
        <v>-4237</v>
      </c>
    </row>
    <row r="36" spans="2:19" ht="15.75" customHeight="1" x14ac:dyDescent="0.2">
      <c r="D36" s="6" t="s">
        <v>80</v>
      </c>
      <c r="F36" s="13">
        <v>113783</v>
      </c>
      <c r="G36" s="13">
        <v>100719</v>
      </c>
      <c r="H36" s="13">
        <v>160922</v>
      </c>
      <c r="I36" s="13">
        <v>116539</v>
      </c>
      <c r="J36" s="13">
        <v>188488</v>
      </c>
      <c r="K36" s="13">
        <v>160252</v>
      </c>
      <c r="L36" s="13">
        <v>140335</v>
      </c>
      <c r="M36" s="13">
        <v>125157</v>
      </c>
      <c r="N36" s="13">
        <v>169580</v>
      </c>
      <c r="O36" s="13">
        <v>151812</v>
      </c>
      <c r="P36" s="13">
        <f>165107+14194-P32</f>
        <v>178686</v>
      </c>
      <c r="Q36" s="13">
        <v>236265</v>
      </c>
      <c r="R36" s="13">
        <f t="shared" si="4"/>
        <v>1842538</v>
      </c>
      <c r="S36" s="13" t="s">
        <v>58</v>
      </c>
    </row>
    <row r="37" spans="2:19" ht="15.75" customHeight="1" x14ac:dyDescent="0.2"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13"/>
      <c r="S37" s="13"/>
    </row>
    <row r="38" spans="2:19" ht="15.75" customHeight="1" x14ac:dyDescent="0.25">
      <c r="B38" s="11" t="s">
        <v>38</v>
      </c>
      <c r="C38" s="11"/>
      <c r="D38" s="11"/>
      <c r="E38" s="11"/>
      <c r="F38" s="20">
        <f t="shared" ref="F38:Q38" si="5">F8-F28</f>
        <v>2221.5469999999914</v>
      </c>
      <c r="G38" s="20">
        <f t="shared" si="5"/>
        <v>-23724</v>
      </c>
      <c r="H38" s="20">
        <f t="shared" si="5"/>
        <v>-61471</v>
      </c>
      <c r="I38" s="20">
        <f t="shared" si="5"/>
        <v>52797</v>
      </c>
      <c r="J38" s="20">
        <f t="shared" si="5"/>
        <v>-33421</v>
      </c>
      <c r="K38" s="20">
        <f t="shared" si="5"/>
        <v>-90873</v>
      </c>
      <c r="L38" s="20">
        <f t="shared" si="5"/>
        <v>-50512</v>
      </c>
      <c r="M38" s="20">
        <f t="shared" si="5"/>
        <v>28808</v>
      </c>
      <c r="N38" s="20">
        <f t="shared" si="5"/>
        <v>-36892</v>
      </c>
      <c r="O38" s="20">
        <f t="shared" si="5"/>
        <v>-21800</v>
      </c>
      <c r="P38" s="20">
        <f t="shared" si="5"/>
        <v>-8623</v>
      </c>
      <c r="Q38" s="20">
        <f t="shared" si="5"/>
        <v>-107147.82</v>
      </c>
      <c r="R38" s="20">
        <f>SUM(F38:Q38)</f>
        <v>-350637.27300000004</v>
      </c>
    </row>
    <row r="39" spans="2:19" ht="15.75" customHeight="1" x14ac:dyDescent="0.2"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9" ht="15.75" customHeight="1" x14ac:dyDescent="0.25">
      <c r="B40" s="11" t="s">
        <v>39</v>
      </c>
      <c r="C40" s="11"/>
      <c r="D40" s="11"/>
      <c r="E40" s="11"/>
      <c r="F40" s="17">
        <v>11474</v>
      </c>
      <c r="G40" s="17">
        <v>69888</v>
      </c>
      <c r="H40" s="17">
        <v>36084</v>
      </c>
      <c r="I40" s="17">
        <v>202652</v>
      </c>
      <c r="J40" s="17">
        <v>26553</v>
      </c>
      <c r="K40" s="17">
        <v>47185</v>
      </c>
      <c r="L40" s="17">
        <v>12217.42</v>
      </c>
      <c r="M40" s="17">
        <v>56552</v>
      </c>
      <c r="N40" s="17">
        <v>37191</v>
      </c>
      <c r="O40" s="17">
        <v>33587</v>
      </c>
      <c r="P40" s="17">
        <v>-4402</v>
      </c>
      <c r="Q40" s="17">
        <v>229948</v>
      </c>
      <c r="R40" s="17">
        <v>758929.42</v>
      </c>
    </row>
    <row r="41" spans="2:19" ht="15.75" customHeight="1" x14ac:dyDescent="0.2">
      <c r="C41" s="6" t="s">
        <v>40</v>
      </c>
      <c r="F41" s="21">
        <v>-7552</v>
      </c>
      <c r="G41" s="21">
        <v>38226</v>
      </c>
      <c r="H41" s="21">
        <v>-895</v>
      </c>
      <c r="I41" s="21">
        <v>1279</v>
      </c>
      <c r="J41" s="21">
        <v>-1339</v>
      </c>
      <c r="K41" s="21">
        <v>-1564</v>
      </c>
      <c r="L41" s="21">
        <v>-662.58</v>
      </c>
      <c r="M41" s="21">
        <v>9487</v>
      </c>
      <c r="N41" s="21">
        <v>499</v>
      </c>
      <c r="O41" s="21">
        <v>-2183</v>
      </c>
      <c r="P41" s="21">
        <v>-4998</v>
      </c>
      <c r="Q41" s="21">
        <v>-2728</v>
      </c>
      <c r="R41" s="21">
        <v>27569.42</v>
      </c>
      <c r="S41" s="13"/>
    </row>
    <row r="42" spans="2:19" ht="15.75" customHeight="1" x14ac:dyDescent="0.2">
      <c r="D42" s="6" t="s">
        <v>41</v>
      </c>
      <c r="F42" s="13">
        <v>20037</v>
      </c>
      <c r="G42" s="13">
        <v>100569</v>
      </c>
      <c r="H42" s="13">
        <v>4333</v>
      </c>
      <c r="I42" s="13">
        <v>5101</v>
      </c>
      <c r="J42" s="13">
        <v>5182</v>
      </c>
      <c r="K42" s="13">
        <v>3987</v>
      </c>
      <c r="L42" s="13">
        <v>1181</v>
      </c>
      <c r="M42" s="13">
        <v>14244</v>
      </c>
      <c r="N42" s="13">
        <v>5501</v>
      </c>
      <c r="O42" s="13">
        <v>2016</v>
      </c>
      <c r="P42" s="13">
        <v>1846</v>
      </c>
      <c r="Q42" s="13">
        <v>4106</v>
      </c>
      <c r="R42" s="13">
        <v>168103</v>
      </c>
    </row>
    <row r="43" spans="2:19" ht="15.75" customHeight="1" x14ac:dyDescent="0.2">
      <c r="D43" s="6" t="s">
        <v>42</v>
      </c>
      <c r="F43" s="13">
        <v>27589</v>
      </c>
      <c r="G43" s="13">
        <v>62343</v>
      </c>
      <c r="H43" s="13">
        <v>5228</v>
      </c>
      <c r="I43" s="13">
        <v>3822</v>
      </c>
      <c r="J43" s="13">
        <v>6521</v>
      </c>
      <c r="K43" s="13">
        <v>5551</v>
      </c>
      <c r="L43" s="13">
        <v>1843.58</v>
      </c>
      <c r="M43" s="13">
        <v>4757</v>
      </c>
      <c r="N43" s="13">
        <v>5002</v>
      </c>
      <c r="O43" s="13">
        <v>4199</v>
      </c>
      <c r="P43" s="13">
        <v>6844</v>
      </c>
      <c r="Q43" s="13">
        <v>6834</v>
      </c>
      <c r="R43" s="13">
        <v>140533.57999999999</v>
      </c>
    </row>
    <row r="44" spans="2:19" ht="15.75" customHeight="1" x14ac:dyDescent="0.2"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9" ht="15.75" customHeight="1" x14ac:dyDescent="0.2">
      <c r="C45" s="6" t="s">
        <v>43</v>
      </c>
      <c r="F45" s="21">
        <v>19026</v>
      </c>
      <c r="G45" s="21">
        <v>31662</v>
      </c>
      <c r="H45" s="21">
        <v>36979</v>
      </c>
      <c r="I45" s="21">
        <v>201373</v>
      </c>
      <c r="J45" s="21">
        <v>27892</v>
      </c>
      <c r="K45" s="21">
        <v>48749</v>
      </c>
      <c r="L45" s="21">
        <v>12880</v>
      </c>
      <c r="M45" s="21">
        <v>47065</v>
      </c>
      <c r="N45" s="21">
        <v>36692</v>
      </c>
      <c r="O45" s="21">
        <v>35770</v>
      </c>
      <c r="P45" s="21">
        <v>596</v>
      </c>
      <c r="Q45" s="21">
        <v>232676</v>
      </c>
      <c r="R45" s="21">
        <v>731360</v>
      </c>
    </row>
    <row r="46" spans="2:19" ht="15.75" customHeight="1" x14ac:dyDescent="0.2">
      <c r="D46" s="6" t="s">
        <v>44</v>
      </c>
      <c r="F46" s="13">
        <v>19090</v>
      </c>
      <c r="G46" s="13">
        <v>31662</v>
      </c>
      <c r="H46" s="13">
        <v>37430</v>
      </c>
      <c r="I46" s="13">
        <v>201373</v>
      </c>
      <c r="J46" s="13">
        <v>28028</v>
      </c>
      <c r="K46" s="13">
        <v>48968</v>
      </c>
      <c r="L46" s="13">
        <v>13028</v>
      </c>
      <c r="M46" s="13">
        <v>47065</v>
      </c>
      <c r="N46" s="13">
        <v>37000</v>
      </c>
      <c r="O46" s="13">
        <v>35963</v>
      </c>
      <c r="P46" s="13">
        <v>711</v>
      </c>
      <c r="Q46" s="13">
        <v>233251</v>
      </c>
      <c r="R46" s="13">
        <v>733569</v>
      </c>
    </row>
    <row r="47" spans="2:19" ht="15.75" customHeight="1" x14ac:dyDescent="0.2">
      <c r="D47" s="6" t="s">
        <v>45</v>
      </c>
      <c r="F47" s="18">
        <v>64</v>
      </c>
      <c r="G47" s="18">
        <v>0</v>
      </c>
      <c r="H47" s="18">
        <v>451</v>
      </c>
      <c r="I47" s="18">
        <v>0</v>
      </c>
      <c r="J47" s="18">
        <v>136</v>
      </c>
      <c r="K47" s="18">
        <v>219</v>
      </c>
      <c r="L47" s="18">
        <v>148</v>
      </c>
      <c r="M47" s="18">
        <v>0</v>
      </c>
      <c r="N47" s="18">
        <v>308</v>
      </c>
      <c r="O47" s="18">
        <v>193</v>
      </c>
      <c r="P47" s="18">
        <v>115</v>
      </c>
      <c r="Q47" s="18">
        <v>575</v>
      </c>
      <c r="R47" s="13">
        <v>2209</v>
      </c>
    </row>
    <row r="48" spans="2:19" ht="15.75" customHeight="1" x14ac:dyDescent="0.2">
      <c r="E48" s="6" t="s">
        <v>68</v>
      </c>
      <c r="F48" s="18">
        <v>64</v>
      </c>
      <c r="G48" s="18">
        <v>0</v>
      </c>
      <c r="H48" s="18">
        <v>55571</v>
      </c>
      <c r="I48" s="18">
        <v>8984</v>
      </c>
      <c r="J48" s="18">
        <v>50900</v>
      </c>
      <c r="K48" s="18">
        <v>219</v>
      </c>
      <c r="L48" s="18">
        <v>53190</v>
      </c>
      <c r="M48" s="18">
        <v>42041</v>
      </c>
      <c r="N48" s="18">
        <v>308</v>
      </c>
      <c r="O48" s="18">
        <v>9325</v>
      </c>
      <c r="P48" s="18">
        <v>8215</v>
      </c>
      <c r="Q48" s="18">
        <v>575</v>
      </c>
      <c r="R48" s="13">
        <v>229392</v>
      </c>
    </row>
    <row r="49" spans="1:19" ht="15.75" customHeight="1" x14ac:dyDescent="0.2">
      <c r="E49" s="74" t="s">
        <v>81</v>
      </c>
      <c r="F49" s="18">
        <v>0</v>
      </c>
      <c r="G49" s="18">
        <v>0</v>
      </c>
      <c r="H49" s="18">
        <v>55120</v>
      </c>
      <c r="I49" s="18">
        <v>8984</v>
      </c>
      <c r="J49" s="18">
        <v>50764</v>
      </c>
      <c r="K49" s="18">
        <v>0</v>
      </c>
      <c r="L49" s="18">
        <v>53042</v>
      </c>
      <c r="M49" s="18">
        <v>42041</v>
      </c>
      <c r="N49" s="18">
        <v>0</v>
      </c>
      <c r="O49" s="18">
        <v>9132</v>
      </c>
      <c r="P49" s="18">
        <v>8100</v>
      </c>
      <c r="Q49" s="18">
        <v>0</v>
      </c>
      <c r="R49" s="13">
        <v>227183</v>
      </c>
    </row>
    <row r="50" spans="1:19" ht="15.75" customHeight="1" x14ac:dyDescent="0.2"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9" ht="15.75" customHeight="1" x14ac:dyDescent="0.25">
      <c r="B51" s="11" t="s">
        <v>47</v>
      </c>
      <c r="C51" s="11"/>
      <c r="D51" s="11"/>
      <c r="E51" s="11"/>
      <c r="F51" s="17">
        <v>30319.546999999999</v>
      </c>
      <c r="G51" s="17">
        <v>49268</v>
      </c>
      <c r="H51" s="17">
        <v>-29130</v>
      </c>
      <c r="I51" s="17">
        <v>217436</v>
      </c>
      <c r="J51" s="17">
        <v>-50398</v>
      </c>
      <c r="K51" s="17">
        <v>-40709</v>
      </c>
      <c r="L51" s="17">
        <v>-65160.58</v>
      </c>
      <c r="M51" s="17">
        <v>44987</v>
      </c>
      <c r="N51" s="17">
        <v>-3870</v>
      </c>
      <c r="O51" s="17">
        <v>8473</v>
      </c>
      <c r="P51" s="17">
        <v>-21901</v>
      </c>
      <c r="Q51" s="17">
        <v>116088.18</v>
      </c>
      <c r="R51" s="17">
        <v>255403.147</v>
      </c>
      <c r="S51" s="13"/>
    </row>
    <row r="52" spans="1:19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9" s="14" customFormat="1" ht="12.75" x14ac:dyDescent="0.2">
      <c r="B53" s="75" t="s">
        <v>48</v>
      </c>
    </row>
    <row r="54" spans="1:19" s="14" customFormat="1" ht="12.75" customHeight="1" x14ac:dyDescent="0.2">
      <c r="B54" s="75"/>
      <c r="C54" s="176" t="s">
        <v>49</v>
      </c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</row>
    <row r="55" spans="1:19" s="14" customFormat="1" ht="12.75" x14ac:dyDescent="0.2">
      <c r="B55" s="75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</row>
    <row r="56" spans="1:19" s="14" customFormat="1" ht="23.25" customHeight="1" x14ac:dyDescent="0.2">
      <c r="B56" s="24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</row>
    <row r="57" spans="1:19" s="14" customFormat="1" ht="12.75" x14ac:dyDescent="0.2">
      <c r="B57" s="24"/>
    </row>
    <row r="58" spans="1:19" s="14" customFormat="1" ht="12.75" x14ac:dyDescent="0.2">
      <c r="B58" s="24" t="s">
        <v>52</v>
      </c>
    </row>
    <row r="59" spans="1:19" s="14" customFormat="1" ht="12.75" x14ac:dyDescent="0.2">
      <c r="B59" s="24" t="s">
        <v>94</v>
      </c>
    </row>
    <row r="61" spans="1:19" x14ac:dyDescent="0.2">
      <c r="A61" s="10"/>
    </row>
  </sheetData>
  <mergeCells count="2">
    <mergeCell ref="A6:E6"/>
    <mergeCell ref="C54:Q56"/>
  </mergeCells>
  <printOptions horizontalCentered="1"/>
  <pageMargins left="0.25" right="0.25" top="1.1000000000000001" bottom="0" header="0.5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MJ63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S34" sqref="S34"/>
    </sheetView>
  </sheetViews>
  <sheetFormatPr defaultColWidth="9.140625" defaultRowHeight="14.25" x14ac:dyDescent="0.2"/>
  <cols>
    <col min="1" max="1" width="1.7109375" style="76" customWidth="1"/>
    <col min="2" max="2" width="1.5703125" style="76" customWidth="1"/>
    <col min="3" max="3" width="1.85546875" style="76" customWidth="1"/>
    <col min="4" max="4" width="2.140625" style="76" customWidth="1"/>
    <col min="5" max="5" width="22.42578125" style="76" customWidth="1"/>
    <col min="6" max="16" width="9.140625" style="76"/>
    <col min="17" max="17" width="10" style="76" customWidth="1"/>
    <col min="18" max="18" width="11" style="76" customWidth="1"/>
    <col min="19" max="1024" width="9.140625" style="76"/>
  </cols>
  <sheetData>
    <row r="1" spans="1:20" ht="15" x14ac:dyDescent="0.25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20" ht="15" x14ac:dyDescent="0.25">
      <c r="A2" s="77" t="s">
        <v>101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20" x14ac:dyDescent="0.2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20" x14ac:dyDescent="0.2">
      <c r="A4" s="79" t="s">
        <v>96</v>
      </c>
      <c r="B4" s="78"/>
    </row>
    <row r="5" spans="1:20" ht="6" customHeight="1" x14ac:dyDescent="0.2"/>
    <row r="6" spans="1:20" ht="21" customHeight="1" x14ac:dyDescent="0.2">
      <c r="A6" s="80"/>
      <c r="B6" s="184" t="s">
        <v>3</v>
      </c>
      <c r="C6" s="184"/>
      <c r="D6" s="184"/>
      <c r="E6" s="184"/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102</v>
      </c>
      <c r="L6" s="2" t="s">
        <v>103</v>
      </c>
      <c r="M6" s="2" t="s">
        <v>11</v>
      </c>
      <c r="N6" s="2" t="s">
        <v>12</v>
      </c>
      <c r="O6" s="2" t="s">
        <v>13</v>
      </c>
      <c r="P6" s="2" t="s">
        <v>56</v>
      </c>
      <c r="Q6" s="2" t="s">
        <v>57</v>
      </c>
      <c r="R6" s="81" t="s">
        <v>14</v>
      </c>
    </row>
    <row r="7" spans="1:20" ht="15.75" customHeight="1" x14ac:dyDescent="0.2"/>
    <row r="8" spans="1:20" ht="15.75" customHeight="1" x14ac:dyDescent="0.25">
      <c r="B8" s="82" t="s">
        <v>15</v>
      </c>
      <c r="C8" s="82"/>
      <c r="D8" s="82"/>
      <c r="E8" s="82"/>
      <c r="F8" s="83">
        <f t="shared" ref="F8:Q8" si="0">+F9+F19+F26</f>
        <v>182226</v>
      </c>
      <c r="G8" s="83">
        <f t="shared" si="0"/>
        <v>138952</v>
      </c>
      <c r="H8" s="83">
        <f t="shared" si="0"/>
        <v>157800</v>
      </c>
      <c r="I8" s="83">
        <f t="shared" si="0"/>
        <v>246633</v>
      </c>
      <c r="J8" s="83">
        <f t="shared" si="0"/>
        <v>199759</v>
      </c>
      <c r="K8" s="83">
        <f t="shared" si="0"/>
        <v>175585</v>
      </c>
      <c r="L8" s="83">
        <f t="shared" si="0"/>
        <v>170250</v>
      </c>
      <c r="M8" s="83">
        <f t="shared" si="0"/>
        <v>209569</v>
      </c>
      <c r="N8" s="83">
        <f t="shared" si="0"/>
        <v>165960</v>
      </c>
      <c r="O8" s="83">
        <f t="shared" si="0"/>
        <v>174642</v>
      </c>
      <c r="P8" s="83">
        <f t="shared" si="0"/>
        <v>209212</v>
      </c>
      <c r="Q8" s="83">
        <f t="shared" si="0"/>
        <v>165326</v>
      </c>
      <c r="R8" s="83">
        <f>SUM(F8:Q8)</f>
        <v>2195914</v>
      </c>
      <c r="S8" s="76" t="s">
        <v>58</v>
      </c>
    </row>
    <row r="9" spans="1:20" ht="15.75" customHeight="1" x14ac:dyDescent="0.2">
      <c r="C9" s="76" t="s">
        <v>16</v>
      </c>
      <c r="F9" s="84">
        <f t="shared" ref="F9:R9" si="1">F10+F14+F17</f>
        <v>161896</v>
      </c>
      <c r="G9" s="84">
        <f t="shared" si="1"/>
        <v>123936</v>
      </c>
      <c r="H9" s="84">
        <f t="shared" si="1"/>
        <v>139503</v>
      </c>
      <c r="I9" s="84">
        <f t="shared" si="1"/>
        <v>211765</v>
      </c>
      <c r="J9" s="84">
        <f t="shared" si="1"/>
        <v>185077</v>
      </c>
      <c r="K9" s="84">
        <f t="shared" si="1"/>
        <v>160759</v>
      </c>
      <c r="L9" s="84">
        <f t="shared" si="1"/>
        <v>149963</v>
      </c>
      <c r="M9" s="84">
        <f t="shared" si="1"/>
        <v>191975</v>
      </c>
      <c r="N9" s="84">
        <f t="shared" si="1"/>
        <v>147772</v>
      </c>
      <c r="O9" s="84">
        <f t="shared" si="1"/>
        <v>157378</v>
      </c>
      <c r="P9" s="84">
        <f t="shared" si="1"/>
        <v>197758</v>
      </c>
      <c r="Q9" s="84">
        <f t="shared" si="1"/>
        <v>152608</v>
      </c>
      <c r="R9" s="84">
        <f t="shared" si="1"/>
        <v>1980390</v>
      </c>
    </row>
    <row r="10" spans="1:20" ht="15.75" customHeight="1" x14ac:dyDescent="0.2">
      <c r="D10" s="76" t="s">
        <v>17</v>
      </c>
      <c r="F10" s="85">
        <v>129652</v>
      </c>
      <c r="G10" s="85">
        <v>94837</v>
      </c>
      <c r="H10" s="85">
        <v>105683</v>
      </c>
      <c r="I10" s="85">
        <v>177656</v>
      </c>
      <c r="J10" s="85">
        <v>151575</v>
      </c>
      <c r="K10" s="85">
        <v>124018</v>
      </c>
      <c r="L10" s="85">
        <v>117448</v>
      </c>
      <c r="M10" s="85">
        <v>157468</v>
      </c>
      <c r="N10" s="85">
        <v>112996</v>
      </c>
      <c r="O10" s="85">
        <v>121893</v>
      </c>
      <c r="P10" s="85">
        <v>156772</v>
      </c>
      <c r="Q10" s="85">
        <v>117216</v>
      </c>
      <c r="R10" s="85">
        <v>1567214</v>
      </c>
    </row>
    <row r="11" spans="1:20" ht="15.7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20" ht="15.75" customHeight="1" x14ac:dyDescent="0.2">
      <c r="E12" s="76" t="s">
        <v>19</v>
      </c>
      <c r="F12" s="85">
        <v>132</v>
      </c>
      <c r="G12" s="85">
        <v>191</v>
      </c>
      <c r="H12" s="85">
        <v>327</v>
      </c>
      <c r="I12" s="85">
        <v>286</v>
      </c>
      <c r="J12" s="85">
        <v>671</v>
      </c>
      <c r="K12" s="85">
        <v>202</v>
      </c>
      <c r="L12" s="85">
        <v>0</v>
      </c>
      <c r="M12" s="85">
        <v>491</v>
      </c>
      <c r="N12" s="85">
        <v>336</v>
      </c>
      <c r="O12" s="85">
        <v>655</v>
      </c>
      <c r="P12" s="85">
        <v>128</v>
      </c>
      <c r="Q12" s="85">
        <v>177</v>
      </c>
      <c r="R12" s="85">
        <v>3596</v>
      </c>
      <c r="S12" s="85" t="s">
        <v>58</v>
      </c>
    </row>
    <row r="13" spans="1:20" ht="15.75" customHeight="1" x14ac:dyDescent="0.2">
      <c r="E13" s="76" t="s">
        <v>20</v>
      </c>
      <c r="F13" s="85">
        <v>28</v>
      </c>
      <c r="G13" s="85">
        <v>28</v>
      </c>
      <c r="H13" s="85">
        <v>18</v>
      </c>
      <c r="I13" s="85">
        <v>874</v>
      </c>
      <c r="J13" s="85">
        <v>296</v>
      </c>
      <c r="K13" s="85">
        <v>2178</v>
      </c>
      <c r="L13" s="85">
        <v>0</v>
      </c>
      <c r="M13" s="85">
        <v>77</v>
      </c>
      <c r="N13" s="85">
        <v>291</v>
      </c>
      <c r="O13" s="85">
        <v>29</v>
      </c>
      <c r="P13" s="85">
        <v>435</v>
      </c>
      <c r="Q13" s="85">
        <v>192</v>
      </c>
      <c r="R13" s="85">
        <v>4446</v>
      </c>
    </row>
    <row r="14" spans="1:20" ht="15.75" customHeight="1" x14ac:dyDescent="0.2">
      <c r="D14" s="76" t="s">
        <v>21</v>
      </c>
      <c r="F14" s="85">
        <v>31083</v>
      </c>
      <c r="G14" s="85">
        <v>27035</v>
      </c>
      <c r="H14" s="85">
        <v>32383</v>
      </c>
      <c r="I14" s="85">
        <v>32712</v>
      </c>
      <c r="J14" s="85">
        <v>32070</v>
      </c>
      <c r="K14" s="85">
        <v>35268</v>
      </c>
      <c r="L14" s="85">
        <v>30987</v>
      </c>
      <c r="M14" s="85">
        <v>33069</v>
      </c>
      <c r="N14" s="85">
        <v>33326</v>
      </c>
      <c r="O14" s="85">
        <v>33365</v>
      </c>
      <c r="P14" s="85">
        <v>40227</v>
      </c>
      <c r="Q14" s="85">
        <v>34840</v>
      </c>
      <c r="R14" s="85">
        <v>396365</v>
      </c>
    </row>
    <row r="15" spans="1:20" ht="15.7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20" ht="15.75" customHeight="1" x14ac:dyDescent="0.2">
      <c r="E16" s="76" t="s">
        <v>20</v>
      </c>
      <c r="F16" s="85">
        <v>0</v>
      </c>
      <c r="G16" s="85">
        <v>0</v>
      </c>
      <c r="H16" s="85">
        <v>0</v>
      </c>
      <c r="I16" s="85">
        <v>17</v>
      </c>
      <c r="J16" s="85">
        <v>0</v>
      </c>
      <c r="K16" s="85">
        <v>99</v>
      </c>
      <c r="L16" s="85">
        <v>104</v>
      </c>
      <c r="M16" s="85">
        <v>333</v>
      </c>
      <c r="N16" s="85">
        <v>66</v>
      </c>
      <c r="O16" s="85">
        <v>195</v>
      </c>
      <c r="P16" s="85">
        <v>4816</v>
      </c>
      <c r="Q16" s="85">
        <v>2122</v>
      </c>
      <c r="R16" s="85">
        <v>7752</v>
      </c>
      <c r="T16" s="76" t="s">
        <v>58</v>
      </c>
    </row>
    <row r="17" spans="2:19" ht="15.75" customHeight="1" x14ac:dyDescent="0.2">
      <c r="D17" s="76" t="s">
        <v>88</v>
      </c>
      <c r="F17" s="85">
        <v>1161</v>
      </c>
      <c r="G17" s="85">
        <v>2064</v>
      </c>
      <c r="H17" s="85">
        <v>1437</v>
      </c>
      <c r="I17" s="85">
        <v>1397</v>
      </c>
      <c r="J17" s="85">
        <v>1432</v>
      </c>
      <c r="K17" s="85">
        <v>1473</v>
      </c>
      <c r="L17" s="85">
        <v>1528</v>
      </c>
      <c r="M17" s="85">
        <v>1438</v>
      </c>
      <c r="N17" s="85">
        <v>1450</v>
      </c>
      <c r="O17" s="85">
        <v>2120</v>
      </c>
      <c r="P17" s="85">
        <v>759</v>
      </c>
      <c r="Q17" s="85">
        <v>552</v>
      </c>
      <c r="R17" s="85">
        <v>16811</v>
      </c>
    </row>
    <row r="18" spans="2:19" ht="15.7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</row>
    <row r="19" spans="2:19" ht="15.75" customHeight="1" x14ac:dyDescent="0.2">
      <c r="C19" s="76" t="s">
        <v>23</v>
      </c>
      <c r="F19" s="84">
        <f t="shared" ref="F19:R19" si="2">SUM(F20:F24)</f>
        <v>20325</v>
      </c>
      <c r="G19" s="84">
        <f t="shared" si="2"/>
        <v>15004</v>
      </c>
      <c r="H19" s="84">
        <f t="shared" si="2"/>
        <v>18294</v>
      </c>
      <c r="I19" s="84">
        <f t="shared" si="2"/>
        <v>34866</v>
      </c>
      <c r="J19" s="84">
        <f t="shared" si="2"/>
        <v>14677</v>
      </c>
      <c r="K19" s="84">
        <f t="shared" si="2"/>
        <v>14825</v>
      </c>
      <c r="L19" s="84">
        <f t="shared" si="2"/>
        <v>20275</v>
      </c>
      <c r="M19" s="84">
        <f t="shared" si="2"/>
        <v>17594</v>
      </c>
      <c r="N19" s="84">
        <f t="shared" si="2"/>
        <v>18188</v>
      </c>
      <c r="O19" s="84">
        <f t="shared" si="2"/>
        <v>17251</v>
      </c>
      <c r="P19" s="84">
        <f t="shared" si="2"/>
        <v>11447</v>
      </c>
      <c r="Q19" s="84">
        <f t="shared" si="2"/>
        <v>12700</v>
      </c>
      <c r="R19" s="84">
        <f t="shared" si="2"/>
        <v>215446</v>
      </c>
      <c r="S19" s="85"/>
    </row>
    <row r="20" spans="2:19" ht="15.75" customHeight="1" x14ac:dyDescent="0.2">
      <c r="D20" s="6" t="s">
        <v>24</v>
      </c>
      <c r="E20" s="6"/>
      <c r="F20" s="85">
        <v>7930</v>
      </c>
      <c r="G20" s="85">
        <v>5834</v>
      </c>
      <c r="H20" s="85">
        <v>11150</v>
      </c>
      <c r="I20" s="85">
        <v>27972</v>
      </c>
      <c r="J20" s="85">
        <v>5728</v>
      </c>
      <c r="K20" s="85">
        <v>5084</v>
      </c>
      <c r="L20" s="85">
        <v>9061</v>
      </c>
      <c r="M20" s="85">
        <v>5818</v>
      </c>
      <c r="N20" s="85">
        <v>7708</v>
      </c>
      <c r="O20" s="85">
        <v>4858</v>
      </c>
      <c r="P20" s="85">
        <v>4188</v>
      </c>
      <c r="Q20" s="85">
        <v>6406</v>
      </c>
      <c r="R20" s="85">
        <f>SUM(F20:Q20)</f>
        <v>101737</v>
      </c>
    </row>
    <row r="21" spans="2:19" ht="15.75" customHeight="1" x14ac:dyDescent="0.2">
      <c r="D21" s="6" t="s">
        <v>89</v>
      </c>
      <c r="E21" s="6"/>
      <c r="F21" s="85">
        <v>3362</v>
      </c>
      <c r="G21" s="85">
        <v>2953</v>
      </c>
      <c r="H21" s="85">
        <v>2636</v>
      </c>
      <c r="I21" s="85">
        <v>3675</v>
      </c>
      <c r="J21" s="85">
        <v>3136</v>
      </c>
      <c r="K21" s="85">
        <v>2583</v>
      </c>
      <c r="L21" s="85">
        <v>3816</v>
      </c>
      <c r="M21" s="85">
        <v>2536</v>
      </c>
      <c r="N21" s="85">
        <v>3854</v>
      </c>
      <c r="O21" s="85">
        <v>4374</v>
      </c>
      <c r="P21" s="85">
        <v>4394</v>
      </c>
      <c r="Q21" s="85">
        <v>2500</v>
      </c>
      <c r="R21" s="85">
        <f>SUM(F21:Q21)</f>
        <v>39819</v>
      </c>
      <c r="S21" s="85"/>
    </row>
    <row r="22" spans="2:19" ht="15.75" customHeight="1" x14ac:dyDescent="0.2">
      <c r="D22" s="6" t="s">
        <v>26</v>
      </c>
      <c r="E22" s="6"/>
      <c r="F22" s="85">
        <v>0</v>
      </c>
      <c r="G22" s="85">
        <v>0</v>
      </c>
      <c r="H22" s="85">
        <v>40</v>
      </c>
      <c r="I22" s="85">
        <v>60</v>
      </c>
      <c r="J22" s="85">
        <v>0</v>
      </c>
      <c r="K22" s="85">
        <v>345</v>
      </c>
      <c r="L22" s="85">
        <v>76</v>
      </c>
      <c r="M22" s="85">
        <v>24</v>
      </c>
      <c r="N22" s="85">
        <v>1</v>
      </c>
      <c r="O22" s="85">
        <v>17</v>
      </c>
      <c r="P22" s="85">
        <v>0</v>
      </c>
      <c r="Q22" s="85">
        <v>94</v>
      </c>
      <c r="R22" s="85">
        <f>SUM(F22:Q22)</f>
        <v>657</v>
      </c>
      <c r="S22" s="85"/>
    </row>
    <row r="23" spans="2:19" ht="15.75" customHeight="1" x14ac:dyDescent="0.2">
      <c r="D23" s="6" t="s">
        <v>27</v>
      </c>
      <c r="E23" s="6"/>
      <c r="F23" s="87">
        <v>1393.796</v>
      </c>
      <c r="G23" s="13">
        <v>1047.33</v>
      </c>
      <c r="H23" s="13">
        <v>943.548</v>
      </c>
      <c r="I23" s="13">
        <v>988.97400000000005</v>
      </c>
      <c r="J23" s="13">
        <v>1448.579</v>
      </c>
      <c r="K23" s="13">
        <v>889.505</v>
      </c>
      <c r="L23" s="13">
        <v>1343.1790000000001</v>
      </c>
      <c r="M23" s="13">
        <v>1190.769</v>
      </c>
      <c r="N23" s="13">
        <v>1166.296</v>
      </c>
      <c r="O23" s="13">
        <v>872.43399999999997</v>
      </c>
      <c r="P23" s="13">
        <v>1041.93</v>
      </c>
      <c r="Q23" s="13">
        <v>1100.0650000000001</v>
      </c>
      <c r="R23" s="85">
        <f>SUM(F23:Q23)</f>
        <v>13426.405000000001</v>
      </c>
      <c r="S23" s="85"/>
    </row>
    <row r="24" spans="2:19" ht="15.75" customHeight="1" x14ac:dyDescent="0.2">
      <c r="D24" s="6" t="s">
        <v>28</v>
      </c>
      <c r="E24" s="6"/>
      <c r="F24" s="87">
        <f>9033-F23</f>
        <v>7639.2039999999997</v>
      </c>
      <c r="G24" s="13">
        <f>6217-G23</f>
        <v>5169.67</v>
      </c>
      <c r="H24" s="13">
        <f>4468-H23</f>
        <v>3524.4520000000002</v>
      </c>
      <c r="I24" s="13">
        <f>3159-I23</f>
        <v>2170.0259999999998</v>
      </c>
      <c r="J24" s="13">
        <f>5813-J23</f>
        <v>4364.4210000000003</v>
      </c>
      <c r="K24" s="13">
        <f>6813-K23</f>
        <v>5923.4949999999999</v>
      </c>
      <c r="L24" s="13">
        <f>7322-L23</f>
        <v>5978.8209999999999</v>
      </c>
      <c r="M24" s="13">
        <f>9216-M23</f>
        <v>8025.2309999999998</v>
      </c>
      <c r="N24" s="13">
        <f>6625-N23</f>
        <v>5458.7039999999997</v>
      </c>
      <c r="O24" s="13">
        <f>8002-O23</f>
        <v>7129.5659999999998</v>
      </c>
      <c r="P24" s="13">
        <f>2865-P23</f>
        <v>1823.07</v>
      </c>
      <c r="Q24" s="13">
        <f>3700-Q23</f>
        <v>2599.9349999999999</v>
      </c>
      <c r="R24" s="85">
        <f>SUM(F24:Q24)</f>
        <v>59806.594999999994</v>
      </c>
    </row>
    <row r="25" spans="2:19" ht="15.7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19" ht="15.75" customHeight="1" x14ac:dyDescent="0.2">
      <c r="C26" s="76" t="s">
        <v>29</v>
      </c>
      <c r="F26" s="85">
        <v>5</v>
      </c>
      <c r="G26" s="85">
        <v>12</v>
      </c>
      <c r="H26" s="85">
        <v>3</v>
      </c>
      <c r="I26" s="85">
        <v>2</v>
      </c>
      <c r="J26" s="85">
        <v>5</v>
      </c>
      <c r="K26" s="85">
        <v>1</v>
      </c>
      <c r="L26" s="85">
        <v>12</v>
      </c>
      <c r="M26" s="85">
        <v>0</v>
      </c>
      <c r="N26" s="85">
        <v>0</v>
      </c>
      <c r="O26" s="85">
        <v>13</v>
      </c>
      <c r="P26" s="85">
        <v>7</v>
      </c>
      <c r="Q26" s="85">
        <v>18</v>
      </c>
      <c r="R26" s="85">
        <v>78</v>
      </c>
    </row>
    <row r="27" spans="2:19" ht="15.75" customHeight="1" x14ac:dyDescent="0.2">
      <c r="F27" s="85" t="s">
        <v>58</v>
      </c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19" ht="15.75" customHeight="1" x14ac:dyDescent="0.25">
      <c r="B28" s="82" t="s">
        <v>30</v>
      </c>
      <c r="C28" s="82"/>
      <c r="D28" s="82"/>
      <c r="E28" s="82"/>
      <c r="F28" s="83">
        <f t="shared" ref="F28:Q28" si="3">SUM(F30:F36)</f>
        <v>185700.45300000001</v>
      </c>
      <c r="G28" s="83">
        <f t="shared" si="3"/>
        <v>173577.87</v>
      </c>
      <c r="H28" s="83">
        <f t="shared" si="3"/>
        <v>232188</v>
      </c>
      <c r="I28" s="83">
        <f t="shared" si="3"/>
        <v>191611</v>
      </c>
      <c r="J28" s="83">
        <f t="shared" si="3"/>
        <v>217415</v>
      </c>
      <c r="K28" s="83">
        <f t="shared" si="3"/>
        <v>220779</v>
      </c>
      <c r="L28" s="83">
        <f t="shared" si="3"/>
        <v>220917</v>
      </c>
      <c r="M28" s="83">
        <f t="shared" si="3"/>
        <v>176962</v>
      </c>
      <c r="N28" s="83">
        <f t="shared" si="3"/>
        <v>241287</v>
      </c>
      <c r="O28" s="83">
        <f t="shared" si="3"/>
        <v>176987</v>
      </c>
      <c r="P28" s="83">
        <f t="shared" si="3"/>
        <v>228357</v>
      </c>
      <c r="Q28" s="83">
        <f t="shared" si="3"/>
        <v>283555</v>
      </c>
      <c r="R28" s="83">
        <f>SUM(F28:Q28)</f>
        <v>2549336.3229999999</v>
      </c>
      <c r="S28" s="85" t="s">
        <v>58</v>
      </c>
    </row>
    <row r="29" spans="2:19" ht="15.7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19" ht="15.75" customHeight="1" x14ac:dyDescent="0.2">
      <c r="D30" s="76" t="s">
        <v>31</v>
      </c>
      <c r="F30" s="85">
        <v>40501</v>
      </c>
      <c r="G30" s="85">
        <v>42204</v>
      </c>
      <c r="H30" s="85">
        <v>39020</v>
      </c>
      <c r="I30" s="85">
        <v>35849</v>
      </c>
      <c r="J30" s="85">
        <v>35725</v>
      </c>
      <c r="K30" s="85">
        <v>36877</v>
      </c>
      <c r="L30" s="85">
        <v>35801</v>
      </c>
      <c r="M30" s="85">
        <v>36290</v>
      </c>
      <c r="N30" s="85">
        <v>35977</v>
      </c>
      <c r="O30" s="85">
        <v>38987</v>
      </c>
      <c r="P30" s="85">
        <v>36177</v>
      </c>
      <c r="Q30" s="85">
        <v>36368</v>
      </c>
      <c r="R30" s="85">
        <f t="shared" ref="R30:R36" si="4">SUM(F30:Q30)</f>
        <v>449776</v>
      </c>
      <c r="S30" s="85"/>
    </row>
    <row r="31" spans="2:19" ht="15.75" customHeight="1" x14ac:dyDescent="0.2">
      <c r="D31" s="76" t="s">
        <v>32</v>
      </c>
      <c r="F31" s="85">
        <v>45594.453000000001</v>
      </c>
      <c r="G31" s="85">
        <v>21280</v>
      </c>
      <c r="H31" s="85">
        <v>35749</v>
      </c>
      <c r="I31" s="85">
        <v>14765</v>
      </c>
      <c r="J31" s="85">
        <v>18658</v>
      </c>
      <c r="K31" s="85">
        <v>17666</v>
      </c>
      <c r="L31" s="85">
        <v>40020</v>
      </c>
      <c r="M31" s="85">
        <v>23442</v>
      </c>
      <c r="N31" s="85">
        <v>32602</v>
      </c>
      <c r="O31" s="85">
        <v>16054</v>
      </c>
      <c r="P31" s="85">
        <v>19551</v>
      </c>
      <c r="Q31" s="85">
        <v>19073</v>
      </c>
      <c r="R31" s="85">
        <f t="shared" si="4"/>
        <v>304454.45299999998</v>
      </c>
      <c r="S31" s="85"/>
    </row>
    <row r="32" spans="2:19" ht="15.75" customHeight="1" x14ac:dyDescent="0.2">
      <c r="D32" s="76" t="s">
        <v>33</v>
      </c>
      <c r="F32" s="85">
        <v>160</v>
      </c>
      <c r="G32" s="85">
        <v>219</v>
      </c>
      <c r="H32" s="85">
        <v>345</v>
      </c>
      <c r="I32" s="85">
        <v>1177</v>
      </c>
      <c r="J32" s="85">
        <v>967</v>
      </c>
      <c r="K32" s="85">
        <v>2479</v>
      </c>
      <c r="L32" s="85">
        <v>104</v>
      </c>
      <c r="M32" s="85">
        <v>901</v>
      </c>
      <c r="N32" s="85">
        <v>693</v>
      </c>
      <c r="O32" s="85">
        <v>879</v>
      </c>
      <c r="P32" s="85">
        <v>5379</v>
      </c>
      <c r="Q32" s="85">
        <v>2491</v>
      </c>
      <c r="R32" s="85">
        <f t="shared" si="4"/>
        <v>15794</v>
      </c>
    </row>
    <row r="33" spans="2:19" ht="15.75" customHeight="1" x14ac:dyDescent="0.2">
      <c r="D33" s="76" t="s">
        <v>78</v>
      </c>
      <c r="F33" s="85">
        <v>1697</v>
      </c>
      <c r="G33" s="85">
        <v>2658</v>
      </c>
      <c r="H33" s="85">
        <v>3889</v>
      </c>
      <c r="I33" s="85">
        <v>4825</v>
      </c>
      <c r="J33" s="85">
        <v>7478</v>
      </c>
      <c r="K33" s="85">
        <v>16050</v>
      </c>
      <c r="L33" s="85">
        <v>35258</v>
      </c>
      <c r="M33" s="85">
        <v>7402</v>
      </c>
      <c r="N33" s="85">
        <v>3119</v>
      </c>
      <c r="O33" s="85">
        <v>1514</v>
      </c>
      <c r="P33" s="85">
        <v>14234</v>
      </c>
      <c r="Q33" s="85">
        <v>5066</v>
      </c>
      <c r="R33" s="85">
        <f t="shared" si="4"/>
        <v>103190</v>
      </c>
      <c r="S33" s="85"/>
    </row>
    <row r="34" spans="2:19" ht="15.75" customHeight="1" x14ac:dyDescent="0.2">
      <c r="D34" s="76" t="s">
        <v>35</v>
      </c>
      <c r="F34" s="85">
        <v>3029</v>
      </c>
      <c r="G34" s="85">
        <v>6</v>
      </c>
      <c r="H34" s="85">
        <v>5138</v>
      </c>
      <c r="I34" s="85">
        <v>199</v>
      </c>
      <c r="J34" s="85">
        <v>17</v>
      </c>
      <c r="K34" s="85">
        <v>60</v>
      </c>
      <c r="L34" s="85">
        <v>0</v>
      </c>
      <c r="M34" s="85">
        <v>7</v>
      </c>
      <c r="N34" s="85">
        <v>41</v>
      </c>
      <c r="O34" s="85">
        <v>11</v>
      </c>
      <c r="P34" s="85">
        <v>16</v>
      </c>
      <c r="Q34" s="85">
        <v>3157</v>
      </c>
      <c r="R34" s="85">
        <f t="shared" si="4"/>
        <v>11681</v>
      </c>
    </row>
    <row r="35" spans="2:19" ht="15.75" customHeight="1" x14ac:dyDescent="0.2">
      <c r="D35" s="76" t="s">
        <v>79</v>
      </c>
      <c r="F35" s="85">
        <v>31</v>
      </c>
      <c r="G35" s="85">
        <v>706</v>
      </c>
      <c r="H35" s="85">
        <v>2767</v>
      </c>
      <c r="I35" s="85">
        <v>215</v>
      </c>
      <c r="J35" s="85">
        <v>152</v>
      </c>
      <c r="K35" s="85">
        <v>220</v>
      </c>
      <c r="L35" s="85">
        <v>32</v>
      </c>
      <c r="M35" s="85">
        <v>-1148</v>
      </c>
      <c r="N35" s="85">
        <v>741</v>
      </c>
      <c r="O35" s="85">
        <v>763</v>
      </c>
      <c r="P35" s="85">
        <v>172</v>
      </c>
      <c r="Q35" s="85">
        <v>10647</v>
      </c>
      <c r="R35" s="85">
        <f t="shared" si="4"/>
        <v>15298</v>
      </c>
    </row>
    <row r="36" spans="2:19" ht="15.75" customHeight="1" x14ac:dyDescent="0.2">
      <c r="D36" s="6" t="s">
        <v>80</v>
      </c>
      <c r="F36" s="85">
        <v>94688</v>
      </c>
      <c r="G36" s="85">
        <v>106504.87</v>
      </c>
      <c r="H36" s="85">
        <v>145280</v>
      </c>
      <c r="I36" s="85">
        <v>134581</v>
      </c>
      <c r="J36" s="85">
        <v>154418</v>
      </c>
      <c r="K36" s="85">
        <v>147427</v>
      </c>
      <c r="L36" s="85">
        <v>109702</v>
      </c>
      <c r="M36" s="85">
        <v>110068</v>
      </c>
      <c r="N36" s="85">
        <v>168114</v>
      </c>
      <c r="O36" s="85">
        <v>118779</v>
      </c>
      <c r="P36" s="85">
        <v>152828</v>
      </c>
      <c r="Q36" s="85">
        <v>206753</v>
      </c>
      <c r="R36" s="85">
        <f t="shared" si="4"/>
        <v>1649142.87</v>
      </c>
      <c r="S36" s="85" t="s">
        <v>58</v>
      </c>
    </row>
    <row r="37" spans="2:19" ht="15.7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5"/>
      <c r="S37" s="85"/>
    </row>
    <row r="38" spans="2:19" ht="15.75" customHeight="1" x14ac:dyDescent="0.25">
      <c r="B38" s="82" t="s">
        <v>38</v>
      </c>
      <c r="C38" s="82"/>
      <c r="D38" s="82"/>
      <c r="E38" s="82"/>
      <c r="F38" s="88">
        <f>+F8-F28</f>
        <v>-3474.4530000000086</v>
      </c>
      <c r="G38" s="88">
        <v>-34626</v>
      </c>
      <c r="H38" s="88">
        <v>-74388</v>
      </c>
      <c r="I38" s="88">
        <v>55022</v>
      </c>
      <c r="J38" s="88">
        <v>-17656</v>
      </c>
      <c r="K38" s="88">
        <v>-45194</v>
      </c>
      <c r="L38" s="88">
        <v>-50667</v>
      </c>
      <c r="M38" s="88">
        <v>32607</v>
      </c>
      <c r="N38" s="88">
        <v>-75327</v>
      </c>
      <c r="O38" s="88">
        <v>-2345</v>
      </c>
      <c r="P38" s="88">
        <v>-19145</v>
      </c>
      <c r="Q38" s="88">
        <v>-118229</v>
      </c>
      <c r="R38" s="88">
        <f>SUM(F38:Q38)</f>
        <v>-353422.45299999998</v>
      </c>
    </row>
    <row r="39" spans="2:19" ht="15.7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19" ht="15.75" customHeight="1" x14ac:dyDescent="0.25">
      <c r="B40" s="82" t="s">
        <v>39</v>
      </c>
      <c r="C40" s="82"/>
      <c r="D40" s="82"/>
      <c r="E40" s="82"/>
      <c r="F40" s="83">
        <v>19124</v>
      </c>
      <c r="G40" s="83">
        <v>22973</v>
      </c>
      <c r="H40" s="83">
        <v>44169</v>
      </c>
      <c r="I40" s="83">
        <v>-2409</v>
      </c>
      <c r="J40" s="83">
        <v>-211</v>
      </c>
      <c r="K40" s="83">
        <v>27642</v>
      </c>
      <c r="L40" s="83">
        <v>8808</v>
      </c>
      <c r="M40" s="83">
        <v>5331</v>
      </c>
      <c r="N40" s="83">
        <v>94970</v>
      </c>
      <c r="O40" s="83">
        <v>-9268</v>
      </c>
      <c r="P40" s="83">
        <v>14796</v>
      </c>
      <c r="Q40" s="83">
        <v>-4987</v>
      </c>
      <c r="R40" s="83">
        <v>220938</v>
      </c>
    </row>
    <row r="41" spans="2:19" ht="15.75" customHeight="1" x14ac:dyDescent="0.2">
      <c r="C41" s="76" t="s">
        <v>40</v>
      </c>
      <c r="F41" s="84">
        <v>-12636</v>
      </c>
      <c r="G41" s="84">
        <v>-3154</v>
      </c>
      <c r="H41" s="84">
        <v>30418</v>
      </c>
      <c r="I41" s="84">
        <v>559</v>
      </c>
      <c r="J41" s="84">
        <v>-4457</v>
      </c>
      <c r="K41" s="84">
        <v>-3518</v>
      </c>
      <c r="L41" s="84">
        <v>-138</v>
      </c>
      <c r="M41" s="84">
        <v>-2509</v>
      </c>
      <c r="N41" s="84">
        <v>-2917</v>
      </c>
      <c r="O41" s="84">
        <v>-20466</v>
      </c>
      <c r="P41" s="84">
        <v>-5552</v>
      </c>
      <c r="Q41" s="84">
        <v>257</v>
      </c>
      <c r="R41" s="84">
        <v>-24113</v>
      </c>
      <c r="S41" s="85"/>
    </row>
    <row r="42" spans="2:19" ht="15.75" customHeight="1" x14ac:dyDescent="0.2">
      <c r="D42" s="76" t="s">
        <v>41</v>
      </c>
      <c r="F42" s="85">
        <v>10292</v>
      </c>
      <c r="G42" s="85">
        <v>781</v>
      </c>
      <c r="H42" s="85">
        <v>61318</v>
      </c>
      <c r="I42" s="85">
        <v>3397</v>
      </c>
      <c r="J42" s="85">
        <v>2186</v>
      </c>
      <c r="K42" s="85">
        <v>1821</v>
      </c>
      <c r="L42" s="85">
        <v>1787</v>
      </c>
      <c r="M42" s="85">
        <v>1454</v>
      </c>
      <c r="N42" s="85">
        <v>2314</v>
      </c>
      <c r="O42" s="85">
        <v>3589</v>
      </c>
      <c r="P42" s="85">
        <v>801</v>
      </c>
      <c r="Q42" s="85">
        <v>5904</v>
      </c>
      <c r="R42" s="85">
        <v>95644</v>
      </c>
    </row>
    <row r="43" spans="2:19" ht="15.75" customHeight="1" x14ac:dyDescent="0.2">
      <c r="D43" s="76" t="s">
        <v>97</v>
      </c>
      <c r="F43" s="85">
        <v>22928</v>
      </c>
      <c r="G43" s="85">
        <v>3935</v>
      </c>
      <c r="H43" s="85">
        <v>30900</v>
      </c>
      <c r="I43" s="85">
        <v>2838</v>
      </c>
      <c r="J43" s="85">
        <v>6643</v>
      </c>
      <c r="K43" s="85">
        <v>5339</v>
      </c>
      <c r="L43" s="85">
        <v>1925</v>
      </c>
      <c r="M43" s="85">
        <v>3963</v>
      </c>
      <c r="N43" s="85">
        <v>5231</v>
      </c>
      <c r="O43" s="85">
        <v>24055</v>
      </c>
      <c r="P43" s="85">
        <v>6353</v>
      </c>
      <c r="Q43" s="85">
        <v>5647</v>
      </c>
      <c r="R43" s="85">
        <v>119757</v>
      </c>
    </row>
    <row r="44" spans="2:19" ht="15.7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19" ht="15.75" customHeight="1" x14ac:dyDescent="0.2">
      <c r="C45" s="76" t="s">
        <v>43</v>
      </c>
      <c r="F45" s="84">
        <v>31760</v>
      </c>
      <c r="G45" s="84">
        <v>26127</v>
      </c>
      <c r="H45" s="84">
        <v>13751</v>
      </c>
      <c r="I45" s="84">
        <v>-2968</v>
      </c>
      <c r="J45" s="84">
        <v>4246</v>
      </c>
      <c r="K45" s="84">
        <v>31160</v>
      </c>
      <c r="L45" s="84">
        <v>8946</v>
      </c>
      <c r="M45" s="84">
        <v>7840</v>
      </c>
      <c r="N45" s="84">
        <v>97887</v>
      </c>
      <c r="O45" s="84">
        <v>11198</v>
      </c>
      <c r="P45" s="84">
        <v>20348</v>
      </c>
      <c r="Q45" s="84">
        <v>-5244</v>
      </c>
      <c r="R45" s="84">
        <v>245051</v>
      </c>
    </row>
    <row r="46" spans="2:19" ht="15.75" customHeight="1" x14ac:dyDescent="0.2">
      <c r="D46" s="76" t="s">
        <v>44</v>
      </c>
      <c r="F46" s="85">
        <v>31770</v>
      </c>
      <c r="G46" s="85">
        <v>26127</v>
      </c>
      <c r="H46" s="85">
        <v>28755</v>
      </c>
      <c r="I46" s="85">
        <v>24640</v>
      </c>
      <c r="J46" s="85">
        <v>27853</v>
      </c>
      <c r="K46" s="85">
        <v>31365</v>
      </c>
      <c r="L46" s="85">
        <v>28055</v>
      </c>
      <c r="M46" s="85">
        <v>27198</v>
      </c>
      <c r="N46" s="85">
        <v>100044</v>
      </c>
      <c r="O46" s="85">
        <v>13332</v>
      </c>
      <c r="P46" s="85">
        <v>23400</v>
      </c>
      <c r="Q46" s="85">
        <v>-5042</v>
      </c>
      <c r="R46" s="85">
        <v>357497</v>
      </c>
    </row>
    <row r="47" spans="2:19" ht="15.75" customHeight="1" x14ac:dyDescent="0.2">
      <c r="D47" s="76" t="s">
        <v>98</v>
      </c>
      <c r="F47" s="85">
        <v>10</v>
      </c>
      <c r="G47" s="85">
        <v>0</v>
      </c>
      <c r="H47" s="85">
        <v>15004</v>
      </c>
      <c r="I47" s="85">
        <v>27608</v>
      </c>
      <c r="J47" s="85">
        <v>23607</v>
      </c>
      <c r="K47" s="85">
        <v>205</v>
      </c>
      <c r="L47" s="85">
        <v>19109</v>
      </c>
      <c r="M47" s="85">
        <v>19358</v>
      </c>
      <c r="N47" s="85">
        <v>2157</v>
      </c>
      <c r="O47" s="85">
        <v>2134</v>
      </c>
      <c r="P47" s="85">
        <v>3052</v>
      </c>
      <c r="Q47" s="85">
        <v>202</v>
      </c>
      <c r="R47" s="85">
        <v>112446</v>
      </c>
    </row>
    <row r="48" spans="2:19" ht="15.75" customHeight="1" x14ac:dyDescent="0.2"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9" ht="15.75" customHeight="1" x14ac:dyDescent="0.25">
      <c r="B49" s="82" t="s">
        <v>47</v>
      </c>
      <c r="C49" s="82"/>
      <c r="D49" s="82"/>
      <c r="E49" s="82"/>
      <c r="F49" s="83">
        <v>-68115.452999999994</v>
      </c>
      <c r="G49" s="83">
        <v>-13090</v>
      </c>
      <c r="H49" s="83">
        <v>-35131</v>
      </c>
      <c r="I49" s="83">
        <v>-3428</v>
      </c>
      <c r="J49" s="83">
        <v>5118</v>
      </c>
      <c r="K49" s="83">
        <v>-10872</v>
      </c>
      <c r="L49" s="83">
        <v>-11356</v>
      </c>
      <c r="M49" s="83">
        <v>65448</v>
      </c>
      <c r="N49" s="83">
        <v>-69780</v>
      </c>
      <c r="O49" s="83">
        <v>-9827</v>
      </c>
      <c r="P49" s="83">
        <v>-1274</v>
      </c>
      <c r="Q49" s="83">
        <v>-105347</v>
      </c>
      <c r="R49" s="83">
        <v>-257654.45300000001</v>
      </c>
      <c r="S49" s="85"/>
    </row>
    <row r="50" spans="1:19" x14ac:dyDescent="0.2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</row>
    <row r="52" spans="1:19" s="15" customFormat="1" ht="12.75" x14ac:dyDescent="0.2">
      <c r="B52" s="90" t="s">
        <v>48</v>
      </c>
    </row>
    <row r="53" spans="1:19" s="15" customFormat="1" ht="15.75" customHeight="1" x14ac:dyDescent="0.2">
      <c r="B53" s="90"/>
      <c r="C53" s="15" t="s">
        <v>99</v>
      </c>
    </row>
    <row r="54" spans="1:19" s="15" customFormat="1" ht="12.75" x14ac:dyDescent="0.2">
      <c r="C54" s="15" t="s">
        <v>100</v>
      </c>
    </row>
    <row r="55" spans="1:19" s="15" customFormat="1" ht="12.75" x14ac:dyDescent="0.2"/>
    <row r="56" spans="1:19" s="15" customFormat="1" ht="12.75" x14ac:dyDescent="0.2"/>
    <row r="57" spans="1:19" s="15" customFormat="1" ht="12.75" x14ac:dyDescent="0.2">
      <c r="B57" s="15" t="s">
        <v>52</v>
      </c>
    </row>
    <row r="58" spans="1:19" s="15" customFormat="1" ht="12.75" x14ac:dyDescent="0.2">
      <c r="B58" s="15" t="s">
        <v>94</v>
      </c>
    </row>
    <row r="59" spans="1:19" x14ac:dyDescent="0.2">
      <c r="B59" s="86"/>
    </row>
    <row r="60" spans="1:19" x14ac:dyDescent="0.2">
      <c r="B60" s="86"/>
    </row>
    <row r="63" spans="1:19" x14ac:dyDescent="0.2">
      <c r="A63" s="86"/>
    </row>
  </sheetData>
  <mergeCells count="1">
    <mergeCell ref="B6:E6"/>
  </mergeCells>
  <printOptions horizontalCentered="1"/>
  <pageMargins left="0.23611111111111099" right="0.23611111111111099" top="1.10208333333333" bottom="0" header="0.51180555555555596" footer="0.511811023622047"/>
  <pageSetup paperSize="9" orientation="portrait" horizontalDpi="300" verticalDpi="300"/>
  <headerFooter>
    <oddHeader>&amp;C&amp;"Arial,Bold"&amp;9BUREAU OF THE TREASURY
&amp;"Arial,Italic"Statistical Data Analysis Division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MJ63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R45" sqref="R45"/>
    </sheetView>
  </sheetViews>
  <sheetFormatPr defaultColWidth="9.140625" defaultRowHeight="14.25" x14ac:dyDescent="0.2"/>
  <cols>
    <col min="1" max="1" width="1.7109375" style="76" customWidth="1"/>
    <col min="2" max="2" width="1.5703125" style="76" customWidth="1"/>
    <col min="3" max="3" width="1.85546875" style="76" customWidth="1"/>
    <col min="4" max="4" width="2.140625" style="76" customWidth="1"/>
    <col min="5" max="5" width="28.42578125" style="76" customWidth="1"/>
    <col min="6" max="11" width="9.42578125" style="76" customWidth="1"/>
    <col min="12" max="16" width="9.140625" style="76"/>
    <col min="17" max="17" width="9.85546875" style="76" customWidth="1"/>
    <col min="18" max="18" width="10.85546875" style="76" customWidth="1"/>
    <col min="19" max="1024" width="9.140625" style="76"/>
  </cols>
  <sheetData>
    <row r="1" spans="1:20" ht="15" x14ac:dyDescent="0.25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20" ht="15" x14ac:dyDescent="0.25">
      <c r="A2" s="77" t="s">
        <v>101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20" x14ac:dyDescent="0.2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20" x14ac:dyDescent="0.2">
      <c r="A4" s="79" t="s">
        <v>55</v>
      </c>
      <c r="B4" s="78"/>
    </row>
    <row r="5" spans="1:20" ht="6" customHeight="1" x14ac:dyDescent="0.2"/>
    <row r="6" spans="1:20" ht="21.75" customHeight="1" x14ac:dyDescent="0.2">
      <c r="A6" s="80"/>
      <c r="B6" s="184" t="s">
        <v>3</v>
      </c>
      <c r="C6" s="184"/>
      <c r="D6" s="184"/>
      <c r="E6" s="184"/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102</v>
      </c>
      <c r="L6" s="2" t="s">
        <v>103</v>
      </c>
      <c r="M6" s="2" t="s">
        <v>11</v>
      </c>
      <c r="N6" s="2" t="s">
        <v>12</v>
      </c>
      <c r="O6" s="2" t="s">
        <v>13</v>
      </c>
      <c r="P6" s="2" t="s">
        <v>56</v>
      </c>
      <c r="Q6" s="2" t="s">
        <v>57</v>
      </c>
      <c r="R6" s="81" t="s">
        <v>14</v>
      </c>
    </row>
    <row r="7" spans="1:20" ht="15" customHeight="1" x14ac:dyDescent="0.2"/>
    <row r="8" spans="1:20" ht="15" customHeight="1" x14ac:dyDescent="0.25">
      <c r="B8" s="82" t="s">
        <v>15</v>
      </c>
      <c r="C8" s="82"/>
      <c r="D8" s="82"/>
      <c r="E8" s="82"/>
      <c r="F8" s="83">
        <f t="shared" ref="F8:R8" si="0">F9+F19+F26</f>
        <v>182226</v>
      </c>
      <c r="G8" s="83">
        <f t="shared" si="0"/>
        <v>138952</v>
      </c>
      <c r="H8" s="83">
        <f t="shared" si="0"/>
        <v>157800</v>
      </c>
      <c r="I8" s="83">
        <f t="shared" si="0"/>
        <v>246633</v>
      </c>
      <c r="J8" s="83">
        <f t="shared" si="0"/>
        <v>199759</v>
      </c>
      <c r="K8" s="83">
        <f t="shared" si="0"/>
        <v>175585</v>
      </c>
      <c r="L8" s="83">
        <f t="shared" si="0"/>
        <v>170250</v>
      </c>
      <c r="M8" s="83">
        <f t="shared" si="0"/>
        <v>209569</v>
      </c>
      <c r="N8" s="83">
        <f t="shared" si="0"/>
        <v>165960</v>
      </c>
      <c r="O8" s="83">
        <f t="shared" si="0"/>
        <v>174642</v>
      </c>
      <c r="P8" s="83">
        <f t="shared" si="0"/>
        <v>209212</v>
      </c>
      <c r="Q8" s="83">
        <f t="shared" si="0"/>
        <v>165326</v>
      </c>
      <c r="R8" s="83">
        <f t="shared" si="0"/>
        <v>2195914</v>
      </c>
      <c r="S8" s="76" t="s">
        <v>58</v>
      </c>
    </row>
    <row r="9" spans="1:20" ht="15" customHeight="1" x14ac:dyDescent="0.2">
      <c r="C9" s="76" t="s">
        <v>16</v>
      </c>
      <c r="F9" s="84">
        <f t="shared" ref="F9:R9" si="1">F10+F14+F17</f>
        <v>161896</v>
      </c>
      <c r="G9" s="84">
        <f t="shared" si="1"/>
        <v>123936</v>
      </c>
      <c r="H9" s="84">
        <f t="shared" si="1"/>
        <v>139503</v>
      </c>
      <c r="I9" s="84">
        <f t="shared" si="1"/>
        <v>211765</v>
      </c>
      <c r="J9" s="84">
        <f t="shared" si="1"/>
        <v>185077</v>
      </c>
      <c r="K9" s="84">
        <f t="shared" si="1"/>
        <v>160759</v>
      </c>
      <c r="L9" s="84">
        <f t="shared" si="1"/>
        <v>149963</v>
      </c>
      <c r="M9" s="84">
        <f t="shared" si="1"/>
        <v>191975</v>
      </c>
      <c r="N9" s="84">
        <f t="shared" si="1"/>
        <v>147772</v>
      </c>
      <c r="O9" s="84">
        <f t="shared" si="1"/>
        <v>157378</v>
      </c>
      <c r="P9" s="84">
        <f t="shared" si="1"/>
        <v>197758</v>
      </c>
      <c r="Q9" s="84">
        <f t="shared" si="1"/>
        <v>152608</v>
      </c>
      <c r="R9" s="84">
        <f t="shared" si="1"/>
        <v>1980390</v>
      </c>
    </row>
    <row r="10" spans="1:20" ht="15" customHeight="1" x14ac:dyDescent="0.2">
      <c r="D10" s="76" t="s">
        <v>17</v>
      </c>
      <c r="F10" s="85">
        <v>129652</v>
      </c>
      <c r="G10" s="85">
        <v>94837</v>
      </c>
      <c r="H10" s="85">
        <v>105683</v>
      </c>
      <c r="I10" s="85">
        <v>177656</v>
      </c>
      <c r="J10" s="85">
        <v>151575</v>
      </c>
      <c r="K10" s="85">
        <v>124018</v>
      </c>
      <c r="L10" s="85">
        <v>117448</v>
      </c>
      <c r="M10" s="85">
        <v>157468</v>
      </c>
      <c r="N10" s="85">
        <v>112996</v>
      </c>
      <c r="O10" s="85">
        <v>121893</v>
      </c>
      <c r="P10" s="85">
        <v>156772</v>
      </c>
      <c r="Q10" s="85">
        <v>117216</v>
      </c>
      <c r="R10" s="85">
        <f>SUM(F10:Q10)</f>
        <v>1567214</v>
      </c>
    </row>
    <row r="11" spans="1:20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20" ht="15" customHeight="1" x14ac:dyDescent="0.2">
      <c r="E12" s="76" t="s">
        <v>19</v>
      </c>
      <c r="F12" s="85">
        <v>132</v>
      </c>
      <c r="G12" s="85">
        <v>191</v>
      </c>
      <c r="H12" s="85">
        <v>327</v>
      </c>
      <c r="I12" s="85">
        <v>286</v>
      </c>
      <c r="J12" s="85">
        <v>671</v>
      </c>
      <c r="K12" s="85">
        <v>202</v>
      </c>
      <c r="L12" s="85">
        <v>0</v>
      </c>
      <c r="M12" s="85">
        <v>491</v>
      </c>
      <c r="N12" s="85">
        <v>336</v>
      </c>
      <c r="O12" s="85">
        <v>655</v>
      </c>
      <c r="P12" s="85">
        <v>128</v>
      </c>
      <c r="Q12" s="85">
        <v>177</v>
      </c>
      <c r="R12" s="85">
        <f>SUM(F12:Q12)</f>
        <v>3596</v>
      </c>
    </row>
    <row r="13" spans="1:20" ht="15" customHeight="1" x14ac:dyDescent="0.2">
      <c r="E13" s="76" t="s">
        <v>20</v>
      </c>
      <c r="F13" s="85">
        <v>28</v>
      </c>
      <c r="G13" s="85">
        <v>28</v>
      </c>
      <c r="H13" s="85">
        <v>18</v>
      </c>
      <c r="I13" s="85">
        <v>874</v>
      </c>
      <c r="J13" s="85">
        <v>296</v>
      </c>
      <c r="K13" s="85">
        <v>2178</v>
      </c>
      <c r="L13" s="85">
        <v>0</v>
      </c>
      <c r="M13" s="85">
        <v>77</v>
      </c>
      <c r="N13" s="85">
        <v>291</v>
      </c>
      <c r="O13" s="85">
        <v>29</v>
      </c>
      <c r="P13" s="85">
        <v>435</v>
      </c>
      <c r="Q13" s="85">
        <v>192</v>
      </c>
      <c r="R13" s="85">
        <f>SUM(F13:Q13)</f>
        <v>4446</v>
      </c>
    </row>
    <row r="14" spans="1:20" ht="15" customHeight="1" x14ac:dyDescent="0.2">
      <c r="D14" s="76" t="s">
        <v>21</v>
      </c>
      <c r="F14" s="85">
        <v>31083</v>
      </c>
      <c r="G14" s="85">
        <v>27035</v>
      </c>
      <c r="H14" s="85">
        <v>32383</v>
      </c>
      <c r="I14" s="85">
        <v>32712</v>
      </c>
      <c r="J14" s="85">
        <v>32070</v>
      </c>
      <c r="K14" s="85">
        <v>35268</v>
      </c>
      <c r="L14" s="85">
        <v>30987</v>
      </c>
      <c r="M14" s="85">
        <v>33069</v>
      </c>
      <c r="N14" s="85">
        <v>33326</v>
      </c>
      <c r="O14" s="85">
        <v>33365</v>
      </c>
      <c r="P14" s="85">
        <v>40227</v>
      </c>
      <c r="Q14" s="85">
        <v>34840</v>
      </c>
      <c r="R14" s="85">
        <f>SUM(F14:Q14)</f>
        <v>396365</v>
      </c>
    </row>
    <row r="15" spans="1:20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20" ht="15" customHeight="1" x14ac:dyDescent="0.2">
      <c r="E16" s="76" t="s">
        <v>20</v>
      </c>
      <c r="F16" s="85">
        <v>0</v>
      </c>
      <c r="G16" s="85">
        <v>0</v>
      </c>
      <c r="H16" s="85">
        <v>0</v>
      </c>
      <c r="I16" s="85">
        <v>17</v>
      </c>
      <c r="J16" s="85">
        <v>0</v>
      </c>
      <c r="K16" s="85">
        <v>99</v>
      </c>
      <c r="L16" s="85">
        <v>104</v>
      </c>
      <c r="M16" s="85">
        <v>333</v>
      </c>
      <c r="N16" s="85">
        <v>66</v>
      </c>
      <c r="O16" s="85">
        <v>195</v>
      </c>
      <c r="P16" s="85">
        <v>4816</v>
      </c>
      <c r="Q16" s="85">
        <v>2122</v>
      </c>
      <c r="R16" s="85">
        <f>SUM(F16:Q16)</f>
        <v>7752</v>
      </c>
      <c r="T16" s="76" t="s">
        <v>58</v>
      </c>
    </row>
    <row r="17" spans="2:19" ht="15" customHeight="1" x14ac:dyDescent="0.2">
      <c r="D17" s="76" t="s">
        <v>88</v>
      </c>
      <c r="F17" s="85">
        <v>1161</v>
      </c>
      <c r="G17" s="85">
        <v>2064</v>
      </c>
      <c r="H17" s="85">
        <v>1437</v>
      </c>
      <c r="I17" s="85">
        <v>1397</v>
      </c>
      <c r="J17" s="85">
        <v>1432</v>
      </c>
      <c r="K17" s="85">
        <v>1473</v>
      </c>
      <c r="L17" s="85">
        <v>1528</v>
      </c>
      <c r="M17" s="85">
        <v>1438</v>
      </c>
      <c r="N17" s="85">
        <v>1450</v>
      </c>
      <c r="O17" s="85">
        <v>2120</v>
      </c>
      <c r="P17" s="85">
        <v>759</v>
      </c>
      <c r="Q17" s="85">
        <v>552</v>
      </c>
      <c r="R17" s="85">
        <f>SUM(F17:Q17)</f>
        <v>16811</v>
      </c>
    </row>
    <row r="18" spans="2:19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</row>
    <row r="19" spans="2:19" ht="15" customHeight="1" x14ac:dyDescent="0.2">
      <c r="C19" s="76" t="s">
        <v>23</v>
      </c>
      <c r="F19" s="84">
        <f t="shared" ref="F19:Q19" si="2">SUM(F20:F24)</f>
        <v>20325</v>
      </c>
      <c r="G19" s="84">
        <f t="shared" si="2"/>
        <v>15004</v>
      </c>
      <c r="H19" s="84">
        <f t="shared" si="2"/>
        <v>18294</v>
      </c>
      <c r="I19" s="84">
        <f t="shared" si="2"/>
        <v>34866</v>
      </c>
      <c r="J19" s="84">
        <f t="shared" si="2"/>
        <v>14677</v>
      </c>
      <c r="K19" s="84">
        <f t="shared" si="2"/>
        <v>14825</v>
      </c>
      <c r="L19" s="84">
        <f t="shared" si="2"/>
        <v>20275</v>
      </c>
      <c r="M19" s="84">
        <f t="shared" si="2"/>
        <v>17594</v>
      </c>
      <c r="N19" s="84">
        <f t="shared" si="2"/>
        <v>18188</v>
      </c>
      <c r="O19" s="84">
        <f t="shared" si="2"/>
        <v>17251</v>
      </c>
      <c r="P19" s="84">
        <f t="shared" si="2"/>
        <v>11447</v>
      </c>
      <c r="Q19" s="84">
        <f t="shared" si="2"/>
        <v>12700</v>
      </c>
      <c r="R19" s="84">
        <f t="shared" ref="R19:R24" si="3">SUM(F19:Q19)</f>
        <v>215446</v>
      </c>
      <c r="S19" s="85"/>
    </row>
    <row r="20" spans="2:19" ht="15" customHeight="1" x14ac:dyDescent="0.2">
      <c r="D20" s="6" t="s">
        <v>24</v>
      </c>
      <c r="E20" s="6"/>
      <c r="F20" s="85">
        <v>7930</v>
      </c>
      <c r="G20" s="85">
        <v>5834</v>
      </c>
      <c r="H20" s="85">
        <v>11150</v>
      </c>
      <c r="I20" s="85">
        <v>27972</v>
      </c>
      <c r="J20" s="85">
        <v>5728</v>
      </c>
      <c r="K20" s="85">
        <v>5084</v>
      </c>
      <c r="L20" s="85">
        <v>9061</v>
      </c>
      <c r="M20" s="85">
        <v>5818</v>
      </c>
      <c r="N20" s="85">
        <v>7708</v>
      </c>
      <c r="O20" s="85">
        <v>4858</v>
      </c>
      <c r="P20" s="85">
        <v>4188</v>
      </c>
      <c r="Q20" s="85">
        <v>6406</v>
      </c>
      <c r="R20" s="85">
        <f t="shared" si="3"/>
        <v>101737</v>
      </c>
    </row>
    <row r="21" spans="2:19" ht="15" customHeight="1" x14ac:dyDescent="0.2">
      <c r="D21" s="6" t="s">
        <v>89</v>
      </c>
      <c r="E21" s="6"/>
      <c r="F21" s="85">
        <v>3362</v>
      </c>
      <c r="G21" s="85">
        <v>2953</v>
      </c>
      <c r="H21" s="85">
        <v>2636</v>
      </c>
      <c r="I21" s="85">
        <v>3675</v>
      </c>
      <c r="J21" s="85">
        <v>3136</v>
      </c>
      <c r="K21" s="85">
        <v>2583</v>
      </c>
      <c r="L21" s="85">
        <v>3816</v>
      </c>
      <c r="M21" s="85">
        <v>2536</v>
      </c>
      <c r="N21" s="85">
        <v>3854</v>
      </c>
      <c r="O21" s="85">
        <v>4374</v>
      </c>
      <c r="P21" s="85">
        <v>4394</v>
      </c>
      <c r="Q21" s="85">
        <v>2500</v>
      </c>
      <c r="R21" s="85">
        <f t="shared" si="3"/>
        <v>39819</v>
      </c>
      <c r="S21" s="85"/>
    </row>
    <row r="22" spans="2:19" ht="15" customHeight="1" x14ac:dyDescent="0.2">
      <c r="D22" s="6" t="s">
        <v>26</v>
      </c>
      <c r="E22" s="6"/>
      <c r="F22" s="85">
        <v>0</v>
      </c>
      <c r="G22" s="85">
        <v>0</v>
      </c>
      <c r="H22" s="85">
        <v>40</v>
      </c>
      <c r="I22" s="85">
        <v>60</v>
      </c>
      <c r="J22" s="85">
        <v>0</v>
      </c>
      <c r="K22" s="85">
        <v>345</v>
      </c>
      <c r="L22" s="85">
        <v>76</v>
      </c>
      <c r="M22" s="85">
        <v>24</v>
      </c>
      <c r="N22" s="85">
        <v>1</v>
      </c>
      <c r="O22" s="85">
        <v>17</v>
      </c>
      <c r="P22" s="85">
        <v>0</v>
      </c>
      <c r="Q22" s="85">
        <v>94</v>
      </c>
      <c r="R22" s="85">
        <f t="shared" si="3"/>
        <v>657</v>
      </c>
      <c r="S22" s="85"/>
    </row>
    <row r="23" spans="2:19" ht="15" customHeight="1" x14ac:dyDescent="0.2">
      <c r="D23" s="6" t="s">
        <v>27</v>
      </c>
      <c r="E23" s="6"/>
      <c r="F23" s="85">
        <v>1393.796</v>
      </c>
      <c r="G23" s="85">
        <v>1047.33</v>
      </c>
      <c r="H23" s="85">
        <v>943.548</v>
      </c>
      <c r="I23" s="85">
        <v>988.97400000000005</v>
      </c>
      <c r="J23" s="85">
        <v>1448.579</v>
      </c>
      <c r="K23" s="85">
        <v>889.505</v>
      </c>
      <c r="L23" s="85">
        <v>1343.1790000000001</v>
      </c>
      <c r="M23" s="85">
        <v>1190.769</v>
      </c>
      <c r="N23" s="85">
        <v>1166.296</v>
      </c>
      <c r="O23" s="85">
        <v>872.43399999999997</v>
      </c>
      <c r="P23" s="85">
        <v>1041.93</v>
      </c>
      <c r="Q23" s="85">
        <v>1100.0650000000001</v>
      </c>
      <c r="R23" s="85">
        <f t="shared" si="3"/>
        <v>13426.405000000001</v>
      </c>
      <c r="S23" s="85"/>
    </row>
    <row r="24" spans="2:19" ht="15" customHeight="1" x14ac:dyDescent="0.2">
      <c r="D24" s="6" t="s">
        <v>28</v>
      </c>
      <c r="E24" s="6"/>
      <c r="F24" s="85">
        <v>7639.2039999999997</v>
      </c>
      <c r="G24" s="85">
        <v>5169.67</v>
      </c>
      <c r="H24" s="85">
        <v>3524.4520000000002</v>
      </c>
      <c r="I24" s="85">
        <v>2170.0259999999998</v>
      </c>
      <c r="J24" s="85">
        <v>4364.4210000000003</v>
      </c>
      <c r="K24" s="85">
        <v>5923.4949999999999</v>
      </c>
      <c r="L24" s="85">
        <v>5978.8209999999999</v>
      </c>
      <c r="M24" s="85">
        <v>8025.2309999999998</v>
      </c>
      <c r="N24" s="85">
        <v>5458.7039999999997</v>
      </c>
      <c r="O24" s="85">
        <v>7129.5659999999998</v>
      </c>
      <c r="P24" s="85">
        <v>1823.07</v>
      </c>
      <c r="Q24" s="85">
        <v>2599.9349999999999</v>
      </c>
      <c r="R24" s="85">
        <f t="shared" si="3"/>
        <v>59806.594999999994</v>
      </c>
    </row>
    <row r="25" spans="2:19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19" ht="15" customHeight="1" x14ac:dyDescent="0.2">
      <c r="C26" s="76" t="s">
        <v>29</v>
      </c>
      <c r="F26" s="85">
        <v>5</v>
      </c>
      <c r="G26" s="85">
        <v>12</v>
      </c>
      <c r="H26" s="85">
        <v>3</v>
      </c>
      <c r="I26" s="85">
        <v>2</v>
      </c>
      <c r="J26" s="85">
        <v>5</v>
      </c>
      <c r="K26" s="85">
        <v>1</v>
      </c>
      <c r="L26" s="85">
        <v>12</v>
      </c>
      <c r="M26" s="85">
        <v>0</v>
      </c>
      <c r="N26" s="85">
        <v>0</v>
      </c>
      <c r="O26" s="85">
        <v>13</v>
      </c>
      <c r="P26" s="85">
        <v>7</v>
      </c>
      <c r="Q26" s="85">
        <v>18</v>
      </c>
      <c r="R26" s="85">
        <f>SUM(F26:Q26)</f>
        <v>78</v>
      </c>
    </row>
    <row r="27" spans="2:19" ht="15" customHeight="1" x14ac:dyDescent="0.2">
      <c r="F27" s="85" t="s">
        <v>58</v>
      </c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19" ht="15" customHeight="1" x14ac:dyDescent="0.25">
      <c r="B28" s="82" t="s">
        <v>30</v>
      </c>
      <c r="C28" s="82"/>
      <c r="D28" s="82"/>
      <c r="E28" s="82"/>
      <c r="F28" s="83">
        <f t="shared" ref="F28:Q28" si="4">SUM(F30:F36)</f>
        <v>185700.45300000001</v>
      </c>
      <c r="G28" s="83">
        <f t="shared" si="4"/>
        <v>173577.87</v>
      </c>
      <c r="H28" s="83">
        <f t="shared" si="4"/>
        <v>232188</v>
      </c>
      <c r="I28" s="83">
        <f t="shared" si="4"/>
        <v>191611</v>
      </c>
      <c r="J28" s="83">
        <f t="shared" si="4"/>
        <v>217415</v>
      </c>
      <c r="K28" s="83">
        <f t="shared" si="4"/>
        <v>220779</v>
      </c>
      <c r="L28" s="83">
        <f t="shared" si="4"/>
        <v>220917</v>
      </c>
      <c r="M28" s="83">
        <f t="shared" si="4"/>
        <v>176962</v>
      </c>
      <c r="N28" s="83">
        <f t="shared" si="4"/>
        <v>241287</v>
      </c>
      <c r="O28" s="83">
        <f t="shared" si="4"/>
        <v>176987</v>
      </c>
      <c r="P28" s="83">
        <f t="shared" si="4"/>
        <v>228357</v>
      </c>
      <c r="Q28" s="83">
        <f t="shared" si="4"/>
        <v>283555</v>
      </c>
      <c r="R28" s="83">
        <f>SUM(F28:Q28)</f>
        <v>2549336.3229999999</v>
      </c>
      <c r="S28" s="85" t="s">
        <v>58</v>
      </c>
    </row>
    <row r="29" spans="2:19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19" ht="15" customHeight="1" x14ac:dyDescent="0.2">
      <c r="D30" s="76" t="s">
        <v>31</v>
      </c>
      <c r="F30" s="85">
        <v>40501</v>
      </c>
      <c r="G30" s="85">
        <v>42204</v>
      </c>
      <c r="H30" s="85">
        <v>39020</v>
      </c>
      <c r="I30" s="85">
        <v>35849</v>
      </c>
      <c r="J30" s="85">
        <v>35725</v>
      </c>
      <c r="K30" s="85">
        <v>36877</v>
      </c>
      <c r="L30" s="85">
        <v>35801</v>
      </c>
      <c r="M30" s="85">
        <v>36290</v>
      </c>
      <c r="N30" s="85">
        <v>35977</v>
      </c>
      <c r="O30" s="85">
        <v>38987</v>
      </c>
      <c r="P30" s="85">
        <v>36177</v>
      </c>
      <c r="Q30" s="85">
        <v>36368</v>
      </c>
      <c r="R30" s="85">
        <f t="shared" ref="R30:R36" si="5">SUM(F30:Q30)</f>
        <v>449776</v>
      </c>
      <c r="S30" s="85"/>
    </row>
    <row r="31" spans="2:19" ht="15" customHeight="1" x14ac:dyDescent="0.2">
      <c r="D31" s="76" t="s">
        <v>32</v>
      </c>
      <c r="F31" s="85">
        <v>45594.453000000001</v>
      </c>
      <c r="G31" s="85">
        <v>21280</v>
      </c>
      <c r="H31" s="85">
        <v>35749</v>
      </c>
      <c r="I31" s="85">
        <v>14765</v>
      </c>
      <c r="J31" s="85">
        <v>18658</v>
      </c>
      <c r="K31" s="85">
        <v>17666</v>
      </c>
      <c r="L31" s="85">
        <v>40020</v>
      </c>
      <c r="M31" s="85">
        <v>23442</v>
      </c>
      <c r="N31" s="85">
        <v>32602</v>
      </c>
      <c r="O31" s="85">
        <v>16054</v>
      </c>
      <c r="P31" s="85">
        <v>19551</v>
      </c>
      <c r="Q31" s="85">
        <v>19073</v>
      </c>
      <c r="R31" s="85">
        <f t="shared" si="5"/>
        <v>304454.45299999998</v>
      </c>
      <c r="S31" s="85"/>
    </row>
    <row r="32" spans="2:19" ht="15" customHeight="1" x14ac:dyDescent="0.2">
      <c r="D32" s="76" t="s">
        <v>33</v>
      </c>
      <c r="F32" s="85">
        <v>160</v>
      </c>
      <c r="G32" s="85">
        <v>219</v>
      </c>
      <c r="H32" s="85">
        <v>345</v>
      </c>
      <c r="I32" s="85">
        <v>1177</v>
      </c>
      <c r="J32" s="85">
        <v>967</v>
      </c>
      <c r="K32" s="85">
        <v>2479</v>
      </c>
      <c r="L32" s="85">
        <v>104</v>
      </c>
      <c r="M32" s="85">
        <v>901</v>
      </c>
      <c r="N32" s="85">
        <v>693</v>
      </c>
      <c r="O32" s="85">
        <v>879</v>
      </c>
      <c r="P32" s="85">
        <v>5379</v>
      </c>
      <c r="Q32" s="85">
        <v>2491</v>
      </c>
      <c r="R32" s="85">
        <f t="shared" si="5"/>
        <v>15794</v>
      </c>
    </row>
    <row r="33" spans="2:19" ht="15" customHeight="1" x14ac:dyDescent="0.2">
      <c r="D33" s="76" t="s">
        <v>78</v>
      </c>
      <c r="F33" s="85">
        <v>1697</v>
      </c>
      <c r="G33" s="85">
        <v>2658</v>
      </c>
      <c r="H33" s="85">
        <v>3889</v>
      </c>
      <c r="I33" s="85">
        <v>4825</v>
      </c>
      <c r="J33" s="85">
        <v>7478</v>
      </c>
      <c r="K33" s="85">
        <v>16050</v>
      </c>
      <c r="L33" s="85">
        <v>35258</v>
      </c>
      <c r="M33" s="85">
        <v>7402</v>
      </c>
      <c r="N33" s="85">
        <v>3119</v>
      </c>
      <c r="O33" s="85">
        <v>1514</v>
      </c>
      <c r="P33" s="85">
        <v>14234</v>
      </c>
      <c r="Q33" s="85">
        <v>5066</v>
      </c>
      <c r="R33" s="85">
        <f t="shared" si="5"/>
        <v>103190</v>
      </c>
      <c r="S33" s="85"/>
    </row>
    <row r="34" spans="2:19" ht="15" customHeight="1" x14ac:dyDescent="0.2">
      <c r="D34" s="76" t="s">
        <v>35</v>
      </c>
      <c r="F34" s="85">
        <v>3029</v>
      </c>
      <c r="G34" s="85">
        <v>6</v>
      </c>
      <c r="H34" s="85">
        <v>5138</v>
      </c>
      <c r="I34" s="85">
        <v>199</v>
      </c>
      <c r="J34" s="85">
        <v>17</v>
      </c>
      <c r="K34" s="85">
        <v>60</v>
      </c>
      <c r="L34" s="85">
        <v>0</v>
      </c>
      <c r="M34" s="85">
        <v>7</v>
      </c>
      <c r="N34" s="85">
        <v>41</v>
      </c>
      <c r="O34" s="85">
        <v>11</v>
      </c>
      <c r="P34" s="85">
        <v>16</v>
      </c>
      <c r="Q34" s="85">
        <v>3157</v>
      </c>
      <c r="R34" s="85">
        <f t="shared" si="5"/>
        <v>11681</v>
      </c>
    </row>
    <row r="35" spans="2:19" ht="15" customHeight="1" x14ac:dyDescent="0.2">
      <c r="D35" s="76" t="s">
        <v>79</v>
      </c>
      <c r="F35" s="85">
        <v>31</v>
      </c>
      <c r="G35" s="85">
        <v>706</v>
      </c>
      <c r="H35" s="85">
        <v>2767</v>
      </c>
      <c r="I35" s="85">
        <v>215</v>
      </c>
      <c r="J35" s="85">
        <v>152</v>
      </c>
      <c r="K35" s="85">
        <v>220</v>
      </c>
      <c r="L35" s="85">
        <v>32</v>
      </c>
      <c r="M35" s="85">
        <v>-1148</v>
      </c>
      <c r="N35" s="85">
        <v>741</v>
      </c>
      <c r="O35" s="85">
        <v>763</v>
      </c>
      <c r="P35" s="85">
        <v>172</v>
      </c>
      <c r="Q35" s="85">
        <v>10647</v>
      </c>
      <c r="R35" s="85">
        <f t="shared" si="5"/>
        <v>15298</v>
      </c>
    </row>
    <row r="36" spans="2:19" ht="15" customHeight="1" x14ac:dyDescent="0.2">
      <c r="D36" s="6" t="s">
        <v>80</v>
      </c>
      <c r="F36" s="85">
        <v>94688</v>
      </c>
      <c r="G36" s="85">
        <v>106504.87</v>
      </c>
      <c r="H36" s="85">
        <v>145280</v>
      </c>
      <c r="I36" s="85">
        <v>134581</v>
      </c>
      <c r="J36" s="85">
        <v>154418</v>
      </c>
      <c r="K36" s="85">
        <v>147427</v>
      </c>
      <c r="L36" s="85">
        <v>109702</v>
      </c>
      <c r="M36" s="85">
        <v>110068</v>
      </c>
      <c r="N36" s="85">
        <v>168114</v>
      </c>
      <c r="O36" s="85">
        <v>118779</v>
      </c>
      <c r="P36" s="85">
        <v>152828</v>
      </c>
      <c r="Q36" s="85">
        <v>206753</v>
      </c>
      <c r="R36" s="85">
        <f t="shared" si="5"/>
        <v>1649142.87</v>
      </c>
      <c r="S36" s="85" t="s">
        <v>58</v>
      </c>
    </row>
    <row r="37" spans="2:19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5"/>
      <c r="S37" s="85"/>
    </row>
    <row r="38" spans="2:19" ht="15" customHeight="1" x14ac:dyDescent="0.25">
      <c r="B38" s="82" t="s">
        <v>38</v>
      </c>
      <c r="C38" s="82"/>
      <c r="D38" s="82"/>
      <c r="E38" s="82"/>
      <c r="F38" s="88">
        <f t="shared" ref="F38:Q38" si="6">F8-F28</f>
        <v>-3474.4530000000086</v>
      </c>
      <c r="G38" s="88">
        <f t="shared" si="6"/>
        <v>-34625.869999999995</v>
      </c>
      <c r="H38" s="88">
        <f t="shared" si="6"/>
        <v>-74388</v>
      </c>
      <c r="I38" s="88">
        <f t="shared" si="6"/>
        <v>55022</v>
      </c>
      <c r="J38" s="88">
        <f t="shared" si="6"/>
        <v>-17656</v>
      </c>
      <c r="K38" s="88">
        <f t="shared" si="6"/>
        <v>-45194</v>
      </c>
      <c r="L38" s="88">
        <f t="shared" si="6"/>
        <v>-50667</v>
      </c>
      <c r="M38" s="88">
        <f t="shared" si="6"/>
        <v>32607</v>
      </c>
      <c r="N38" s="88">
        <f t="shared" si="6"/>
        <v>-75327</v>
      </c>
      <c r="O38" s="88">
        <f t="shared" si="6"/>
        <v>-2345</v>
      </c>
      <c r="P38" s="88">
        <f t="shared" si="6"/>
        <v>-19145</v>
      </c>
      <c r="Q38" s="88">
        <f t="shared" si="6"/>
        <v>-118229</v>
      </c>
      <c r="R38" s="88">
        <f>SUM(F38:Q38)</f>
        <v>-353422.32299999997</v>
      </c>
    </row>
    <row r="39" spans="2:19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19" ht="15" customHeight="1" x14ac:dyDescent="0.25">
      <c r="B40" s="82" t="s">
        <v>39</v>
      </c>
      <c r="C40" s="82"/>
      <c r="D40" s="82"/>
      <c r="E40" s="82"/>
      <c r="F40" s="83">
        <v>19134</v>
      </c>
      <c r="G40" s="83">
        <v>22973</v>
      </c>
      <c r="H40" s="83">
        <v>58407</v>
      </c>
      <c r="I40" s="83">
        <v>25199</v>
      </c>
      <c r="J40" s="83">
        <v>23206</v>
      </c>
      <c r="K40" s="83">
        <v>27642</v>
      </c>
      <c r="L40" s="83">
        <v>27778</v>
      </c>
      <c r="M40" s="83">
        <v>24211</v>
      </c>
      <c r="N40" s="83">
        <v>96911</v>
      </c>
      <c r="O40" s="83">
        <v>-7271</v>
      </c>
      <c r="P40" s="83">
        <v>17736</v>
      </c>
      <c r="Q40" s="83">
        <v>-4987</v>
      </c>
      <c r="R40" s="83">
        <v>330939</v>
      </c>
    </row>
    <row r="41" spans="2:19" ht="15" customHeight="1" x14ac:dyDescent="0.2">
      <c r="C41" s="76" t="s">
        <v>40</v>
      </c>
      <c r="F41" s="84">
        <v>-12636</v>
      </c>
      <c r="G41" s="84">
        <v>-3154</v>
      </c>
      <c r="H41" s="84">
        <v>30418</v>
      </c>
      <c r="I41" s="84">
        <v>559</v>
      </c>
      <c r="J41" s="84">
        <v>-4457</v>
      </c>
      <c r="K41" s="84">
        <v>-3518</v>
      </c>
      <c r="L41" s="84">
        <v>-138</v>
      </c>
      <c r="M41" s="84">
        <v>-2509</v>
      </c>
      <c r="N41" s="84">
        <v>-2917</v>
      </c>
      <c r="O41" s="84">
        <v>-20466</v>
      </c>
      <c r="P41" s="84">
        <v>-5552</v>
      </c>
      <c r="Q41" s="84">
        <v>257</v>
      </c>
      <c r="R41" s="84">
        <v>-24113</v>
      </c>
      <c r="S41" s="85"/>
    </row>
    <row r="42" spans="2:19" ht="15" customHeight="1" x14ac:dyDescent="0.2">
      <c r="D42" s="76" t="s">
        <v>41</v>
      </c>
      <c r="F42" s="85">
        <v>10292</v>
      </c>
      <c r="G42" s="85">
        <v>781</v>
      </c>
      <c r="H42" s="85">
        <v>115197</v>
      </c>
      <c r="I42" s="85">
        <v>3397</v>
      </c>
      <c r="J42" s="85">
        <v>2186</v>
      </c>
      <c r="K42" s="85">
        <v>1821</v>
      </c>
      <c r="L42" s="85">
        <v>1787</v>
      </c>
      <c r="M42" s="85">
        <v>1454</v>
      </c>
      <c r="N42" s="85">
        <v>2314</v>
      </c>
      <c r="O42" s="85">
        <v>3589</v>
      </c>
      <c r="P42" s="85">
        <v>801</v>
      </c>
      <c r="Q42" s="85">
        <v>5904</v>
      </c>
      <c r="R42" s="85">
        <v>149523</v>
      </c>
    </row>
    <row r="43" spans="2:19" ht="15" customHeight="1" x14ac:dyDescent="0.2">
      <c r="D43" s="76" t="s">
        <v>98</v>
      </c>
      <c r="F43" s="85">
        <v>22928</v>
      </c>
      <c r="G43" s="85">
        <v>3935</v>
      </c>
      <c r="H43" s="85">
        <v>84779</v>
      </c>
      <c r="I43" s="85">
        <v>2838</v>
      </c>
      <c r="J43" s="85">
        <v>6643</v>
      </c>
      <c r="K43" s="85">
        <v>5339</v>
      </c>
      <c r="L43" s="85">
        <v>1925</v>
      </c>
      <c r="M43" s="85">
        <v>3963</v>
      </c>
      <c r="N43" s="85">
        <v>5231</v>
      </c>
      <c r="O43" s="85">
        <v>24055</v>
      </c>
      <c r="P43" s="85">
        <v>6353</v>
      </c>
      <c r="Q43" s="85">
        <v>5647</v>
      </c>
      <c r="R43" s="85">
        <v>173636</v>
      </c>
    </row>
    <row r="44" spans="2:19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19" ht="15" customHeight="1" x14ac:dyDescent="0.2">
      <c r="C45" s="76" t="s">
        <v>43</v>
      </c>
      <c r="F45" s="84">
        <v>31770</v>
      </c>
      <c r="G45" s="84">
        <v>26127</v>
      </c>
      <c r="H45" s="84">
        <v>27989</v>
      </c>
      <c r="I45" s="84">
        <v>24640</v>
      </c>
      <c r="J45" s="84">
        <v>27663</v>
      </c>
      <c r="K45" s="84">
        <v>31160</v>
      </c>
      <c r="L45" s="84">
        <v>27916</v>
      </c>
      <c r="M45" s="84">
        <v>26720</v>
      </c>
      <c r="N45" s="84">
        <v>99828</v>
      </c>
      <c r="O45" s="84">
        <v>13195</v>
      </c>
      <c r="P45" s="84">
        <v>23288</v>
      </c>
      <c r="Q45" s="84">
        <v>-5244</v>
      </c>
      <c r="R45" s="84">
        <v>355052</v>
      </c>
    </row>
    <row r="46" spans="2:19" ht="15" customHeight="1" x14ac:dyDescent="0.2">
      <c r="D46" s="76" t="s">
        <v>44</v>
      </c>
      <c r="F46" s="85">
        <v>31770</v>
      </c>
      <c r="G46" s="85">
        <v>26127</v>
      </c>
      <c r="H46" s="85">
        <v>28755</v>
      </c>
      <c r="I46" s="85">
        <v>24640</v>
      </c>
      <c r="J46" s="85">
        <v>27853</v>
      </c>
      <c r="K46" s="85">
        <v>31365</v>
      </c>
      <c r="L46" s="85">
        <v>28055</v>
      </c>
      <c r="M46" s="85">
        <v>27198</v>
      </c>
      <c r="N46" s="85">
        <v>100044</v>
      </c>
      <c r="O46" s="85">
        <v>13332</v>
      </c>
      <c r="P46" s="85">
        <v>23400</v>
      </c>
      <c r="Q46" s="85">
        <v>-5042</v>
      </c>
      <c r="R46" s="85">
        <v>357497</v>
      </c>
    </row>
    <row r="47" spans="2:19" ht="15" customHeight="1" x14ac:dyDescent="0.2">
      <c r="D47" s="76" t="s">
        <v>45</v>
      </c>
      <c r="F47" s="85">
        <v>0</v>
      </c>
      <c r="G47" s="85">
        <v>0</v>
      </c>
      <c r="H47" s="85">
        <v>766</v>
      </c>
      <c r="I47" s="85">
        <v>0</v>
      </c>
      <c r="J47" s="85">
        <v>190</v>
      </c>
      <c r="K47" s="85">
        <v>205</v>
      </c>
      <c r="L47" s="85">
        <v>139</v>
      </c>
      <c r="M47" s="85">
        <v>478</v>
      </c>
      <c r="N47" s="85">
        <v>216</v>
      </c>
      <c r="O47" s="85">
        <v>137</v>
      </c>
      <c r="P47" s="85">
        <v>112</v>
      </c>
      <c r="Q47" s="85">
        <v>202</v>
      </c>
      <c r="R47" s="85">
        <v>2445</v>
      </c>
    </row>
    <row r="48" spans="2:19" ht="15" customHeight="1" x14ac:dyDescent="0.2">
      <c r="E48" s="6" t="s">
        <v>68</v>
      </c>
      <c r="F48" s="13">
        <v>92437</v>
      </c>
      <c r="G48" s="13">
        <v>0</v>
      </c>
      <c r="H48" s="13">
        <v>37777</v>
      </c>
      <c r="I48" s="13">
        <v>97010</v>
      </c>
      <c r="J48" s="13">
        <v>190</v>
      </c>
      <c r="K48" s="13">
        <v>205</v>
      </c>
      <c r="L48" s="13">
        <v>139</v>
      </c>
      <c r="M48" s="13">
        <v>478</v>
      </c>
      <c r="N48" s="13">
        <v>80588</v>
      </c>
      <c r="O48" s="13">
        <v>137</v>
      </c>
      <c r="P48" s="13">
        <v>2712</v>
      </c>
      <c r="Q48" s="13">
        <v>202</v>
      </c>
      <c r="R48" s="85">
        <v>311875</v>
      </c>
      <c r="S48" s="85"/>
    </row>
    <row r="49" spans="1:19" ht="15" customHeight="1" x14ac:dyDescent="0.2">
      <c r="E49" s="22" t="s">
        <v>81</v>
      </c>
      <c r="F49" s="13">
        <v>92437</v>
      </c>
      <c r="G49" s="13">
        <v>0</v>
      </c>
      <c r="H49" s="13">
        <v>37011</v>
      </c>
      <c r="I49" s="13">
        <v>97010</v>
      </c>
      <c r="J49" s="13">
        <v>0</v>
      </c>
      <c r="K49" s="13">
        <v>0</v>
      </c>
      <c r="L49" s="13">
        <v>0</v>
      </c>
      <c r="M49" s="13">
        <v>0</v>
      </c>
      <c r="N49" s="13">
        <v>80372</v>
      </c>
      <c r="O49" s="13">
        <v>0</v>
      </c>
      <c r="P49" s="13">
        <v>2600</v>
      </c>
      <c r="Q49" s="13">
        <v>0</v>
      </c>
      <c r="R49" s="85">
        <v>309430</v>
      </c>
    </row>
    <row r="50" spans="1:19" ht="15" customHeight="1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9" ht="15" customHeight="1" x14ac:dyDescent="0.25">
      <c r="B51" s="82" t="s">
        <v>47</v>
      </c>
      <c r="C51" s="82"/>
      <c r="D51" s="82"/>
      <c r="E51" s="82"/>
      <c r="F51" s="83">
        <v>-68115</v>
      </c>
      <c r="G51" s="83">
        <v>-13090.24</v>
      </c>
      <c r="H51" s="83">
        <v>-35130.76</v>
      </c>
      <c r="I51" s="83">
        <v>-3428.1599999999198</v>
      </c>
      <c r="J51" s="83">
        <v>5118.1599999999198</v>
      </c>
      <c r="K51" s="83">
        <v>-10872</v>
      </c>
      <c r="L51" s="83">
        <v>-11356</v>
      </c>
      <c r="M51" s="83">
        <v>65448</v>
      </c>
      <c r="N51" s="83">
        <v>-69780</v>
      </c>
      <c r="O51" s="83">
        <v>-9827</v>
      </c>
      <c r="P51" s="83">
        <v>-1274</v>
      </c>
      <c r="Q51" s="83">
        <v>-105347</v>
      </c>
      <c r="R51" s="83">
        <v>-257654</v>
      </c>
      <c r="S51" s="85"/>
    </row>
    <row r="52" spans="1:19" x14ac:dyDescent="0.2"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</row>
    <row r="53" spans="1:19" x14ac:dyDescent="0.2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</row>
    <row r="54" spans="1:19" s="91" customFormat="1" ht="12.75" x14ac:dyDescent="0.2">
      <c r="B54" s="92" t="s">
        <v>48</v>
      </c>
    </row>
    <row r="55" spans="1:19" s="91" customFormat="1" ht="25.5" customHeight="1" x14ac:dyDescent="0.2">
      <c r="B55" s="92"/>
      <c r="C55" s="176" t="s">
        <v>49</v>
      </c>
      <c r="D55" s="176"/>
      <c r="E55" s="176"/>
      <c r="F55" s="176"/>
      <c r="G55" s="176"/>
      <c r="H55" s="176"/>
      <c r="I55" s="176"/>
    </row>
    <row r="56" spans="1:19" s="91" customFormat="1" ht="25.5" customHeight="1" x14ac:dyDescent="0.2">
      <c r="B56" s="92"/>
      <c r="C56" s="176"/>
      <c r="D56" s="176"/>
      <c r="E56" s="176"/>
      <c r="F56" s="176"/>
      <c r="G56" s="176"/>
      <c r="H56" s="176"/>
      <c r="I56" s="176"/>
    </row>
    <row r="57" spans="1:19" s="91" customFormat="1" ht="25.5" customHeight="1" x14ac:dyDescent="0.2">
      <c r="B57" s="15"/>
      <c r="C57" s="176"/>
      <c r="D57" s="176"/>
      <c r="E57" s="176"/>
      <c r="F57" s="176"/>
      <c r="G57" s="176"/>
      <c r="H57" s="176"/>
      <c r="I57" s="176"/>
    </row>
    <row r="58" spans="1:19" s="91" customFormat="1" ht="12.75" x14ac:dyDescent="0.2">
      <c r="B58" s="15"/>
    </row>
    <row r="59" spans="1:19" s="91" customFormat="1" ht="12.75" x14ac:dyDescent="0.2">
      <c r="B59" s="15" t="s">
        <v>52</v>
      </c>
    </row>
    <row r="60" spans="1:19" s="91" customFormat="1" ht="12.75" x14ac:dyDescent="0.2">
      <c r="B60" s="15" t="s">
        <v>94</v>
      </c>
    </row>
    <row r="63" spans="1:19" x14ac:dyDescent="0.2">
      <c r="A63" s="86"/>
    </row>
  </sheetData>
  <mergeCells count="2">
    <mergeCell ref="B6:E6"/>
    <mergeCell ref="C55:I57"/>
  </mergeCells>
  <printOptions horizontalCentered="1"/>
  <pageMargins left="0.23611111111111099" right="0.23611111111111099" top="1.10208333333333" bottom="0" header="0.51180555555555596" footer="0.511811023622047"/>
  <pageSetup paperSize="9" orientation="portrait" horizontalDpi="300" verticalDpi="300"/>
  <headerFooter>
    <oddHeader>&amp;C&amp;"Arial,Bold"&amp;9BUREAU OF THE TREASURY
&amp;"Arial,Italic"Statistical Data Analysis Division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MJ57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S29" sqref="S29"/>
    </sheetView>
  </sheetViews>
  <sheetFormatPr defaultColWidth="9.140625" defaultRowHeight="14.25" x14ac:dyDescent="0.2"/>
  <cols>
    <col min="1" max="1" width="1.7109375" style="76" customWidth="1"/>
    <col min="2" max="2" width="1.5703125" style="76" customWidth="1"/>
    <col min="3" max="3" width="1.85546875" style="76" customWidth="1"/>
    <col min="4" max="4" width="2.140625" style="76" customWidth="1"/>
    <col min="5" max="5" width="22.28515625" style="76" customWidth="1"/>
    <col min="6" max="9" width="9.42578125" style="76" customWidth="1"/>
    <col min="10" max="11" width="10.28515625" style="76" customWidth="1"/>
    <col min="12" max="16" width="9.42578125" style="76" customWidth="1"/>
    <col min="17" max="17" width="10.28515625" style="76" customWidth="1"/>
    <col min="18" max="18" width="12.140625" style="76" customWidth="1"/>
    <col min="19" max="1024" width="9.140625" style="76"/>
  </cols>
  <sheetData>
    <row r="1" spans="1:19" ht="15" x14ac:dyDescent="0.25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104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93" t="s">
        <v>96</v>
      </c>
      <c r="B4" s="78"/>
    </row>
    <row r="5" spans="1:19" ht="6" customHeight="1" x14ac:dyDescent="0.2"/>
    <row r="6" spans="1:19" ht="21" customHeight="1" x14ac:dyDescent="0.2">
      <c r="A6" s="80"/>
      <c r="B6" s="184" t="s">
        <v>3</v>
      </c>
      <c r="C6" s="184"/>
      <c r="D6" s="184"/>
      <c r="E6" s="184"/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102</v>
      </c>
      <c r="L6" s="2" t="s">
        <v>103</v>
      </c>
      <c r="M6" s="2" t="s">
        <v>11</v>
      </c>
      <c r="N6" s="2" t="s">
        <v>12</v>
      </c>
      <c r="O6" s="2" t="s">
        <v>13</v>
      </c>
      <c r="P6" s="2" t="s">
        <v>56</v>
      </c>
      <c r="Q6" s="2" t="s">
        <v>57</v>
      </c>
      <c r="R6" s="81" t="s">
        <v>14</v>
      </c>
    </row>
    <row r="7" spans="1:19" ht="15" customHeight="1" x14ac:dyDescent="0.2"/>
    <row r="8" spans="1:19" ht="15" customHeight="1" x14ac:dyDescent="0.25">
      <c r="B8" s="82" t="s">
        <v>15</v>
      </c>
      <c r="C8" s="82"/>
      <c r="D8" s="82"/>
      <c r="E8" s="82"/>
      <c r="F8" s="83">
        <f t="shared" ref="F8:R8" si="0">+F9+F19+F26</f>
        <v>166652</v>
      </c>
      <c r="G8" s="83">
        <f t="shared" si="0"/>
        <v>132772</v>
      </c>
      <c r="H8" s="83">
        <f t="shared" si="0"/>
        <v>171106</v>
      </c>
      <c r="I8" s="83">
        <f t="shared" si="0"/>
        <v>209104</v>
      </c>
      <c r="J8" s="83">
        <f t="shared" si="0"/>
        <v>242525</v>
      </c>
      <c r="K8" s="83">
        <f t="shared" si="0"/>
        <v>163576</v>
      </c>
      <c r="L8" s="83">
        <f t="shared" si="0"/>
        <v>178474</v>
      </c>
      <c r="M8" s="83">
        <f t="shared" si="0"/>
        <v>176656</v>
      </c>
      <c r="N8" s="83">
        <f t="shared" si="0"/>
        <v>164112</v>
      </c>
      <c r="O8" s="83">
        <f t="shared" si="0"/>
        <v>163015</v>
      </c>
      <c r="P8" s="83">
        <f t="shared" si="0"/>
        <v>177451</v>
      </c>
      <c r="Q8" s="83">
        <f t="shared" si="0"/>
        <v>163513</v>
      </c>
      <c r="R8" s="83">
        <f t="shared" si="0"/>
        <v>2108956</v>
      </c>
      <c r="S8" s="76" t="s">
        <v>58</v>
      </c>
    </row>
    <row r="9" spans="1:19" ht="15" customHeight="1" x14ac:dyDescent="0.2">
      <c r="C9" s="76" t="s">
        <v>16</v>
      </c>
      <c r="F9" s="84">
        <f t="shared" ref="F9:R9" si="1">F10+F14+F17</f>
        <v>151565</v>
      </c>
      <c r="G9" s="84">
        <f t="shared" si="1"/>
        <v>117505</v>
      </c>
      <c r="H9" s="84">
        <f t="shared" si="1"/>
        <v>134593</v>
      </c>
      <c r="I9" s="84">
        <f t="shared" si="1"/>
        <v>190119</v>
      </c>
      <c r="J9" s="84">
        <f t="shared" si="1"/>
        <v>156924</v>
      </c>
      <c r="K9" s="84">
        <f t="shared" si="1"/>
        <v>142325</v>
      </c>
      <c r="L9" s="84">
        <f t="shared" si="1"/>
        <v>149378</v>
      </c>
      <c r="M9" s="84">
        <f t="shared" si="1"/>
        <v>167115</v>
      </c>
      <c r="N9" s="84">
        <f t="shared" si="1"/>
        <v>146189</v>
      </c>
      <c r="O9" s="84">
        <f t="shared" si="1"/>
        <v>149327</v>
      </c>
      <c r="P9" s="84">
        <f t="shared" si="1"/>
        <v>165959</v>
      </c>
      <c r="Q9" s="84">
        <f t="shared" si="1"/>
        <v>144476</v>
      </c>
      <c r="R9" s="84">
        <f t="shared" si="1"/>
        <v>1815475</v>
      </c>
    </row>
    <row r="10" spans="1:19" ht="15" customHeight="1" x14ac:dyDescent="0.2">
      <c r="D10" s="76" t="s">
        <v>17</v>
      </c>
      <c r="F10" s="85">
        <v>121134</v>
      </c>
      <c r="G10" s="85">
        <v>88891</v>
      </c>
      <c r="H10" s="85">
        <v>97063</v>
      </c>
      <c r="I10" s="85">
        <v>160777</v>
      </c>
      <c r="J10" s="85">
        <v>128454</v>
      </c>
      <c r="K10" s="85">
        <v>109550</v>
      </c>
      <c r="L10" s="85">
        <v>118193</v>
      </c>
      <c r="M10" s="85">
        <v>138529</v>
      </c>
      <c r="N10" s="85">
        <v>112268</v>
      </c>
      <c r="O10" s="85">
        <v>115761</v>
      </c>
      <c r="P10" s="85">
        <v>136368</v>
      </c>
      <c r="Q10" s="85">
        <v>106314</v>
      </c>
      <c r="R10" s="85">
        <v>1433302</v>
      </c>
    </row>
    <row r="11" spans="1:19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" customHeight="1" x14ac:dyDescent="0.2">
      <c r="E12" s="76" t="s">
        <v>19</v>
      </c>
      <c r="F12" s="85">
        <v>0</v>
      </c>
      <c r="G12" s="85">
        <v>436</v>
      </c>
      <c r="H12" s="85">
        <v>649</v>
      </c>
      <c r="I12" s="85">
        <v>0</v>
      </c>
      <c r="J12" s="85">
        <v>344</v>
      </c>
      <c r="K12" s="85">
        <v>167</v>
      </c>
      <c r="L12" s="85">
        <v>257</v>
      </c>
      <c r="M12" s="85">
        <v>196</v>
      </c>
      <c r="N12" s="85">
        <v>329</v>
      </c>
      <c r="O12" s="85">
        <v>1481</v>
      </c>
      <c r="P12" s="85">
        <v>0</v>
      </c>
      <c r="Q12" s="85">
        <v>251</v>
      </c>
      <c r="R12" s="85">
        <v>4110</v>
      </c>
    </row>
    <row r="13" spans="1:19" ht="15" customHeight="1" x14ac:dyDescent="0.2">
      <c r="E13" s="76" t="s">
        <v>20</v>
      </c>
      <c r="F13" s="85">
        <v>0</v>
      </c>
      <c r="G13" s="85">
        <v>57</v>
      </c>
      <c r="H13" s="85">
        <v>638</v>
      </c>
      <c r="I13" s="85">
        <v>867</v>
      </c>
      <c r="J13" s="85">
        <v>969</v>
      </c>
      <c r="K13" s="85">
        <v>32</v>
      </c>
      <c r="L13" s="85">
        <v>64</v>
      </c>
      <c r="M13" s="85">
        <v>285</v>
      </c>
      <c r="N13" s="85">
        <v>0</v>
      </c>
      <c r="O13" s="85">
        <v>66</v>
      </c>
      <c r="P13" s="85">
        <v>286</v>
      </c>
      <c r="Q13" s="85">
        <v>318</v>
      </c>
      <c r="R13" s="85">
        <v>3582</v>
      </c>
    </row>
    <row r="14" spans="1:19" ht="15" customHeight="1" x14ac:dyDescent="0.2">
      <c r="D14" s="76" t="s">
        <v>21</v>
      </c>
      <c r="F14" s="85">
        <v>29381</v>
      </c>
      <c r="G14" s="85">
        <v>27194</v>
      </c>
      <c r="H14" s="85">
        <v>35717</v>
      </c>
      <c r="I14" s="85">
        <v>28136</v>
      </c>
      <c r="J14" s="85">
        <v>26699</v>
      </c>
      <c r="K14" s="85">
        <v>31522</v>
      </c>
      <c r="L14" s="85">
        <v>30033</v>
      </c>
      <c r="M14" s="85">
        <v>26895</v>
      </c>
      <c r="N14" s="85">
        <v>32651</v>
      </c>
      <c r="O14" s="85">
        <v>32490</v>
      </c>
      <c r="P14" s="85">
        <v>29061</v>
      </c>
      <c r="Q14" s="85">
        <v>37755</v>
      </c>
      <c r="R14" s="85">
        <v>367534</v>
      </c>
    </row>
    <row r="15" spans="1:19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" customHeight="1" x14ac:dyDescent="0.2">
      <c r="E16" s="76" t="s">
        <v>20</v>
      </c>
      <c r="F16" s="85">
        <v>0</v>
      </c>
      <c r="G16" s="85">
        <v>0</v>
      </c>
      <c r="H16" s="85">
        <v>4952</v>
      </c>
      <c r="I16" s="85">
        <v>21</v>
      </c>
      <c r="J16" s="85">
        <v>0</v>
      </c>
      <c r="K16" s="85">
        <v>0</v>
      </c>
      <c r="L16" s="85">
        <v>13</v>
      </c>
      <c r="M16" s="85">
        <v>6</v>
      </c>
      <c r="N16" s="85">
        <v>179</v>
      </c>
      <c r="O16" s="85">
        <v>0</v>
      </c>
      <c r="P16" s="85">
        <v>130</v>
      </c>
      <c r="Q16" s="85">
        <v>4828</v>
      </c>
      <c r="R16" s="85">
        <v>10129</v>
      </c>
    </row>
    <row r="17" spans="2:19" ht="15" customHeight="1" x14ac:dyDescent="0.2">
      <c r="D17" s="76" t="s">
        <v>88</v>
      </c>
      <c r="F17" s="85">
        <v>1050</v>
      </c>
      <c r="G17" s="85">
        <v>1420</v>
      </c>
      <c r="H17" s="85">
        <v>1813</v>
      </c>
      <c r="I17" s="85">
        <v>1206</v>
      </c>
      <c r="J17" s="85">
        <v>1771</v>
      </c>
      <c r="K17" s="85">
        <v>1253</v>
      </c>
      <c r="L17" s="85">
        <v>1152</v>
      </c>
      <c r="M17" s="85">
        <v>1691</v>
      </c>
      <c r="N17" s="85">
        <v>1270</v>
      </c>
      <c r="O17" s="85">
        <v>1076</v>
      </c>
      <c r="P17" s="85">
        <v>530</v>
      </c>
      <c r="Q17" s="85">
        <v>407</v>
      </c>
      <c r="R17" s="85">
        <v>14639</v>
      </c>
    </row>
    <row r="18" spans="2:19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</row>
    <row r="19" spans="2:19" ht="15" customHeight="1" x14ac:dyDescent="0.2">
      <c r="C19" s="76" t="s">
        <v>23</v>
      </c>
      <c r="F19" s="84">
        <f t="shared" ref="F19:R19" si="2">SUM(F20:F24)</f>
        <v>15036</v>
      </c>
      <c r="G19" s="84">
        <f t="shared" si="2"/>
        <v>15229</v>
      </c>
      <c r="H19" s="84">
        <f t="shared" si="2"/>
        <v>36487</v>
      </c>
      <c r="I19" s="84">
        <f t="shared" si="2"/>
        <v>18983</v>
      </c>
      <c r="J19" s="84">
        <f t="shared" si="2"/>
        <v>85600</v>
      </c>
      <c r="K19" s="84">
        <f t="shared" si="2"/>
        <v>21251</v>
      </c>
      <c r="L19" s="84">
        <f t="shared" si="2"/>
        <v>29094</v>
      </c>
      <c r="M19" s="84">
        <f t="shared" si="2"/>
        <v>9541</v>
      </c>
      <c r="N19" s="84">
        <f t="shared" si="2"/>
        <v>17900</v>
      </c>
      <c r="O19" s="84">
        <f t="shared" si="2"/>
        <v>13685</v>
      </c>
      <c r="P19" s="84">
        <f t="shared" si="2"/>
        <v>11482</v>
      </c>
      <c r="Q19" s="84">
        <f t="shared" si="2"/>
        <v>19029</v>
      </c>
      <c r="R19" s="84">
        <f t="shared" si="2"/>
        <v>293317</v>
      </c>
      <c r="S19" s="76" t="s">
        <v>58</v>
      </c>
    </row>
    <row r="20" spans="2:19" ht="15" customHeight="1" x14ac:dyDescent="0.2">
      <c r="D20" s="76" t="s">
        <v>24</v>
      </c>
      <c r="F20" s="85">
        <v>8928</v>
      </c>
      <c r="G20" s="85">
        <v>4377</v>
      </c>
      <c r="H20" s="85">
        <v>24569</v>
      </c>
      <c r="I20" s="85">
        <v>11579</v>
      </c>
      <c r="J20" s="85">
        <v>10952</v>
      </c>
      <c r="K20" s="85">
        <v>6630</v>
      </c>
      <c r="L20" s="85">
        <v>14185</v>
      </c>
      <c r="M20" s="85">
        <v>2683</v>
      </c>
      <c r="N20" s="85">
        <v>7952</v>
      </c>
      <c r="O20" s="85">
        <v>5585</v>
      </c>
      <c r="P20" s="85">
        <v>3101</v>
      </c>
      <c r="Q20" s="85">
        <v>9494</v>
      </c>
      <c r="R20" s="85">
        <f>SUM(F20:Q20)</f>
        <v>110035</v>
      </c>
    </row>
    <row r="21" spans="2:19" ht="15" customHeight="1" x14ac:dyDescent="0.2">
      <c r="D21" s="76" t="s">
        <v>89</v>
      </c>
      <c r="F21" s="85">
        <v>1736</v>
      </c>
      <c r="G21" s="85">
        <v>3710</v>
      </c>
      <c r="H21" s="85">
        <v>2596</v>
      </c>
      <c r="I21" s="85">
        <v>3265</v>
      </c>
      <c r="J21" s="85">
        <v>4091</v>
      </c>
      <c r="K21" s="85">
        <v>2562</v>
      </c>
      <c r="L21" s="85">
        <v>2358</v>
      </c>
      <c r="M21" s="85">
        <v>3231</v>
      </c>
      <c r="N21" s="85">
        <v>2987</v>
      </c>
      <c r="O21" s="85">
        <v>5520</v>
      </c>
      <c r="P21" s="85">
        <v>2188</v>
      </c>
      <c r="Q21" s="85">
        <v>2161</v>
      </c>
      <c r="R21" s="85">
        <f>SUM(F21:Q21)</f>
        <v>36405</v>
      </c>
      <c r="S21" s="85"/>
    </row>
    <row r="22" spans="2:19" ht="15" customHeight="1" x14ac:dyDescent="0.2">
      <c r="D22" s="76" t="s">
        <v>26</v>
      </c>
      <c r="F22" s="85">
        <v>142</v>
      </c>
      <c r="G22" s="85">
        <v>0</v>
      </c>
      <c r="H22" s="85">
        <v>42</v>
      </c>
      <c r="I22" s="85">
        <v>0</v>
      </c>
      <c r="J22" s="85">
        <v>60071</v>
      </c>
      <c r="K22" s="85">
        <v>2351</v>
      </c>
      <c r="L22" s="85">
        <v>126</v>
      </c>
      <c r="M22" s="85">
        <v>0</v>
      </c>
      <c r="N22" s="85">
        <v>15</v>
      </c>
      <c r="O22" s="85">
        <v>0</v>
      </c>
      <c r="P22" s="85">
        <v>9</v>
      </c>
      <c r="Q22" s="85">
        <v>27</v>
      </c>
      <c r="R22" s="85">
        <f>SUM(F22:Q22)</f>
        <v>62783</v>
      </c>
    </row>
    <row r="23" spans="2:19" ht="15" customHeight="1" x14ac:dyDescent="0.2">
      <c r="D23" s="6" t="s">
        <v>27</v>
      </c>
      <c r="F23" s="85">
        <v>2211.71</v>
      </c>
      <c r="G23" s="85">
        <v>1833.998</v>
      </c>
      <c r="H23" s="85">
        <v>1455.498</v>
      </c>
      <c r="I23" s="85">
        <v>1614.933</v>
      </c>
      <c r="J23" s="85">
        <v>679.88599999999997</v>
      </c>
      <c r="K23" s="85">
        <v>310.89999999999998</v>
      </c>
      <c r="L23" s="85">
        <v>1257.79</v>
      </c>
      <c r="M23" s="85">
        <v>1073.5319999999999</v>
      </c>
      <c r="N23" s="85">
        <v>694.70600000000002</v>
      </c>
      <c r="O23" s="85">
        <v>1044.8130000000001</v>
      </c>
      <c r="P23" s="85">
        <v>1045.4949999999999</v>
      </c>
      <c r="Q23" s="85">
        <v>1097.357</v>
      </c>
      <c r="R23" s="85">
        <f>SUM(F23:Q23)</f>
        <v>14320.617999999999</v>
      </c>
      <c r="S23" s="85"/>
    </row>
    <row r="24" spans="2:19" ht="15" customHeight="1" x14ac:dyDescent="0.2">
      <c r="D24" s="6" t="s">
        <v>28</v>
      </c>
      <c r="F24" s="85">
        <v>2018.29</v>
      </c>
      <c r="G24" s="85">
        <v>5308.0020000000004</v>
      </c>
      <c r="H24" s="85">
        <v>7824.5020000000004</v>
      </c>
      <c r="I24" s="85">
        <v>2524.067</v>
      </c>
      <c r="J24" s="85">
        <v>9806.1139999999996</v>
      </c>
      <c r="K24" s="85">
        <v>9397.1</v>
      </c>
      <c r="L24" s="85">
        <v>11167.21</v>
      </c>
      <c r="M24" s="85">
        <v>2553.4679999999998</v>
      </c>
      <c r="N24" s="85">
        <v>6251.2939999999999</v>
      </c>
      <c r="O24" s="85">
        <v>1535.1869999999999</v>
      </c>
      <c r="P24" s="85">
        <v>5138.5050000000001</v>
      </c>
      <c r="Q24" s="85">
        <v>6249.643</v>
      </c>
      <c r="R24" s="85">
        <f>SUM(F24:Q24)</f>
        <v>69773.381999999998</v>
      </c>
    </row>
    <row r="25" spans="2:19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 t="s">
        <v>58</v>
      </c>
      <c r="P25" s="85"/>
      <c r="Q25" s="85"/>
      <c r="R25" s="85"/>
    </row>
    <row r="26" spans="2:19" ht="15" customHeight="1" x14ac:dyDescent="0.2">
      <c r="C26" s="76" t="s">
        <v>29</v>
      </c>
      <c r="F26" s="85">
        <v>51</v>
      </c>
      <c r="G26" s="85">
        <v>38</v>
      </c>
      <c r="H26" s="85">
        <v>26</v>
      </c>
      <c r="I26" s="85">
        <v>2</v>
      </c>
      <c r="J26" s="85">
        <v>1</v>
      </c>
      <c r="K26" s="85">
        <v>0</v>
      </c>
      <c r="L26" s="85">
        <v>2</v>
      </c>
      <c r="M26" s="85">
        <v>0</v>
      </c>
      <c r="N26" s="85">
        <v>23</v>
      </c>
      <c r="O26" s="85">
        <v>3</v>
      </c>
      <c r="P26" s="85">
        <v>10</v>
      </c>
      <c r="Q26" s="85">
        <v>8</v>
      </c>
      <c r="R26" s="85">
        <v>164</v>
      </c>
    </row>
    <row r="27" spans="2:19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19" ht="15" customHeight="1" x14ac:dyDescent="0.25">
      <c r="B28" s="82" t="s">
        <v>30</v>
      </c>
      <c r="C28" s="82"/>
      <c r="D28" s="82"/>
      <c r="E28" s="82"/>
      <c r="F28" s="83">
        <f t="shared" ref="F28:Q28" si="3">SUM(F30:F36)</f>
        <v>173124</v>
      </c>
      <c r="G28" s="83">
        <f t="shared" si="3"/>
        <v>142445</v>
      </c>
      <c r="H28" s="83">
        <f t="shared" si="3"/>
        <v>188478</v>
      </c>
      <c r="I28" s="83">
        <f t="shared" si="3"/>
        <v>156505</v>
      </c>
      <c r="J28" s="83">
        <f t="shared" si="3"/>
        <v>175188</v>
      </c>
      <c r="K28" s="83">
        <f t="shared" si="3"/>
        <v>236249</v>
      </c>
      <c r="L28" s="83">
        <f t="shared" si="3"/>
        <v>210672</v>
      </c>
      <c r="M28" s="83">
        <f t="shared" si="3"/>
        <v>161616</v>
      </c>
      <c r="N28" s="83">
        <f t="shared" si="3"/>
        <v>186252</v>
      </c>
      <c r="O28" s="83">
        <f t="shared" si="3"/>
        <v>190037</v>
      </c>
      <c r="P28" s="83">
        <f t="shared" si="3"/>
        <v>171422</v>
      </c>
      <c r="Q28" s="83">
        <f t="shared" si="3"/>
        <v>238657</v>
      </c>
      <c r="R28" s="83">
        <f>SUM(F28:Q28)</f>
        <v>2230645</v>
      </c>
      <c r="S28" s="85" t="s">
        <v>58</v>
      </c>
    </row>
    <row r="29" spans="2:19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 t="s">
        <v>58</v>
      </c>
    </row>
    <row r="30" spans="2:19" ht="15" customHeight="1" x14ac:dyDescent="0.2">
      <c r="D30" s="76" t="s">
        <v>31</v>
      </c>
      <c r="F30" s="85">
        <v>32489</v>
      </c>
      <c r="G30" s="85">
        <v>32286</v>
      </c>
      <c r="H30" s="85">
        <v>32291</v>
      </c>
      <c r="I30" s="85">
        <v>32277</v>
      </c>
      <c r="J30" s="85">
        <v>32277</v>
      </c>
      <c r="K30" s="85">
        <v>32277</v>
      </c>
      <c r="L30" s="85">
        <v>32277</v>
      </c>
      <c r="M30" s="85">
        <v>32277</v>
      </c>
      <c r="N30" s="85">
        <v>32277</v>
      </c>
      <c r="O30" s="85">
        <v>32277</v>
      </c>
      <c r="P30" s="85">
        <v>32277</v>
      </c>
      <c r="Q30" s="85">
        <v>32277</v>
      </c>
      <c r="R30" s="85">
        <f t="shared" ref="R30:R36" si="4">SUM(F30:Q30)</f>
        <v>387559</v>
      </c>
      <c r="S30" s="85"/>
    </row>
    <row r="31" spans="2:19" ht="15" customHeight="1" x14ac:dyDescent="0.2">
      <c r="D31" s="76" t="s">
        <v>32</v>
      </c>
      <c r="F31" s="85">
        <v>51391</v>
      </c>
      <c r="G31" s="85">
        <v>18902</v>
      </c>
      <c r="H31" s="85">
        <v>30321</v>
      </c>
      <c r="I31" s="85">
        <v>15677</v>
      </c>
      <c r="J31" s="85">
        <v>20626</v>
      </c>
      <c r="K31" s="85">
        <v>19205</v>
      </c>
      <c r="L31" s="85">
        <v>53078</v>
      </c>
      <c r="M31" s="85">
        <v>16457</v>
      </c>
      <c r="N31" s="85">
        <v>30094</v>
      </c>
      <c r="O31" s="85">
        <v>16144</v>
      </c>
      <c r="P31" s="85">
        <v>15992</v>
      </c>
      <c r="Q31" s="85">
        <v>21477</v>
      </c>
      <c r="R31" s="85">
        <f t="shared" si="4"/>
        <v>309364</v>
      </c>
      <c r="S31" s="85"/>
    </row>
    <row r="32" spans="2:19" ht="15" customHeight="1" x14ac:dyDescent="0.2">
      <c r="D32" s="76" t="s">
        <v>33</v>
      </c>
      <c r="F32" s="85">
        <v>0</v>
      </c>
      <c r="G32" s="85">
        <v>493</v>
      </c>
      <c r="H32" s="85">
        <v>6239</v>
      </c>
      <c r="I32" s="85">
        <v>888</v>
      </c>
      <c r="J32" s="85">
        <v>1313</v>
      </c>
      <c r="K32" s="85">
        <v>199</v>
      </c>
      <c r="L32" s="85">
        <v>334</v>
      </c>
      <c r="M32" s="85">
        <v>487</v>
      </c>
      <c r="N32" s="85">
        <v>508</v>
      </c>
      <c r="O32" s="85">
        <v>1547</v>
      </c>
      <c r="P32" s="85">
        <v>416</v>
      </c>
      <c r="Q32" s="85">
        <v>5397</v>
      </c>
      <c r="R32" s="85">
        <f t="shared" si="4"/>
        <v>17821</v>
      </c>
    </row>
    <row r="33" spans="2:19" ht="15" customHeight="1" x14ac:dyDescent="0.2">
      <c r="D33" s="76" t="s">
        <v>78</v>
      </c>
      <c r="F33" s="85">
        <v>145</v>
      </c>
      <c r="G33" s="85">
        <v>685</v>
      </c>
      <c r="H33" s="85">
        <v>2862</v>
      </c>
      <c r="I33" s="85">
        <v>785</v>
      </c>
      <c r="J33" s="85">
        <v>4546</v>
      </c>
      <c r="K33" s="85">
        <v>34947</v>
      </c>
      <c r="L33" s="85">
        <v>2318</v>
      </c>
      <c r="M33" s="85">
        <v>8802</v>
      </c>
      <c r="N33" s="85">
        <v>729</v>
      </c>
      <c r="O33" s="85">
        <v>6480</v>
      </c>
      <c r="P33" s="85">
        <v>3707</v>
      </c>
      <c r="Q33" s="85">
        <v>12007</v>
      </c>
      <c r="R33" s="85">
        <f t="shared" si="4"/>
        <v>78013</v>
      </c>
      <c r="S33" s="85"/>
    </row>
    <row r="34" spans="2:19" ht="15" customHeight="1" x14ac:dyDescent="0.2">
      <c r="D34" s="76" t="s">
        <v>35</v>
      </c>
      <c r="F34" s="85">
        <v>0</v>
      </c>
      <c r="G34" s="85">
        <v>15</v>
      </c>
      <c r="H34" s="85">
        <v>131</v>
      </c>
      <c r="I34" s="85">
        <v>146</v>
      </c>
      <c r="J34" s="85">
        <v>0</v>
      </c>
      <c r="K34" s="85">
        <v>25</v>
      </c>
      <c r="L34" s="85">
        <v>0</v>
      </c>
      <c r="M34" s="85">
        <v>19</v>
      </c>
      <c r="N34" s="85">
        <v>0</v>
      </c>
      <c r="O34" s="85">
        <v>176</v>
      </c>
      <c r="P34" s="85">
        <v>25</v>
      </c>
      <c r="Q34" s="85">
        <v>230</v>
      </c>
      <c r="R34" s="85">
        <f t="shared" si="4"/>
        <v>767</v>
      </c>
    </row>
    <row r="35" spans="2:19" ht="15" customHeight="1" x14ac:dyDescent="0.2">
      <c r="D35" s="76" t="s">
        <v>79</v>
      </c>
      <c r="F35" s="85">
        <v>850</v>
      </c>
      <c r="G35" s="85">
        <v>217</v>
      </c>
      <c r="H35" s="85">
        <v>1151</v>
      </c>
      <c r="I35" s="85">
        <v>436</v>
      </c>
      <c r="J35" s="85">
        <v>342</v>
      </c>
      <c r="K35" s="85">
        <v>-337</v>
      </c>
      <c r="L35" s="85">
        <v>267</v>
      </c>
      <c r="M35" s="85">
        <v>162</v>
      </c>
      <c r="N35" s="85">
        <v>1404</v>
      </c>
      <c r="O35" s="85">
        <v>4404</v>
      </c>
      <c r="P35" s="85">
        <v>380</v>
      </c>
      <c r="Q35" s="85">
        <v>420</v>
      </c>
      <c r="R35" s="85">
        <f t="shared" si="4"/>
        <v>9696</v>
      </c>
    </row>
    <row r="36" spans="2:19" ht="15" customHeight="1" x14ac:dyDescent="0.2">
      <c r="D36" s="6" t="s">
        <v>80</v>
      </c>
      <c r="F36" s="85">
        <v>88249</v>
      </c>
      <c r="G36" s="85">
        <v>89847</v>
      </c>
      <c r="H36" s="85">
        <v>115483</v>
      </c>
      <c r="I36" s="85">
        <v>106296</v>
      </c>
      <c r="J36" s="85">
        <v>116084</v>
      </c>
      <c r="K36" s="85">
        <v>149933</v>
      </c>
      <c r="L36" s="85">
        <v>122398</v>
      </c>
      <c r="M36" s="85">
        <v>103412</v>
      </c>
      <c r="N36" s="85">
        <v>121240</v>
      </c>
      <c r="O36" s="85">
        <v>129009</v>
      </c>
      <c r="P36" s="85">
        <v>118625</v>
      </c>
      <c r="Q36" s="85">
        <v>166849</v>
      </c>
      <c r="R36" s="85">
        <f t="shared" si="4"/>
        <v>1427425</v>
      </c>
      <c r="S36" s="85"/>
    </row>
    <row r="37" spans="2:19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5"/>
      <c r="S37" s="85"/>
    </row>
    <row r="38" spans="2:19" ht="15" customHeight="1" x14ac:dyDescent="0.25">
      <c r="B38" s="82" t="s">
        <v>38</v>
      </c>
      <c r="C38" s="82"/>
      <c r="D38" s="82"/>
      <c r="E38" s="82"/>
      <c r="F38" s="88">
        <f t="shared" ref="F38:Q38" si="5">+F8-F28</f>
        <v>-6472</v>
      </c>
      <c r="G38" s="88">
        <f t="shared" si="5"/>
        <v>-9673</v>
      </c>
      <c r="H38" s="88">
        <f t="shared" si="5"/>
        <v>-17372</v>
      </c>
      <c r="I38" s="88">
        <f t="shared" si="5"/>
        <v>52599</v>
      </c>
      <c r="J38" s="88">
        <f t="shared" si="5"/>
        <v>67337</v>
      </c>
      <c r="K38" s="88">
        <f t="shared" si="5"/>
        <v>-72673</v>
      </c>
      <c r="L38" s="88">
        <f t="shared" si="5"/>
        <v>-32198</v>
      </c>
      <c r="M38" s="88">
        <f t="shared" si="5"/>
        <v>15040</v>
      </c>
      <c r="N38" s="88">
        <f t="shared" si="5"/>
        <v>-22140</v>
      </c>
      <c r="O38" s="88">
        <f t="shared" si="5"/>
        <v>-27022</v>
      </c>
      <c r="P38" s="88">
        <f t="shared" si="5"/>
        <v>6029</v>
      </c>
      <c r="Q38" s="88">
        <f t="shared" si="5"/>
        <v>-75144</v>
      </c>
      <c r="R38" s="88">
        <f>SUM(F38:Q38)</f>
        <v>-121689</v>
      </c>
    </row>
    <row r="39" spans="2:19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19" ht="15" customHeight="1" x14ac:dyDescent="0.25">
      <c r="B40" s="82" t="s">
        <v>39</v>
      </c>
      <c r="C40" s="82"/>
      <c r="D40" s="82"/>
      <c r="E40" s="82"/>
      <c r="F40" s="83">
        <v>-23528</v>
      </c>
      <c r="G40" s="83">
        <v>21790</v>
      </c>
      <c r="H40" s="83">
        <v>-7570</v>
      </c>
      <c r="I40" s="83">
        <v>-6370</v>
      </c>
      <c r="J40" s="83">
        <v>802</v>
      </c>
      <c r="K40" s="83">
        <v>30319</v>
      </c>
      <c r="L40" s="83">
        <v>19897</v>
      </c>
      <c r="M40" s="83">
        <v>24441</v>
      </c>
      <c r="N40" s="83">
        <v>16361</v>
      </c>
      <c r="O40" s="83">
        <v>30111</v>
      </c>
      <c r="P40" s="83">
        <v>-7166</v>
      </c>
      <c r="Q40" s="83">
        <v>-6236</v>
      </c>
      <c r="R40" s="83">
        <v>92851</v>
      </c>
    </row>
    <row r="41" spans="2:19" ht="15" customHeight="1" x14ac:dyDescent="0.2">
      <c r="C41" s="76" t="s">
        <v>40</v>
      </c>
      <c r="F41" s="84">
        <v>34497</v>
      </c>
      <c r="G41" s="84">
        <v>11468</v>
      </c>
      <c r="H41" s="84">
        <v>-23360</v>
      </c>
      <c r="I41" s="84">
        <v>22471</v>
      </c>
      <c r="J41" s="84">
        <v>-4516</v>
      </c>
      <c r="K41" s="84">
        <v>10287</v>
      </c>
      <c r="L41" s="84">
        <v>3647</v>
      </c>
      <c r="M41" s="84">
        <v>-449</v>
      </c>
      <c r="N41" s="84">
        <v>-3755</v>
      </c>
      <c r="O41" s="84">
        <v>15984</v>
      </c>
      <c r="P41" s="84">
        <v>-5647</v>
      </c>
      <c r="Q41" s="84">
        <v>4155</v>
      </c>
      <c r="R41" s="84">
        <v>64782</v>
      </c>
      <c r="S41" s="85"/>
    </row>
    <row r="42" spans="2:19" ht="15" customHeight="1" x14ac:dyDescent="0.2">
      <c r="D42" s="76" t="s">
        <v>41</v>
      </c>
      <c r="F42" s="85">
        <v>35765</v>
      </c>
      <c r="G42" s="85">
        <v>15266</v>
      </c>
      <c r="H42" s="85">
        <v>3362</v>
      </c>
      <c r="I42" s="85">
        <v>25284</v>
      </c>
      <c r="J42" s="85">
        <v>760</v>
      </c>
      <c r="K42" s="85">
        <v>14960</v>
      </c>
      <c r="L42" s="85">
        <v>5444</v>
      </c>
      <c r="M42" s="85">
        <v>3282</v>
      </c>
      <c r="N42" s="85">
        <v>914</v>
      </c>
      <c r="O42" s="85">
        <v>18888</v>
      </c>
      <c r="P42" s="85">
        <v>786</v>
      </c>
      <c r="Q42" s="85">
        <v>10118</v>
      </c>
      <c r="R42" s="85">
        <v>134829</v>
      </c>
    </row>
    <row r="43" spans="2:19" ht="15" customHeight="1" x14ac:dyDescent="0.2">
      <c r="D43" s="76" t="s">
        <v>98</v>
      </c>
      <c r="F43" s="85">
        <v>1268</v>
      </c>
      <c r="G43" s="85">
        <v>3798</v>
      </c>
      <c r="H43" s="85">
        <v>26722</v>
      </c>
      <c r="I43" s="85">
        <v>2813</v>
      </c>
      <c r="J43" s="85">
        <v>5276</v>
      </c>
      <c r="K43" s="85">
        <v>4673</v>
      </c>
      <c r="L43" s="85">
        <v>1797</v>
      </c>
      <c r="M43" s="85">
        <v>3731</v>
      </c>
      <c r="N43" s="85">
        <v>4669</v>
      </c>
      <c r="O43" s="85">
        <v>2904</v>
      </c>
      <c r="P43" s="85">
        <v>6433</v>
      </c>
      <c r="Q43" s="85">
        <v>5963</v>
      </c>
      <c r="R43" s="85">
        <v>70047</v>
      </c>
    </row>
    <row r="44" spans="2:19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19" ht="15" customHeight="1" x14ac:dyDescent="0.2">
      <c r="C45" s="76" t="s">
        <v>43</v>
      </c>
      <c r="F45" s="84">
        <v>-58025</v>
      </c>
      <c r="G45" s="84">
        <v>10322</v>
      </c>
      <c r="H45" s="84">
        <v>15790</v>
      </c>
      <c r="I45" s="84">
        <v>-28841</v>
      </c>
      <c r="J45" s="84">
        <v>5318</v>
      </c>
      <c r="K45" s="84">
        <v>20032</v>
      </c>
      <c r="L45" s="84">
        <v>16250</v>
      </c>
      <c r="M45" s="84">
        <v>24890</v>
      </c>
      <c r="N45" s="84">
        <v>20116</v>
      </c>
      <c r="O45" s="84">
        <v>14127</v>
      </c>
      <c r="P45" s="84">
        <v>-1519</v>
      </c>
      <c r="Q45" s="84">
        <v>-10391</v>
      </c>
      <c r="R45" s="84">
        <v>28069</v>
      </c>
    </row>
    <row r="46" spans="2:19" ht="15" customHeight="1" x14ac:dyDescent="0.2">
      <c r="D46" s="76" t="s">
        <v>44</v>
      </c>
      <c r="F46" s="85">
        <v>7890</v>
      </c>
      <c r="G46" s="85">
        <v>12000</v>
      </c>
      <c r="H46" s="85">
        <v>26600</v>
      </c>
      <c r="I46" s="85">
        <v>2460</v>
      </c>
      <c r="J46" s="85">
        <v>21385</v>
      </c>
      <c r="K46" s="85">
        <v>20515</v>
      </c>
      <c r="L46" s="85">
        <v>27945</v>
      </c>
      <c r="M46" s="85">
        <v>29340</v>
      </c>
      <c r="N46" s="85">
        <v>26764</v>
      </c>
      <c r="O46" s="85">
        <v>14880</v>
      </c>
      <c r="P46" s="85">
        <v>2554</v>
      </c>
      <c r="Q46" s="85">
        <v>-9535</v>
      </c>
      <c r="R46" s="85">
        <v>182798</v>
      </c>
    </row>
    <row r="47" spans="2:19" ht="15" customHeight="1" x14ac:dyDescent="0.2">
      <c r="D47" s="76" t="s">
        <v>98</v>
      </c>
      <c r="F47" s="85">
        <v>65915</v>
      </c>
      <c r="G47" s="85">
        <v>1678</v>
      </c>
      <c r="H47" s="85">
        <v>10810</v>
      </c>
      <c r="I47" s="85">
        <v>31301</v>
      </c>
      <c r="J47" s="85">
        <v>16067</v>
      </c>
      <c r="K47" s="85">
        <v>483</v>
      </c>
      <c r="L47" s="85">
        <v>11695</v>
      </c>
      <c r="M47" s="85">
        <v>4450</v>
      </c>
      <c r="N47" s="85">
        <v>6648</v>
      </c>
      <c r="O47" s="85">
        <v>753</v>
      </c>
      <c r="P47" s="85">
        <v>4073</v>
      </c>
      <c r="Q47" s="85">
        <v>856</v>
      </c>
      <c r="R47" s="85">
        <v>154729</v>
      </c>
    </row>
    <row r="48" spans="2:19" ht="15" customHeight="1" x14ac:dyDescent="0.2"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8" ht="15" customHeight="1" x14ac:dyDescent="0.25">
      <c r="B49" s="82" t="s">
        <v>47</v>
      </c>
      <c r="C49" s="82"/>
      <c r="D49" s="82"/>
      <c r="E49" s="82"/>
      <c r="F49" s="83">
        <v>68897</v>
      </c>
      <c r="G49" s="83">
        <v>-4867</v>
      </c>
      <c r="H49" s="83">
        <v>-33290</v>
      </c>
      <c r="I49" s="83">
        <v>107139</v>
      </c>
      <c r="J49" s="83">
        <v>-5629</v>
      </c>
      <c r="K49" s="83">
        <v>-71700</v>
      </c>
      <c r="L49" s="83">
        <v>17213</v>
      </c>
      <c r="M49" s="83">
        <v>24235</v>
      </c>
      <c r="N49" s="83">
        <v>-18082</v>
      </c>
      <c r="O49" s="83">
        <v>1877</v>
      </c>
      <c r="P49" s="83">
        <v>-7830</v>
      </c>
      <c r="Q49" s="83">
        <v>-79543</v>
      </c>
      <c r="R49" s="83">
        <v>-1580</v>
      </c>
    </row>
    <row r="50" spans="1:18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 x14ac:dyDescent="0.2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</row>
    <row r="52" spans="1:18" x14ac:dyDescent="0.2">
      <c r="B52" s="79" t="s">
        <v>48</v>
      </c>
    </row>
    <row r="53" spans="1:18" x14ac:dyDescent="0.2">
      <c r="B53" s="79"/>
      <c r="C53" s="86" t="s">
        <v>99</v>
      </c>
    </row>
    <row r="54" spans="1:18" x14ac:dyDescent="0.2">
      <c r="B54" s="86"/>
      <c r="C54" s="86" t="s">
        <v>100</v>
      </c>
    </row>
    <row r="55" spans="1:18" x14ac:dyDescent="0.2">
      <c r="A55" s="86"/>
    </row>
    <row r="56" spans="1:18" x14ac:dyDescent="0.2">
      <c r="B56" s="86" t="s">
        <v>52</v>
      </c>
    </row>
    <row r="57" spans="1:18" x14ac:dyDescent="0.2">
      <c r="B57" s="86" t="s">
        <v>94</v>
      </c>
    </row>
  </sheetData>
  <mergeCells count="1">
    <mergeCell ref="B6:E6"/>
  </mergeCells>
  <printOptions horizontalCentered="1"/>
  <pageMargins left="0.23611111111111099" right="0.23611111111111099" top="1.10208333333333" bottom="0" header="0.51180555555555596" footer="0.511811023622047"/>
  <pageSetup paperSize="9" orientation="portrait" horizontalDpi="300" verticalDpi="300"/>
  <headerFooter>
    <oddHeader>&amp;C&amp;"Arial,Bold"&amp;9BUREAU OF THE TREASURY
&amp;"Arial,Italic"Statistical Data Analysis Division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MJ59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P34" sqref="P34"/>
    </sheetView>
  </sheetViews>
  <sheetFormatPr defaultColWidth="9.140625" defaultRowHeight="14.25" x14ac:dyDescent="0.2"/>
  <cols>
    <col min="1" max="1" width="1.7109375" style="76" customWidth="1"/>
    <col min="2" max="2" width="1.5703125" style="76" customWidth="1"/>
    <col min="3" max="3" width="1.85546875" style="76" customWidth="1"/>
    <col min="4" max="4" width="2.140625" style="76" customWidth="1"/>
    <col min="5" max="5" width="33.42578125" style="76" customWidth="1"/>
    <col min="6" max="17" width="9.42578125" style="76" customWidth="1"/>
    <col min="18" max="18" width="10.85546875" style="76" customWidth="1"/>
    <col min="19" max="1024" width="9.140625" style="76"/>
  </cols>
  <sheetData>
    <row r="1" spans="1:19" ht="15" x14ac:dyDescent="0.25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104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93" t="s">
        <v>55</v>
      </c>
      <c r="B4" s="78"/>
    </row>
    <row r="5" spans="1:19" ht="6" customHeight="1" x14ac:dyDescent="0.2"/>
    <row r="6" spans="1:19" ht="21" customHeight="1" x14ac:dyDescent="0.2">
      <c r="A6" s="94"/>
      <c r="B6" s="185" t="s">
        <v>3</v>
      </c>
      <c r="C6" s="185"/>
      <c r="D6" s="185"/>
      <c r="E6" s="185"/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56</v>
      </c>
      <c r="Q6" s="1" t="s">
        <v>57</v>
      </c>
      <c r="R6" s="1" t="s">
        <v>14</v>
      </c>
    </row>
    <row r="7" spans="1:19" ht="15" customHeight="1" x14ac:dyDescent="0.2"/>
    <row r="8" spans="1:19" ht="15" customHeight="1" x14ac:dyDescent="0.25">
      <c r="B8" s="82" t="s">
        <v>15</v>
      </c>
      <c r="C8" s="82"/>
      <c r="D8" s="82"/>
      <c r="E8" s="82"/>
      <c r="F8" s="83">
        <f t="shared" ref="F8:R8" si="0">F9+F19+F26</f>
        <v>166652</v>
      </c>
      <c r="G8" s="83">
        <f t="shared" si="0"/>
        <v>132772</v>
      </c>
      <c r="H8" s="83">
        <f t="shared" si="0"/>
        <v>171106</v>
      </c>
      <c r="I8" s="83">
        <f t="shared" si="0"/>
        <v>209104</v>
      </c>
      <c r="J8" s="83">
        <f t="shared" si="0"/>
        <v>242525</v>
      </c>
      <c r="K8" s="83">
        <f t="shared" si="0"/>
        <v>163576</v>
      </c>
      <c r="L8" s="83">
        <f t="shared" si="0"/>
        <v>178474</v>
      </c>
      <c r="M8" s="83">
        <f t="shared" si="0"/>
        <v>176656</v>
      </c>
      <c r="N8" s="83">
        <f t="shared" si="0"/>
        <v>164112</v>
      </c>
      <c r="O8" s="83">
        <f t="shared" si="0"/>
        <v>163015</v>
      </c>
      <c r="P8" s="83">
        <f t="shared" si="0"/>
        <v>177451</v>
      </c>
      <c r="Q8" s="83">
        <f t="shared" si="0"/>
        <v>163513</v>
      </c>
      <c r="R8" s="83">
        <f t="shared" si="0"/>
        <v>2108956</v>
      </c>
      <c r="S8" s="76" t="s">
        <v>58</v>
      </c>
    </row>
    <row r="9" spans="1:19" ht="15" customHeight="1" x14ac:dyDescent="0.2">
      <c r="C9" s="76" t="s">
        <v>16</v>
      </c>
      <c r="F9" s="84">
        <f t="shared" ref="F9:R9" si="1">F10+F14+F17</f>
        <v>151565</v>
      </c>
      <c r="G9" s="84">
        <f t="shared" si="1"/>
        <v>117505</v>
      </c>
      <c r="H9" s="84">
        <f t="shared" si="1"/>
        <v>134593</v>
      </c>
      <c r="I9" s="84">
        <f t="shared" si="1"/>
        <v>190119</v>
      </c>
      <c r="J9" s="84">
        <f t="shared" si="1"/>
        <v>156924</v>
      </c>
      <c r="K9" s="84">
        <f t="shared" si="1"/>
        <v>142325</v>
      </c>
      <c r="L9" s="84">
        <f t="shared" si="1"/>
        <v>149378</v>
      </c>
      <c r="M9" s="84">
        <f t="shared" si="1"/>
        <v>167115</v>
      </c>
      <c r="N9" s="84">
        <f t="shared" si="1"/>
        <v>146189</v>
      </c>
      <c r="O9" s="84">
        <f t="shared" si="1"/>
        <v>149327</v>
      </c>
      <c r="P9" s="84">
        <f t="shared" si="1"/>
        <v>165959</v>
      </c>
      <c r="Q9" s="84">
        <f t="shared" si="1"/>
        <v>144476</v>
      </c>
      <c r="R9" s="84">
        <f t="shared" si="1"/>
        <v>1815475</v>
      </c>
    </row>
    <row r="10" spans="1:19" ht="15" customHeight="1" x14ac:dyDescent="0.2">
      <c r="D10" s="76" t="s">
        <v>17</v>
      </c>
      <c r="F10" s="85">
        <v>121134</v>
      </c>
      <c r="G10" s="85">
        <v>88891</v>
      </c>
      <c r="H10" s="85">
        <v>97063</v>
      </c>
      <c r="I10" s="85">
        <v>160777</v>
      </c>
      <c r="J10" s="85">
        <v>128454</v>
      </c>
      <c r="K10" s="85">
        <v>109550</v>
      </c>
      <c r="L10" s="85">
        <v>118193</v>
      </c>
      <c r="M10" s="85">
        <v>138529</v>
      </c>
      <c r="N10" s="85">
        <v>112268</v>
      </c>
      <c r="O10" s="85">
        <v>115761</v>
      </c>
      <c r="P10" s="85">
        <v>136368</v>
      </c>
      <c r="Q10" s="85">
        <v>106314</v>
      </c>
      <c r="R10" s="85">
        <f>SUM(F10:Q10)</f>
        <v>1433302</v>
      </c>
    </row>
    <row r="11" spans="1:19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" customHeight="1" x14ac:dyDescent="0.2">
      <c r="E12" s="76" t="s">
        <v>19</v>
      </c>
      <c r="F12" s="85">
        <v>0</v>
      </c>
      <c r="G12" s="85">
        <v>436</v>
      </c>
      <c r="H12" s="85">
        <v>649</v>
      </c>
      <c r="I12" s="85">
        <v>0</v>
      </c>
      <c r="J12" s="85">
        <v>344</v>
      </c>
      <c r="K12" s="85">
        <v>167</v>
      </c>
      <c r="L12" s="85">
        <v>257</v>
      </c>
      <c r="M12" s="85">
        <v>196</v>
      </c>
      <c r="N12" s="85">
        <v>329</v>
      </c>
      <c r="O12" s="85">
        <v>1481</v>
      </c>
      <c r="P12" s="85">
        <v>0</v>
      </c>
      <c r="Q12" s="85">
        <v>251</v>
      </c>
      <c r="R12" s="85">
        <f>SUM(F12:Q12)</f>
        <v>4110</v>
      </c>
    </row>
    <row r="13" spans="1:19" ht="15" customHeight="1" x14ac:dyDescent="0.2">
      <c r="E13" s="76" t="s">
        <v>20</v>
      </c>
      <c r="F13" s="85">
        <v>0</v>
      </c>
      <c r="G13" s="85">
        <v>57</v>
      </c>
      <c r="H13" s="85">
        <v>638</v>
      </c>
      <c r="I13" s="85">
        <v>867</v>
      </c>
      <c r="J13" s="85">
        <v>969</v>
      </c>
      <c r="K13" s="85">
        <v>32</v>
      </c>
      <c r="L13" s="85">
        <v>64</v>
      </c>
      <c r="M13" s="85">
        <v>285</v>
      </c>
      <c r="N13" s="85">
        <v>0</v>
      </c>
      <c r="O13" s="85">
        <v>66</v>
      </c>
      <c r="P13" s="85">
        <v>286</v>
      </c>
      <c r="Q13" s="85">
        <v>318</v>
      </c>
      <c r="R13" s="85">
        <f>SUM(F13:Q13)</f>
        <v>3582</v>
      </c>
    </row>
    <row r="14" spans="1:19" ht="15" customHeight="1" x14ac:dyDescent="0.2">
      <c r="D14" s="76" t="s">
        <v>21</v>
      </c>
      <c r="F14" s="85">
        <v>29381</v>
      </c>
      <c r="G14" s="85">
        <v>27194</v>
      </c>
      <c r="H14" s="85">
        <v>35717</v>
      </c>
      <c r="I14" s="85">
        <v>28136</v>
      </c>
      <c r="J14" s="85">
        <v>26699</v>
      </c>
      <c r="K14" s="85">
        <v>31522</v>
      </c>
      <c r="L14" s="85">
        <v>30033</v>
      </c>
      <c r="M14" s="85">
        <v>26895</v>
      </c>
      <c r="N14" s="85">
        <v>32651</v>
      </c>
      <c r="O14" s="85">
        <v>32490</v>
      </c>
      <c r="P14" s="85">
        <v>29061</v>
      </c>
      <c r="Q14" s="85">
        <v>37755</v>
      </c>
      <c r="R14" s="85">
        <f>SUM(F14:Q14)</f>
        <v>367534</v>
      </c>
    </row>
    <row r="15" spans="1:19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" customHeight="1" x14ac:dyDescent="0.2">
      <c r="E16" s="76" t="s">
        <v>20</v>
      </c>
      <c r="F16" s="85">
        <v>0</v>
      </c>
      <c r="G16" s="85">
        <v>0</v>
      </c>
      <c r="H16" s="85">
        <v>4952</v>
      </c>
      <c r="I16" s="85">
        <v>21</v>
      </c>
      <c r="J16" s="85">
        <v>0</v>
      </c>
      <c r="K16" s="85">
        <v>0</v>
      </c>
      <c r="L16" s="85">
        <v>13</v>
      </c>
      <c r="M16" s="85">
        <v>6</v>
      </c>
      <c r="N16" s="85">
        <v>179</v>
      </c>
      <c r="O16" s="85">
        <v>0</v>
      </c>
      <c r="P16" s="85">
        <v>130</v>
      </c>
      <c r="Q16" s="85">
        <v>4828</v>
      </c>
      <c r="R16" s="85">
        <f>SUM(F16:Q16)</f>
        <v>10129</v>
      </c>
    </row>
    <row r="17" spans="2:20" ht="15" customHeight="1" x14ac:dyDescent="0.2">
      <c r="D17" s="76" t="s">
        <v>88</v>
      </c>
      <c r="F17" s="85">
        <v>1050</v>
      </c>
      <c r="G17" s="85">
        <v>1420</v>
      </c>
      <c r="H17" s="85">
        <v>1813</v>
      </c>
      <c r="I17" s="85">
        <v>1206</v>
      </c>
      <c r="J17" s="85">
        <v>1771</v>
      </c>
      <c r="K17" s="85">
        <v>1253</v>
      </c>
      <c r="L17" s="85">
        <v>1152</v>
      </c>
      <c r="M17" s="85">
        <v>1691</v>
      </c>
      <c r="N17" s="85">
        <v>1270</v>
      </c>
      <c r="O17" s="85">
        <v>1076</v>
      </c>
      <c r="P17" s="85">
        <v>530</v>
      </c>
      <c r="Q17" s="85">
        <v>407</v>
      </c>
      <c r="R17" s="85">
        <f>SUM(F17:Q17)</f>
        <v>14639</v>
      </c>
    </row>
    <row r="18" spans="2:20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</row>
    <row r="19" spans="2:20" ht="15" customHeight="1" x14ac:dyDescent="0.2">
      <c r="C19" s="76" t="s">
        <v>23</v>
      </c>
      <c r="F19" s="84">
        <f t="shared" ref="F19:R19" si="2">SUM(F20:F24)</f>
        <v>15036</v>
      </c>
      <c r="G19" s="84">
        <f t="shared" si="2"/>
        <v>15229</v>
      </c>
      <c r="H19" s="84">
        <f t="shared" si="2"/>
        <v>36487</v>
      </c>
      <c r="I19" s="84">
        <f t="shared" si="2"/>
        <v>18983</v>
      </c>
      <c r="J19" s="84">
        <f t="shared" si="2"/>
        <v>85600</v>
      </c>
      <c r="K19" s="84">
        <f t="shared" si="2"/>
        <v>21251</v>
      </c>
      <c r="L19" s="84">
        <f t="shared" si="2"/>
        <v>29094</v>
      </c>
      <c r="M19" s="84">
        <f t="shared" si="2"/>
        <v>9541</v>
      </c>
      <c r="N19" s="84">
        <f t="shared" si="2"/>
        <v>17900</v>
      </c>
      <c r="O19" s="84">
        <f t="shared" si="2"/>
        <v>13685</v>
      </c>
      <c r="P19" s="84">
        <f t="shared" si="2"/>
        <v>11482</v>
      </c>
      <c r="Q19" s="84">
        <f t="shared" si="2"/>
        <v>19029</v>
      </c>
      <c r="R19" s="84">
        <f t="shared" si="2"/>
        <v>293317</v>
      </c>
      <c r="S19" s="76" t="s">
        <v>58</v>
      </c>
    </row>
    <row r="20" spans="2:20" ht="15" customHeight="1" x14ac:dyDescent="0.2">
      <c r="D20" s="76" t="s">
        <v>24</v>
      </c>
      <c r="F20" s="85">
        <v>8928</v>
      </c>
      <c r="G20" s="85">
        <v>4377</v>
      </c>
      <c r="H20" s="85">
        <v>24569</v>
      </c>
      <c r="I20" s="85">
        <v>11579</v>
      </c>
      <c r="J20" s="85">
        <v>10952</v>
      </c>
      <c r="K20" s="85">
        <v>6630</v>
      </c>
      <c r="L20" s="85">
        <v>14185</v>
      </c>
      <c r="M20" s="85">
        <v>2683</v>
      </c>
      <c r="N20" s="85">
        <v>7952</v>
      </c>
      <c r="O20" s="85">
        <v>5585</v>
      </c>
      <c r="P20" s="85">
        <v>3101</v>
      </c>
      <c r="Q20" s="85">
        <v>9494</v>
      </c>
      <c r="R20" s="85">
        <f>SUM(F20:Q20)</f>
        <v>110035</v>
      </c>
    </row>
    <row r="21" spans="2:20" ht="15" customHeight="1" x14ac:dyDescent="0.2">
      <c r="D21" s="76" t="s">
        <v>89</v>
      </c>
      <c r="F21" s="85">
        <v>1736</v>
      </c>
      <c r="G21" s="85">
        <v>3710</v>
      </c>
      <c r="H21" s="85">
        <v>2596</v>
      </c>
      <c r="I21" s="85">
        <v>3265</v>
      </c>
      <c r="J21" s="85">
        <v>4091</v>
      </c>
      <c r="K21" s="85">
        <v>2562</v>
      </c>
      <c r="L21" s="85">
        <v>2358</v>
      </c>
      <c r="M21" s="85">
        <v>3231</v>
      </c>
      <c r="N21" s="85">
        <v>2987</v>
      </c>
      <c r="O21" s="85">
        <v>5520</v>
      </c>
      <c r="P21" s="85">
        <v>2188</v>
      </c>
      <c r="Q21" s="85">
        <v>2161</v>
      </c>
      <c r="R21" s="85">
        <f>SUM(F21:Q21)</f>
        <v>36405</v>
      </c>
      <c r="S21" s="85"/>
    </row>
    <row r="22" spans="2:20" ht="15" customHeight="1" x14ac:dyDescent="0.2">
      <c r="D22" s="76" t="s">
        <v>26</v>
      </c>
      <c r="F22" s="85">
        <v>142</v>
      </c>
      <c r="G22" s="85">
        <v>0</v>
      </c>
      <c r="H22" s="85">
        <v>42</v>
      </c>
      <c r="I22" s="85">
        <v>0</v>
      </c>
      <c r="J22" s="85">
        <v>60071</v>
      </c>
      <c r="K22" s="85">
        <v>2351</v>
      </c>
      <c r="L22" s="85">
        <v>126</v>
      </c>
      <c r="M22" s="85">
        <v>0</v>
      </c>
      <c r="N22" s="85">
        <v>15</v>
      </c>
      <c r="O22" s="85">
        <v>0</v>
      </c>
      <c r="P22" s="85">
        <v>9</v>
      </c>
      <c r="Q22" s="85">
        <v>27</v>
      </c>
      <c r="R22" s="85">
        <f>SUM(F22:Q22)</f>
        <v>62783</v>
      </c>
    </row>
    <row r="23" spans="2:20" ht="15" customHeight="1" x14ac:dyDescent="0.2">
      <c r="D23" s="76" t="s">
        <v>27</v>
      </c>
      <c r="F23" s="85">
        <v>2211.71</v>
      </c>
      <c r="G23" s="85">
        <v>1833.998</v>
      </c>
      <c r="H23" s="85">
        <v>1455.498</v>
      </c>
      <c r="I23" s="85">
        <v>1614.933</v>
      </c>
      <c r="J23" s="85">
        <v>679.88599999999997</v>
      </c>
      <c r="K23" s="85">
        <v>310.89999999999998</v>
      </c>
      <c r="L23" s="85">
        <v>1257.79</v>
      </c>
      <c r="M23" s="85">
        <v>1073.5319999999999</v>
      </c>
      <c r="N23" s="85">
        <v>694.70600000000002</v>
      </c>
      <c r="O23" s="85">
        <v>1044.8130000000001</v>
      </c>
      <c r="P23" s="85">
        <v>1045.4949999999999</v>
      </c>
      <c r="Q23" s="85">
        <v>1097.357</v>
      </c>
      <c r="R23" s="85">
        <f>SUM(F23:Q23)</f>
        <v>14320.617999999999</v>
      </c>
      <c r="S23" s="85"/>
      <c r="T23" s="85"/>
    </row>
    <row r="24" spans="2:20" ht="15" customHeight="1" x14ac:dyDescent="0.2">
      <c r="D24" s="76" t="s">
        <v>28</v>
      </c>
      <c r="F24" s="85">
        <v>2018.29</v>
      </c>
      <c r="G24" s="85">
        <v>5308.0020000000004</v>
      </c>
      <c r="H24" s="85">
        <v>7824.5020000000004</v>
      </c>
      <c r="I24" s="85">
        <v>2524.067</v>
      </c>
      <c r="J24" s="85">
        <v>9806.1139999999996</v>
      </c>
      <c r="K24" s="85">
        <v>9397.1</v>
      </c>
      <c r="L24" s="85">
        <v>11167.21</v>
      </c>
      <c r="M24" s="85">
        <v>2553.4679999999998</v>
      </c>
      <c r="N24" s="85">
        <v>6251.2939999999999</v>
      </c>
      <c r="O24" s="85">
        <v>1535.1869999999999</v>
      </c>
      <c r="P24" s="85">
        <v>5138.5050000000001</v>
      </c>
      <c r="Q24" s="85">
        <v>6249.643</v>
      </c>
      <c r="R24" s="85">
        <f>SUM(F24:Q24)</f>
        <v>69773.381999999998</v>
      </c>
    </row>
    <row r="25" spans="2:20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0" ht="15" customHeight="1" x14ac:dyDescent="0.2">
      <c r="C26" s="76" t="s">
        <v>29</v>
      </c>
      <c r="F26" s="85">
        <v>51</v>
      </c>
      <c r="G26" s="85">
        <v>38</v>
      </c>
      <c r="H26" s="85">
        <v>26</v>
      </c>
      <c r="I26" s="85">
        <v>2</v>
      </c>
      <c r="J26" s="85">
        <v>1</v>
      </c>
      <c r="K26" s="85">
        <v>0</v>
      </c>
      <c r="L26" s="85">
        <v>2</v>
      </c>
      <c r="M26" s="85">
        <v>0</v>
      </c>
      <c r="N26" s="85">
        <v>23</v>
      </c>
      <c r="O26" s="85">
        <v>3</v>
      </c>
      <c r="P26" s="85">
        <v>10</v>
      </c>
      <c r="Q26" s="85">
        <v>8</v>
      </c>
      <c r="R26" s="85">
        <f>SUM(F26:Q26)</f>
        <v>164</v>
      </c>
    </row>
    <row r="27" spans="2:20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0" ht="15" customHeight="1" x14ac:dyDescent="0.25">
      <c r="B28" s="82" t="s">
        <v>30</v>
      </c>
      <c r="C28" s="82"/>
      <c r="D28" s="82"/>
      <c r="E28" s="82"/>
      <c r="F28" s="83">
        <f t="shared" ref="F28:Q28" si="3">SUM(F29:F35)</f>
        <v>173124</v>
      </c>
      <c r="G28" s="83">
        <f t="shared" si="3"/>
        <v>142445</v>
      </c>
      <c r="H28" s="83">
        <f t="shared" si="3"/>
        <v>188478</v>
      </c>
      <c r="I28" s="83">
        <f t="shared" si="3"/>
        <v>156505</v>
      </c>
      <c r="J28" s="83">
        <f t="shared" si="3"/>
        <v>175188</v>
      </c>
      <c r="K28" s="83">
        <f t="shared" si="3"/>
        <v>236249</v>
      </c>
      <c r="L28" s="83">
        <f t="shared" si="3"/>
        <v>210672</v>
      </c>
      <c r="M28" s="83">
        <f t="shared" si="3"/>
        <v>161616</v>
      </c>
      <c r="N28" s="83">
        <f t="shared" si="3"/>
        <v>186252</v>
      </c>
      <c r="O28" s="83">
        <f t="shared" si="3"/>
        <v>190037</v>
      </c>
      <c r="P28" s="83">
        <f t="shared" si="3"/>
        <v>171422</v>
      </c>
      <c r="Q28" s="83">
        <f t="shared" si="3"/>
        <v>238657</v>
      </c>
      <c r="R28" s="83">
        <f t="shared" ref="R28:R35" si="4">SUM(F28:Q28)</f>
        <v>2230645</v>
      </c>
      <c r="S28" s="85" t="s">
        <v>58</v>
      </c>
    </row>
    <row r="29" spans="2:20" ht="15" customHeight="1" x14ac:dyDescent="0.2">
      <c r="D29" s="76" t="s">
        <v>31</v>
      </c>
      <c r="F29" s="85">
        <v>32489</v>
      </c>
      <c r="G29" s="85">
        <v>32286</v>
      </c>
      <c r="H29" s="85">
        <v>32291</v>
      </c>
      <c r="I29" s="85">
        <v>32277</v>
      </c>
      <c r="J29" s="85">
        <v>32277</v>
      </c>
      <c r="K29" s="85">
        <v>32277</v>
      </c>
      <c r="L29" s="85">
        <v>32277</v>
      </c>
      <c r="M29" s="85">
        <v>32277</v>
      </c>
      <c r="N29" s="85">
        <v>32277</v>
      </c>
      <c r="O29" s="85">
        <v>32277</v>
      </c>
      <c r="P29" s="85">
        <v>32277</v>
      </c>
      <c r="Q29" s="85">
        <v>32277</v>
      </c>
      <c r="R29" s="85">
        <f t="shared" si="4"/>
        <v>387559</v>
      </c>
      <c r="S29" s="85"/>
    </row>
    <row r="30" spans="2:20" ht="15" customHeight="1" x14ac:dyDescent="0.2">
      <c r="D30" s="76" t="s">
        <v>32</v>
      </c>
      <c r="F30" s="85">
        <v>51391</v>
      </c>
      <c r="G30" s="85">
        <v>18902</v>
      </c>
      <c r="H30" s="85">
        <v>30321</v>
      </c>
      <c r="I30" s="85">
        <v>15677</v>
      </c>
      <c r="J30" s="85">
        <v>20626</v>
      </c>
      <c r="K30" s="85">
        <v>19205</v>
      </c>
      <c r="L30" s="85">
        <v>53078</v>
      </c>
      <c r="M30" s="85">
        <v>16457</v>
      </c>
      <c r="N30" s="85">
        <v>30094</v>
      </c>
      <c r="O30" s="85">
        <v>16144</v>
      </c>
      <c r="P30" s="85">
        <v>15992</v>
      </c>
      <c r="Q30" s="85">
        <v>21477</v>
      </c>
      <c r="R30" s="85">
        <f t="shared" si="4"/>
        <v>309364</v>
      </c>
      <c r="S30" s="85"/>
    </row>
    <row r="31" spans="2:20" ht="15" customHeight="1" x14ac:dyDescent="0.2">
      <c r="D31" s="76" t="s">
        <v>33</v>
      </c>
      <c r="F31" s="85">
        <v>0</v>
      </c>
      <c r="G31" s="85">
        <v>493</v>
      </c>
      <c r="H31" s="85">
        <v>6239</v>
      </c>
      <c r="I31" s="85">
        <v>888</v>
      </c>
      <c r="J31" s="85">
        <v>1313</v>
      </c>
      <c r="K31" s="85">
        <v>199</v>
      </c>
      <c r="L31" s="85">
        <v>334</v>
      </c>
      <c r="M31" s="85">
        <v>487</v>
      </c>
      <c r="N31" s="85">
        <v>508</v>
      </c>
      <c r="O31" s="85">
        <v>1547</v>
      </c>
      <c r="P31" s="85">
        <v>416</v>
      </c>
      <c r="Q31" s="85">
        <v>5397</v>
      </c>
      <c r="R31" s="85">
        <f t="shared" si="4"/>
        <v>17821</v>
      </c>
    </row>
    <row r="32" spans="2:20" ht="15" customHeight="1" x14ac:dyDescent="0.2">
      <c r="D32" s="76" t="s">
        <v>78</v>
      </c>
      <c r="F32" s="85">
        <v>145</v>
      </c>
      <c r="G32" s="85">
        <v>685</v>
      </c>
      <c r="H32" s="85">
        <v>2862</v>
      </c>
      <c r="I32" s="85">
        <v>785</v>
      </c>
      <c r="J32" s="85">
        <v>4546</v>
      </c>
      <c r="K32" s="85">
        <v>34947</v>
      </c>
      <c r="L32" s="85">
        <v>2318</v>
      </c>
      <c r="M32" s="85">
        <v>8802</v>
      </c>
      <c r="N32" s="85">
        <v>729</v>
      </c>
      <c r="O32" s="85">
        <v>6480</v>
      </c>
      <c r="P32" s="85">
        <v>3707</v>
      </c>
      <c r="Q32" s="85">
        <v>12007</v>
      </c>
      <c r="R32" s="85">
        <f t="shared" si="4"/>
        <v>78013</v>
      </c>
      <c r="S32" s="85"/>
    </row>
    <row r="33" spans="2:19" ht="15" customHeight="1" x14ac:dyDescent="0.2">
      <c r="D33" s="76" t="s">
        <v>35</v>
      </c>
      <c r="F33" s="85">
        <v>0</v>
      </c>
      <c r="G33" s="85">
        <v>15</v>
      </c>
      <c r="H33" s="85">
        <v>131</v>
      </c>
      <c r="I33" s="85">
        <v>146</v>
      </c>
      <c r="J33" s="85">
        <v>0</v>
      </c>
      <c r="K33" s="85">
        <v>25</v>
      </c>
      <c r="L33" s="85">
        <v>0</v>
      </c>
      <c r="M33" s="85">
        <v>19</v>
      </c>
      <c r="N33" s="85">
        <v>0</v>
      </c>
      <c r="O33" s="85">
        <v>176</v>
      </c>
      <c r="P33" s="85">
        <v>25</v>
      </c>
      <c r="Q33" s="85">
        <v>230</v>
      </c>
      <c r="R33" s="85">
        <f t="shared" si="4"/>
        <v>767</v>
      </c>
    </row>
    <row r="34" spans="2:19" ht="15" customHeight="1" x14ac:dyDescent="0.2">
      <c r="D34" s="76" t="s">
        <v>79</v>
      </c>
      <c r="F34" s="85">
        <v>850</v>
      </c>
      <c r="G34" s="85">
        <v>217</v>
      </c>
      <c r="H34" s="85">
        <v>1151</v>
      </c>
      <c r="I34" s="85">
        <v>436</v>
      </c>
      <c r="J34" s="85">
        <v>342</v>
      </c>
      <c r="K34" s="85">
        <v>-337</v>
      </c>
      <c r="L34" s="85">
        <v>267</v>
      </c>
      <c r="M34" s="85">
        <v>162</v>
      </c>
      <c r="N34" s="85">
        <v>1404</v>
      </c>
      <c r="O34" s="85">
        <v>4404</v>
      </c>
      <c r="P34" s="85">
        <v>380</v>
      </c>
      <c r="Q34" s="85">
        <v>420</v>
      </c>
      <c r="R34" s="85">
        <f t="shared" si="4"/>
        <v>9696</v>
      </c>
    </row>
    <row r="35" spans="2:19" ht="15" customHeight="1" x14ac:dyDescent="0.2">
      <c r="D35" s="6" t="s">
        <v>80</v>
      </c>
      <c r="F35" s="85">
        <v>88249</v>
      </c>
      <c r="G35" s="85">
        <v>89847</v>
      </c>
      <c r="H35" s="85">
        <v>115483</v>
      </c>
      <c r="I35" s="85">
        <v>106296</v>
      </c>
      <c r="J35" s="85">
        <v>116084</v>
      </c>
      <c r="K35" s="85">
        <v>149933</v>
      </c>
      <c r="L35" s="85">
        <v>122398</v>
      </c>
      <c r="M35" s="85">
        <v>103412</v>
      </c>
      <c r="N35" s="85">
        <v>121240</v>
      </c>
      <c r="O35" s="85">
        <v>129009</v>
      </c>
      <c r="P35" s="85">
        <v>118625</v>
      </c>
      <c r="Q35" s="85">
        <v>166849</v>
      </c>
      <c r="R35" s="85">
        <f t="shared" si="4"/>
        <v>1427425</v>
      </c>
      <c r="S35" s="85"/>
    </row>
    <row r="36" spans="2:19" ht="15" customHeight="1" x14ac:dyDescent="0.2"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5"/>
      <c r="S36" s="85"/>
    </row>
    <row r="37" spans="2:19" ht="15" customHeight="1" x14ac:dyDescent="0.25">
      <c r="B37" s="82" t="s">
        <v>38</v>
      </c>
      <c r="C37" s="82"/>
      <c r="D37" s="82"/>
      <c r="E37" s="82"/>
      <c r="F37" s="88">
        <f t="shared" ref="F37:Q37" si="5">+F8-F28</f>
        <v>-6472</v>
      </c>
      <c r="G37" s="88">
        <f t="shared" si="5"/>
        <v>-9673</v>
      </c>
      <c r="H37" s="88">
        <f t="shared" si="5"/>
        <v>-17372</v>
      </c>
      <c r="I37" s="88">
        <f t="shared" si="5"/>
        <v>52599</v>
      </c>
      <c r="J37" s="88">
        <f t="shared" si="5"/>
        <v>67337</v>
      </c>
      <c r="K37" s="88">
        <f t="shared" si="5"/>
        <v>-72673</v>
      </c>
      <c r="L37" s="88">
        <f t="shared" si="5"/>
        <v>-32198</v>
      </c>
      <c r="M37" s="88">
        <f t="shared" si="5"/>
        <v>15040</v>
      </c>
      <c r="N37" s="88">
        <f t="shared" si="5"/>
        <v>-22140</v>
      </c>
      <c r="O37" s="88">
        <f t="shared" si="5"/>
        <v>-27022</v>
      </c>
      <c r="P37" s="88">
        <f t="shared" si="5"/>
        <v>6029</v>
      </c>
      <c r="Q37" s="88">
        <f t="shared" si="5"/>
        <v>-75144</v>
      </c>
      <c r="R37" s="88">
        <f>SUM(F37:Q37)</f>
        <v>-121689</v>
      </c>
    </row>
    <row r="38" spans="2:19" ht="15" customHeight="1" x14ac:dyDescent="0.2"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</row>
    <row r="39" spans="2:19" ht="15" customHeight="1" x14ac:dyDescent="0.25">
      <c r="B39" s="82" t="s">
        <v>39</v>
      </c>
      <c r="C39" s="82"/>
      <c r="D39" s="82"/>
      <c r="E39" s="82"/>
      <c r="F39" s="83">
        <v>42387</v>
      </c>
      <c r="G39" s="83">
        <v>22465</v>
      </c>
      <c r="H39" s="83">
        <v>2878</v>
      </c>
      <c r="I39" s="83">
        <v>24931</v>
      </c>
      <c r="J39" s="83">
        <v>16605</v>
      </c>
      <c r="K39" s="83">
        <v>30319</v>
      </c>
      <c r="L39" s="83">
        <v>31592</v>
      </c>
      <c r="M39" s="83">
        <v>28265</v>
      </c>
      <c r="N39" s="83">
        <v>22620</v>
      </c>
      <c r="O39" s="83">
        <v>30111</v>
      </c>
      <c r="P39" s="83">
        <v>-3093</v>
      </c>
      <c r="Q39" s="83">
        <v>-6229</v>
      </c>
      <c r="R39" s="83">
        <v>242851</v>
      </c>
    </row>
    <row r="40" spans="2:19" ht="15" customHeight="1" x14ac:dyDescent="0.2">
      <c r="C40" s="76" t="s">
        <v>40</v>
      </c>
      <c r="F40" s="84">
        <v>34497</v>
      </c>
      <c r="G40" s="84">
        <v>11468</v>
      </c>
      <c r="H40" s="84">
        <v>-23360</v>
      </c>
      <c r="I40" s="84">
        <v>22471</v>
      </c>
      <c r="J40" s="84">
        <v>-4516</v>
      </c>
      <c r="K40" s="84">
        <v>10287</v>
      </c>
      <c r="L40" s="84">
        <v>3647</v>
      </c>
      <c r="M40" s="84">
        <v>-449</v>
      </c>
      <c r="N40" s="84">
        <v>-3755</v>
      </c>
      <c r="O40" s="84">
        <v>15984</v>
      </c>
      <c r="P40" s="84">
        <v>-5647</v>
      </c>
      <c r="Q40" s="84">
        <v>4155</v>
      </c>
      <c r="R40" s="84">
        <v>64782</v>
      </c>
      <c r="S40" s="85"/>
    </row>
    <row r="41" spans="2:19" ht="15" customHeight="1" x14ac:dyDescent="0.2">
      <c r="D41" s="76" t="s">
        <v>41</v>
      </c>
      <c r="F41" s="85">
        <v>90474</v>
      </c>
      <c r="G41" s="85">
        <v>15266</v>
      </c>
      <c r="H41" s="85">
        <v>3362</v>
      </c>
      <c r="I41" s="85">
        <v>25284</v>
      </c>
      <c r="J41" s="85">
        <v>760</v>
      </c>
      <c r="K41" s="85">
        <v>14960</v>
      </c>
      <c r="L41" s="85">
        <v>5444</v>
      </c>
      <c r="M41" s="85">
        <v>3282</v>
      </c>
      <c r="N41" s="85">
        <v>914</v>
      </c>
      <c r="O41" s="85">
        <v>18888</v>
      </c>
      <c r="P41" s="85">
        <v>786</v>
      </c>
      <c r="Q41" s="85">
        <v>10118</v>
      </c>
      <c r="R41" s="85">
        <v>189538</v>
      </c>
    </row>
    <row r="42" spans="2:19" ht="15" customHeight="1" x14ac:dyDescent="0.2">
      <c r="D42" s="76" t="s">
        <v>98</v>
      </c>
      <c r="F42" s="85">
        <v>55977</v>
      </c>
      <c r="G42" s="85">
        <v>3798</v>
      </c>
      <c r="H42" s="85">
        <v>26722</v>
      </c>
      <c r="I42" s="85">
        <v>2813</v>
      </c>
      <c r="J42" s="85">
        <v>5276</v>
      </c>
      <c r="K42" s="85">
        <v>4673</v>
      </c>
      <c r="L42" s="85">
        <v>1797</v>
      </c>
      <c r="M42" s="85">
        <v>3731</v>
      </c>
      <c r="N42" s="85">
        <v>4669</v>
      </c>
      <c r="O42" s="85">
        <v>2904</v>
      </c>
      <c r="P42" s="85">
        <v>6433</v>
      </c>
      <c r="Q42" s="85">
        <v>5963</v>
      </c>
      <c r="R42" s="85">
        <v>124756</v>
      </c>
    </row>
    <row r="43" spans="2:19" ht="15" customHeight="1" x14ac:dyDescent="0.2"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</row>
    <row r="44" spans="2:19" ht="15" customHeight="1" x14ac:dyDescent="0.2">
      <c r="C44" s="76" t="s">
        <v>43</v>
      </c>
      <c r="F44" s="84">
        <v>7890</v>
      </c>
      <c r="G44" s="84">
        <v>10997</v>
      </c>
      <c r="H44" s="84">
        <v>26238</v>
      </c>
      <c r="I44" s="84">
        <v>2460</v>
      </c>
      <c r="J44" s="84">
        <v>21121</v>
      </c>
      <c r="K44" s="84">
        <v>20032</v>
      </c>
      <c r="L44" s="84">
        <v>27945</v>
      </c>
      <c r="M44" s="84">
        <v>28714</v>
      </c>
      <c r="N44" s="84">
        <v>26375</v>
      </c>
      <c r="O44" s="84">
        <v>14127</v>
      </c>
      <c r="P44" s="84">
        <v>2554</v>
      </c>
      <c r="Q44" s="84">
        <v>-10384</v>
      </c>
      <c r="R44" s="84">
        <v>178069</v>
      </c>
    </row>
    <row r="45" spans="2:19" ht="15" customHeight="1" x14ac:dyDescent="0.2">
      <c r="D45" s="76" t="s">
        <v>44</v>
      </c>
      <c r="F45" s="85">
        <v>7890</v>
      </c>
      <c r="G45" s="85">
        <v>12000</v>
      </c>
      <c r="H45" s="85">
        <v>26600</v>
      </c>
      <c r="I45" s="85">
        <v>2460</v>
      </c>
      <c r="J45" s="85">
        <v>21385</v>
      </c>
      <c r="K45" s="85">
        <v>20515</v>
      </c>
      <c r="L45" s="85">
        <v>27945</v>
      </c>
      <c r="M45" s="85">
        <v>29340</v>
      </c>
      <c r="N45" s="85">
        <v>264038</v>
      </c>
      <c r="O45" s="85">
        <v>14880</v>
      </c>
      <c r="P45" s="85">
        <v>2554</v>
      </c>
      <c r="Q45" s="85">
        <v>-9535</v>
      </c>
      <c r="R45" s="85">
        <v>420072</v>
      </c>
    </row>
    <row r="46" spans="2:19" ht="15" customHeight="1" x14ac:dyDescent="0.2">
      <c r="D46" s="76" t="s">
        <v>45</v>
      </c>
      <c r="F46" s="85">
        <v>0</v>
      </c>
      <c r="G46" s="85">
        <v>1003</v>
      </c>
      <c r="H46" s="85">
        <v>362</v>
      </c>
      <c r="I46" s="85">
        <v>0</v>
      </c>
      <c r="J46" s="85">
        <v>264</v>
      </c>
      <c r="K46" s="85">
        <v>483</v>
      </c>
      <c r="L46" s="85">
        <v>0</v>
      </c>
      <c r="M46" s="85">
        <v>626</v>
      </c>
      <c r="N46" s="85">
        <v>237663</v>
      </c>
      <c r="O46" s="85">
        <v>753</v>
      </c>
      <c r="P46" s="85">
        <v>0</v>
      </c>
      <c r="Q46" s="85">
        <v>849</v>
      </c>
      <c r="R46" s="85">
        <v>242003</v>
      </c>
    </row>
    <row r="47" spans="2:19" ht="15" customHeight="1" x14ac:dyDescent="0.2">
      <c r="E47" s="6" t="s">
        <v>68</v>
      </c>
      <c r="F47" s="85">
        <v>0</v>
      </c>
      <c r="G47" s="85">
        <v>13451</v>
      </c>
      <c r="H47" s="85">
        <v>362</v>
      </c>
      <c r="I47" s="85">
        <v>6207</v>
      </c>
      <c r="J47" s="85">
        <v>54263</v>
      </c>
      <c r="K47" s="85">
        <v>483</v>
      </c>
      <c r="L47" s="85">
        <v>8782</v>
      </c>
      <c r="M47" s="85">
        <v>33547</v>
      </c>
      <c r="N47" s="85">
        <v>237663</v>
      </c>
      <c r="O47" s="85">
        <v>753</v>
      </c>
      <c r="P47" s="85">
        <v>5025</v>
      </c>
      <c r="Q47" s="85">
        <v>2603</v>
      </c>
      <c r="R47" s="85">
        <v>363139</v>
      </c>
    </row>
    <row r="48" spans="2:19" ht="15" customHeight="1" x14ac:dyDescent="0.2">
      <c r="E48" s="22" t="s">
        <v>81</v>
      </c>
      <c r="F48" s="85">
        <v>0</v>
      </c>
      <c r="G48" s="85">
        <v>12448</v>
      </c>
      <c r="H48" s="85">
        <v>0</v>
      </c>
      <c r="I48" s="85">
        <v>6207</v>
      </c>
      <c r="J48" s="85">
        <v>53999</v>
      </c>
      <c r="K48" s="85">
        <v>0</v>
      </c>
      <c r="L48" s="85">
        <v>8782</v>
      </c>
      <c r="M48" s="85">
        <v>32921</v>
      </c>
      <c r="N48" s="85">
        <v>0</v>
      </c>
      <c r="O48" s="85">
        <v>0</v>
      </c>
      <c r="P48" s="85">
        <v>5025</v>
      </c>
      <c r="Q48" s="85">
        <v>1754</v>
      </c>
      <c r="R48" s="85">
        <v>121136</v>
      </c>
    </row>
    <row r="49" spans="1:18" ht="15" customHeight="1" x14ac:dyDescent="0.2"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>
        <v>0</v>
      </c>
    </row>
    <row r="50" spans="1:18" ht="15" customHeight="1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 ht="15" customHeight="1" x14ac:dyDescent="0.25">
      <c r="B51" s="82" t="s">
        <v>47</v>
      </c>
      <c r="C51" s="82"/>
      <c r="D51" s="82"/>
      <c r="E51" s="82"/>
      <c r="F51" s="83">
        <v>68897</v>
      </c>
      <c r="G51" s="83">
        <v>-4867</v>
      </c>
      <c r="H51" s="83">
        <v>-33290</v>
      </c>
      <c r="I51" s="83">
        <v>107139</v>
      </c>
      <c r="J51" s="83">
        <v>-5629</v>
      </c>
      <c r="K51" s="83">
        <v>-71700</v>
      </c>
      <c r="L51" s="83">
        <v>17213</v>
      </c>
      <c r="M51" s="83">
        <v>24235</v>
      </c>
      <c r="N51" s="83">
        <v>-18082</v>
      </c>
      <c r="O51" s="83">
        <v>1877</v>
      </c>
      <c r="P51" s="83">
        <v>-7830</v>
      </c>
      <c r="Q51" s="83">
        <v>-79543</v>
      </c>
      <c r="R51" s="83">
        <v>-1580</v>
      </c>
    </row>
    <row r="52" spans="1:18" x14ac:dyDescent="0.2"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</row>
    <row r="53" spans="1:18" x14ac:dyDescent="0.2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</row>
    <row r="54" spans="1:18" s="91" customFormat="1" ht="12.75" x14ac:dyDescent="0.2">
      <c r="B54" s="15"/>
      <c r="C54" s="92" t="s">
        <v>48</v>
      </c>
    </row>
    <row r="55" spans="1:18" s="91" customFormat="1" ht="14.25" customHeight="1" x14ac:dyDescent="0.2">
      <c r="C55" s="92"/>
      <c r="D55" s="176" t="s">
        <v>49</v>
      </c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</row>
    <row r="56" spans="1:18" s="91" customFormat="1" ht="16.5" customHeight="1" x14ac:dyDescent="0.2">
      <c r="C56" s="92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</row>
    <row r="57" spans="1:18" s="91" customFormat="1" ht="12.75" x14ac:dyDescent="0.2"/>
    <row r="58" spans="1:18" s="91" customFormat="1" ht="12.75" x14ac:dyDescent="0.2">
      <c r="C58" s="15" t="s">
        <v>52</v>
      </c>
    </row>
    <row r="59" spans="1:18" s="91" customFormat="1" ht="12.75" x14ac:dyDescent="0.2">
      <c r="C59" s="15" t="s">
        <v>94</v>
      </c>
    </row>
  </sheetData>
  <mergeCells count="2">
    <mergeCell ref="B6:E6"/>
    <mergeCell ref="D55:Q56"/>
  </mergeCells>
  <printOptions horizontalCentered="1"/>
  <pageMargins left="0.23611111111111099" right="0.23611111111111099" top="1.10208333333333" bottom="0" header="0.51180555555555596" footer="0.511811023622047"/>
  <pageSetup paperSize="9" orientation="portrait" horizontalDpi="300" verticalDpi="300"/>
  <headerFooter>
    <oddHeader>&amp;C&amp;"Arial,Bold"&amp;9BUREAU OF THE TREASURY
&amp;"Arial,Italic"Statistical Data Analysis Division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MJ58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R41" sqref="R41"/>
    </sheetView>
  </sheetViews>
  <sheetFormatPr defaultColWidth="9.140625" defaultRowHeight="14.25" x14ac:dyDescent="0.2"/>
  <cols>
    <col min="1" max="1" width="1.7109375" style="76" customWidth="1"/>
    <col min="2" max="2" width="1.5703125" style="76" customWidth="1"/>
    <col min="3" max="3" width="1.85546875" style="76" customWidth="1"/>
    <col min="4" max="4" width="2.140625" style="76" customWidth="1"/>
    <col min="5" max="5" width="28" style="76" customWidth="1"/>
    <col min="6" max="6" width="9.85546875" style="76" customWidth="1"/>
    <col min="7" max="17" width="9.140625" style="76"/>
    <col min="18" max="18" width="10.85546875" style="76" customWidth="1"/>
    <col min="19" max="19" width="1.140625" style="76" customWidth="1"/>
    <col min="20" max="20" width="9.85546875" style="85" customWidth="1"/>
    <col min="21" max="1024" width="9.140625" style="76"/>
  </cols>
  <sheetData>
    <row r="1" spans="1:19" ht="15" x14ac:dyDescent="0.25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15" x14ac:dyDescent="0.25">
      <c r="A2" s="77" t="s">
        <v>105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19" x14ac:dyDescent="0.2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</row>
    <row r="4" spans="1:19" x14ac:dyDescent="0.2">
      <c r="A4" s="186" t="s">
        <v>96</v>
      </c>
      <c r="B4" s="186"/>
      <c r="C4" s="186"/>
      <c r="D4" s="186"/>
      <c r="E4" s="186"/>
    </row>
    <row r="5" spans="1:19" ht="6" customHeight="1" x14ac:dyDescent="0.2"/>
    <row r="6" spans="1:19" ht="21.75" customHeight="1" x14ac:dyDescent="0.25">
      <c r="A6" s="95"/>
      <c r="B6" s="184" t="s">
        <v>3</v>
      </c>
      <c r="C6" s="184"/>
      <c r="D6" s="184"/>
      <c r="E6" s="184"/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65</v>
      </c>
      <c r="O6" s="2" t="s">
        <v>13</v>
      </c>
      <c r="P6" s="2" t="s">
        <v>56</v>
      </c>
      <c r="Q6" s="2" t="s">
        <v>57</v>
      </c>
      <c r="R6" s="2" t="s">
        <v>14</v>
      </c>
      <c r="S6" s="96"/>
    </row>
    <row r="7" spans="1:19" ht="15.75" customHeight="1" x14ac:dyDescent="0.2">
      <c r="F7" s="97"/>
      <c r="O7" s="85"/>
    </row>
    <row r="8" spans="1:19" ht="15.75" customHeight="1" x14ac:dyDescent="0.25">
      <c r="B8" s="82" t="s">
        <v>15</v>
      </c>
      <c r="C8" s="82"/>
      <c r="D8" s="82"/>
      <c r="E8" s="82"/>
      <c r="F8" s="83">
        <f t="shared" ref="F8:R8" si="0">F9+F19+F26</f>
        <v>148822</v>
      </c>
      <c r="G8" s="83">
        <f t="shared" si="0"/>
        <v>120286</v>
      </c>
      <c r="H8" s="83">
        <f t="shared" si="0"/>
        <v>129303</v>
      </c>
      <c r="I8" s="83">
        <f t="shared" si="0"/>
        <v>224449</v>
      </c>
      <c r="J8" s="83">
        <f t="shared" si="0"/>
        <v>172234</v>
      </c>
      <c r="K8" s="83">
        <f t="shared" si="0"/>
        <v>138640</v>
      </c>
      <c r="L8" s="83">
        <f t="shared" si="0"/>
        <v>166730</v>
      </c>
      <c r="M8" s="83">
        <f t="shared" si="0"/>
        <v>169980</v>
      </c>
      <c r="N8" s="83">
        <f t="shared" si="0"/>
        <v>154566</v>
      </c>
      <c r="O8" s="83">
        <f t="shared" si="0"/>
        <v>152263</v>
      </c>
      <c r="P8" s="83">
        <f t="shared" si="0"/>
        <v>158221</v>
      </c>
      <c r="Q8" s="83">
        <f t="shared" si="0"/>
        <v>173033</v>
      </c>
      <c r="R8" s="83">
        <f t="shared" si="0"/>
        <v>1908527</v>
      </c>
    </row>
    <row r="9" spans="1:19" ht="15.75" customHeight="1" x14ac:dyDescent="0.2">
      <c r="C9" s="76" t="s">
        <v>16</v>
      </c>
      <c r="F9" s="84">
        <f t="shared" ref="F9:R9" si="1">F10+F14+F17</f>
        <v>135092</v>
      </c>
      <c r="G9" s="84">
        <f t="shared" si="1"/>
        <v>107102</v>
      </c>
      <c r="H9" s="84">
        <f t="shared" si="1"/>
        <v>113200</v>
      </c>
      <c r="I9" s="84">
        <f t="shared" si="1"/>
        <v>187959</v>
      </c>
      <c r="J9" s="84">
        <f t="shared" si="1"/>
        <v>158299</v>
      </c>
      <c r="K9" s="84">
        <f t="shared" si="1"/>
        <v>122797</v>
      </c>
      <c r="L9" s="84">
        <f t="shared" si="1"/>
        <v>151640</v>
      </c>
      <c r="M9" s="84">
        <f t="shared" si="1"/>
        <v>158420</v>
      </c>
      <c r="N9" s="84">
        <f t="shared" si="1"/>
        <v>139812</v>
      </c>
      <c r="O9" s="84">
        <f t="shared" si="1"/>
        <v>137407</v>
      </c>
      <c r="P9" s="84">
        <f t="shared" si="1"/>
        <v>147585</v>
      </c>
      <c r="Q9" s="84">
        <f t="shared" si="1"/>
        <v>159673</v>
      </c>
      <c r="R9" s="84">
        <f t="shared" si="1"/>
        <v>1718986</v>
      </c>
    </row>
    <row r="10" spans="1:19" ht="15.75" customHeight="1" x14ac:dyDescent="0.2">
      <c r="D10" s="76" t="s">
        <v>17</v>
      </c>
      <c r="F10" s="85">
        <v>104151</v>
      </c>
      <c r="G10" s="85">
        <v>78378</v>
      </c>
      <c r="H10" s="85">
        <v>82176</v>
      </c>
      <c r="I10" s="85">
        <v>156111</v>
      </c>
      <c r="J10" s="85">
        <v>128273</v>
      </c>
      <c r="K10" s="85">
        <v>94120</v>
      </c>
      <c r="L10" s="85">
        <v>119942</v>
      </c>
      <c r="M10" s="85">
        <v>127565</v>
      </c>
      <c r="N10" s="85">
        <v>105708</v>
      </c>
      <c r="O10" s="85">
        <v>101801</v>
      </c>
      <c r="P10" s="85">
        <v>121889</v>
      </c>
      <c r="Q10" s="85">
        <v>114648</v>
      </c>
      <c r="R10" s="85">
        <v>1334762</v>
      </c>
    </row>
    <row r="11" spans="1:19" ht="15.7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.75" customHeight="1" x14ac:dyDescent="0.2">
      <c r="E12" s="76" t="s">
        <v>19</v>
      </c>
      <c r="F12" s="85">
        <v>0</v>
      </c>
      <c r="G12" s="85">
        <v>0</v>
      </c>
      <c r="H12" s="85">
        <v>0</v>
      </c>
      <c r="I12" s="85">
        <v>1157</v>
      </c>
      <c r="J12" s="85">
        <v>234</v>
      </c>
      <c r="K12" s="85">
        <v>160</v>
      </c>
      <c r="L12" s="85">
        <v>255</v>
      </c>
      <c r="M12" s="85">
        <v>231</v>
      </c>
      <c r="N12" s="85">
        <v>896</v>
      </c>
      <c r="O12" s="85">
        <v>260</v>
      </c>
      <c r="P12" s="85">
        <v>236</v>
      </c>
      <c r="Q12" s="85">
        <v>223</v>
      </c>
      <c r="R12" s="85">
        <v>3652</v>
      </c>
    </row>
    <row r="13" spans="1:19" ht="15.75" customHeight="1" x14ac:dyDescent="0.2">
      <c r="E13" s="76" t="s">
        <v>20</v>
      </c>
      <c r="F13" s="85">
        <v>30</v>
      </c>
      <c r="G13" s="85">
        <v>0</v>
      </c>
      <c r="H13" s="85">
        <v>30</v>
      </c>
      <c r="I13" s="85">
        <v>9302</v>
      </c>
      <c r="J13" s="85">
        <v>2204</v>
      </c>
      <c r="K13" s="85">
        <v>416</v>
      </c>
      <c r="L13" s="85">
        <v>5</v>
      </c>
      <c r="M13" s="85">
        <v>530</v>
      </c>
      <c r="N13" s="85">
        <v>31</v>
      </c>
      <c r="O13" s="85">
        <v>668</v>
      </c>
      <c r="P13" s="85">
        <v>446</v>
      </c>
      <c r="Q13" s="85">
        <v>717</v>
      </c>
      <c r="R13" s="85">
        <v>14379</v>
      </c>
    </row>
    <row r="14" spans="1:19" ht="15.75" customHeight="1" x14ac:dyDescent="0.2">
      <c r="D14" s="76" t="s">
        <v>21</v>
      </c>
      <c r="F14" s="85">
        <v>29773</v>
      </c>
      <c r="G14" s="85">
        <v>27416</v>
      </c>
      <c r="H14" s="85">
        <v>29313</v>
      </c>
      <c r="I14" s="85">
        <v>30764</v>
      </c>
      <c r="J14" s="85">
        <v>28809</v>
      </c>
      <c r="K14" s="85">
        <v>27327</v>
      </c>
      <c r="L14" s="85">
        <v>30460</v>
      </c>
      <c r="M14" s="85">
        <v>29061</v>
      </c>
      <c r="N14" s="85">
        <v>32866</v>
      </c>
      <c r="O14" s="85">
        <v>34160</v>
      </c>
      <c r="P14" s="85">
        <v>24691</v>
      </c>
      <c r="Q14" s="85">
        <v>44637</v>
      </c>
      <c r="R14" s="85">
        <v>369277</v>
      </c>
    </row>
    <row r="15" spans="1:19" ht="15.7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.75" customHeight="1" x14ac:dyDescent="0.2">
      <c r="E16" s="76" t="s">
        <v>20</v>
      </c>
      <c r="F16" s="85">
        <v>0</v>
      </c>
      <c r="G16" s="85">
        <v>0</v>
      </c>
      <c r="H16" s="85">
        <v>0</v>
      </c>
      <c r="I16" s="85">
        <v>26</v>
      </c>
      <c r="J16" s="85">
        <v>282</v>
      </c>
      <c r="K16" s="85">
        <v>50</v>
      </c>
      <c r="L16" s="85">
        <v>3</v>
      </c>
      <c r="M16" s="85">
        <v>2</v>
      </c>
      <c r="N16" s="85">
        <v>87</v>
      </c>
      <c r="O16" s="85">
        <v>39</v>
      </c>
      <c r="P16" s="85">
        <v>0</v>
      </c>
      <c r="Q16" s="85">
        <v>11012</v>
      </c>
      <c r="R16" s="85">
        <v>11501</v>
      </c>
    </row>
    <row r="17" spans="2:21" ht="15.75" customHeight="1" x14ac:dyDescent="0.2">
      <c r="D17" s="76" t="s">
        <v>106</v>
      </c>
      <c r="F17" s="85">
        <v>1168</v>
      </c>
      <c r="G17" s="85">
        <v>1308</v>
      </c>
      <c r="H17" s="85">
        <v>1711</v>
      </c>
      <c r="I17" s="85">
        <v>1084</v>
      </c>
      <c r="J17" s="85">
        <v>1217</v>
      </c>
      <c r="K17" s="85">
        <v>1350</v>
      </c>
      <c r="L17" s="85">
        <v>1238</v>
      </c>
      <c r="M17" s="85">
        <v>1794</v>
      </c>
      <c r="N17" s="85">
        <v>1238</v>
      </c>
      <c r="O17" s="85">
        <v>1446</v>
      </c>
      <c r="P17" s="85">
        <v>1005</v>
      </c>
      <c r="Q17" s="85">
        <v>388</v>
      </c>
      <c r="R17" s="85">
        <v>14947</v>
      </c>
    </row>
    <row r="18" spans="2:21" ht="15.7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</row>
    <row r="19" spans="2:21" ht="15.75" customHeight="1" x14ac:dyDescent="0.2">
      <c r="C19" s="76" t="s">
        <v>23</v>
      </c>
      <c r="F19" s="84">
        <f t="shared" ref="F19:R19" si="2">SUM(F20:F24)</f>
        <v>13710</v>
      </c>
      <c r="G19" s="84">
        <f t="shared" si="2"/>
        <v>13140</v>
      </c>
      <c r="H19" s="84">
        <f t="shared" si="2"/>
        <v>16087</v>
      </c>
      <c r="I19" s="84">
        <f t="shared" si="2"/>
        <v>36482</v>
      </c>
      <c r="J19" s="84">
        <f t="shared" si="2"/>
        <v>13934</v>
      </c>
      <c r="K19" s="84">
        <f t="shared" si="2"/>
        <v>15843</v>
      </c>
      <c r="L19" s="84">
        <f t="shared" si="2"/>
        <v>15052</v>
      </c>
      <c r="M19" s="84">
        <f t="shared" si="2"/>
        <v>11554</v>
      </c>
      <c r="N19" s="84">
        <f t="shared" si="2"/>
        <v>14713</v>
      </c>
      <c r="O19" s="84">
        <f t="shared" si="2"/>
        <v>14854</v>
      </c>
      <c r="P19" s="84">
        <f t="shared" si="2"/>
        <v>10623</v>
      </c>
      <c r="Q19" s="84">
        <f t="shared" si="2"/>
        <v>13316</v>
      </c>
      <c r="R19" s="84">
        <f t="shared" si="2"/>
        <v>189308</v>
      </c>
      <c r="T19" s="85" t="s">
        <v>58</v>
      </c>
    </row>
    <row r="20" spans="2:21" ht="15.75" customHeight="1" x14ac:dyDescent="0.2">
      <c r="D20" s="76" t="s">
        <v>24</v>
      </c>
      <c r="F20" s="85">
        <v>7531</v>
      </c>
      <c r="G20" s="85">
        <v>5614</v>
      </c>
      <c r="H20" s="85">
        <v>7812</v>
      </c>
      <c r="I20" s="85">
        <v>30829</v>
      </c>
      <c r="J20" s="85">
        <v>4103</v>
      </c>
      <c r="K20" s="85">
        <v>7050</v>
      </c>
      <c r="L20" s="85">
        <v>7506</v>
      </c>
      <c r="M20" s="85">
        <v>5263</v>
      </c>
      <c r="N20" s="85">
        <v>5581</v>
      </c>
      <c r="O20" s="85">
        <v>4881</v>
      </c>
      <c r="P20" s="85">
        <v>3408</v>
      </c>
      <c r="Q20" s="85">
        <v>3866</v>
      </c>
      <c r="R20" s="85">
        <f>SUM(F20:Q20)</f>
        <v>93444</v>
      </c>
      <c r="T20" s="85" t="s">
        <v>58</v>
      </c>
    </row>
    <row r="21" spans="2:21" ht="15.75" customHeight="1" x14ac:dyDescent="0.2">
      <c r="D21" s="76" t="s">
        <v>89</v>
      </c>
      <c r="F21" s="85">
        <v>2726</v>
      </c>
      <c r="G21" s="85">
        <v>2001</v>
      </c>
      <c r="H21" s="85">
        <v>3479</v>
      </c>
      <c r="I21" s="85">
        <v>2465</v>
      </c>
      <c r="J21" s="85">
        <v>3503</v>
      </c>
      <c r="K21" s="85">
        <v>2671</v>
      </c>
      <c r="L21" s="85">
        <v>2471</v>
      </c>
      <c r="M21" s="85">
        <v>2564</v>
      </c>
      <c r="N21" s="85">
        <v>2028</v>
      </c>
      <c r="O21" s="85">
        <v>3279</v>
      </c>
      <c r="P21" s="85">
        <v>4051</v>
      </c>
      <c r="Q21" s="85">
        <v>1533</v>
      </c>
      <c r="R21" s="85">
        <f>SUM(F21:Q21)</f>
        <v>32771</v>
      </c>
    </row>
    <row r="22" spans="2:21" ht="15.75" customHeight="1" x14ac:dyDescent="0.2">
      <c r="D22" s="76" t="s">
        <v>26</v>
      </c>
      <c r="F22" s="85">
        <v>0</v>
      </c>
      <c r="G22" s="85">
        <v>1315</v>
      </c>
      <c r="H22" s="85">
        <v>0</v>
      </c>
      <c r="I22" s="85">
        <v>16</v>
      </c>
      <c r="J22" s="85">
        <v>380</v>
      </c>
      <c r="K22" s="85">
        <v>1</v>
      </c>
      <c r="L22" s="85">
        <v>144</v>
      </c>
      <c r="M22" s="85">
        <v>0</v>
      </c>
      <c r="N22" s="85">
        <v>41</v>
      </c>
      <c r="O22" s="85">
        <v>2</v>
      </c>
      <c r="P22" s="85">
        <v>4</v>
      </c>
      <c r="Q22" s="85">
        <v>43</v>
      </c>
      <c r="R22" s="98">
        <f>SUM(F22:Q22)</f>
        <v>1946</v>
      </c>
      <c r="U22" s="85"/>
    </row>
    <row r="23" spans="2:21" x14ac:dyDescent="0.2">
      <c r="D23" s="6" t="s">
        <v>27</v>
      </c>
      <c r="E23" s="6"/>
      <c r="F23" s="85">
        <v>414.512</v>
      </c>
      <c r="G23" s="85">
        <v>102.649</v>
      </c>
      <c r="H23" s="85">
        <v>2516.6379999999999</v>
      </c>
      <c r="I23" s="85">
        <v>2190.0830000000001</v>
      </c>
      <c r="J23" s="85">
        <v>2036.36</v>
      </c>
      <c r="K23" s="85">
        <v>2085.6089999999999</v>
      </c>
      <c r="L23" s="85">
        <v>2240.1840000000002</v>
      </c>
      <c r="M23" s="85">
        <v>2300.0889999999999</v>
      </c>
      <c r="N23" s="85">
        <v>2185.087</v>
      </c>
      <c r="O23" s="85">
        <v>2256.413</v>
      </c>
      <c r="P23" s="85">
        <v>1953.6030000000001</v>
      </c>
      <c r="Q23" s="85">
        <v>2002.325</v>
      </c>
      <c r="R23" s="85">
        <f>SUM(F23:Q23)</f>
        <v>22283.552</v>
      </c>
      <c r="S23" s="85"/>
      <c r="U23" s="85"/>
    </row>
    <row r="24" spans="2:21" x14ac:dyDescent="0.2">
      <c r="D24" s="76" t="s">
        <v>28</v>
      </c>
      <c r="F24" s="85">
        <v>3038.4879999999998</v>
      </c>
      <c r="G24" s="85">
        <v>4107.3509999999997</v>
      </c>
      <c r="H24" s="85">
        <v>2279.3620000000001</v>
      </c>
      <c r="I24" s="85">
        <v>981.91700000000003</v>
      </c>
      <c r="J24" s="85">
        <v>3911.64</v>
      </c>
      <c r="K24" s="85">
        <v>4035.3910000000001</v>
      </c>
      <c r="L24" s="85">
        <v>2690.8159999999998</v>
      </c>
      <c r="M24" s="85">
        <v>1426.9110000000001</v>
      </c>
      <c r="N24" s="85">
        <v>4877.9129999999996</v>
      </c>
      <c r="O24" s="85">
        <v>4435.5870000000004</v>
      </c>
      <c r="P24" s="85">
        <v>1206.3969999999999</v>
      </c>
      <c r="Q24" s="85">
        <v>5871.6750000000002</v>
      </c>
      <c r="R24" s="85">
        <f>SUM(F24:Q24)</f>
        <v>38863.448000000004</v>
      </c>
      <c r="S24" s="85"/>
    </row>
    <row r="25" spans="2:21" ht="15.7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5.75" customHeight="1" x14ac:dyDescent="0.2">
      <c r="C26" s="76" t="s">
        <v>29</v>
      </c>
      <c r="F26" s="85">
        <v>20</v>
      </c>
      <c r="G26" s="85">
        <v>44</v>
      </c>
      <c r="H26" s="85">
        <v>16</v>
      </c>
      <c r="I26" s="85">
        <v>8</v>
      </c>
      <c r="J26" s="85">
        <v>1</v>
      </c>
      <c r="K26" s="85">
        <v>0</v>
      </c>
      <c r="L26" s="85">
        <v>38</v>
      </c>
      <c r="M26" s="85">
        <v>6</v>
      </c>
      <c r="N26" s="85">
        <v>41</v>
      </c>
      <c r="O26" s="85">
        <v>2</v>
      </c>
      <c r="P26" s="85">
        <v>13</v>
      </c>
      <c r="Q26" s="85">
        <v>44</v>
      </c>
      <c r="R26" s="85">
        <v>233</v>
      </c>
    </row>
    <row r="27" spans="2:21" ht="15.7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.75" customHeight="1" x14ac:dyDescent="0.25">
      <c r="B28" s="82" t="s">
        <v>30</v>
      </c>
      <c r="C28" s="82"/>
      <c r="D28" s="82"/>
      <c r="E28" s="82"/>
      <c r="F28" s="83">
        <f t="shared" ref="F28:Q28" si="3">SUM(F30:F36)</f>
        <v>183040</v>
      </c>
      <c r="G28" s="83">
        <f t="shared" si="3"/>
        <v>130004</v>
      </c>
      <c r="H28" s="83">
        <f t="shared" si="3"/>
        <v>169489</v>
      </c>
      <c r="I28" s="83">
        <f t="shared" si="3"/>
        <v>143597</v>
      </c>
      <c r="J28" s="83">
        <f t="shared" si="3"/>
        <v>160452</v>
      </c>
      <c r="K28" s="83">
        <f t="shared" si="3"/>
        <v>201126</v>
      </c>
      <c r="L28" s="83">
        <f t="shared" si="3"/>
        <v>168492</v>
      </c>
      <c r="M28" s="83">
        <f t="shared" si="3"/>
        <v>140115</v>
      </c>
      <c r="N28" s="83">
        <f t="shared" si="3"/>
        <v>159764</v>
      </c>
      <c r="O28" s="83">
        <f t="shared" si="3"/>
        <v>154793</v>
      </c>
      <c r="P28" s="83">
        <f t="shared" si="3"/>
        <v>151397</v>
      </c>
      <c r="Q28" s="83">
        <f t="shared" si="3"/>
        <v>219350</v>
      </c>
      <c r="R28" s="83">
        <f>SUM(F28:Q28)</f>
        <v>1981619</v>
      </c>
    </row>
    <row r="29" spans="2:21" ht="15.7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5.75" customHeight="1" x14ac:dyDescent="0.2">
      <c r="D30" s="76" t="s">
        <v>31</v>
      </c>
      <c r="F30" s="85">
        <v>28160</v>
      </c>
      <c r="G30" s="85">
        <v>28617</v>
      </c>
      <c r="H30" s="85">
        <v>28327</v>
      </c>
      <c r="I30" s="85">
        <v>28218</v>
      </c>
      <c r="J30" s="85">
        <v>30496</v>
      </c>
      <c r="K30" s="85">
        <v>30264</v>
      </c>
      <c r="L30" s="85">
        <v>29223</v>
      </c>
      <c r="M30" s="85">
        <v>28216</v>
      </c>
      <c r="N30" s="85">
        <v>28337</v>
      </c>
      <c r="O30" s="85">
        <v>27199</v>
      </c>
      <c r="P30" s="85">
        <v>28538</v>
      </c>
      <c r="Q30" s="85">
        <v>28640</v>
      </c>
      <c r="R30" s="85">
        <f t="shared" ref="R30:R36" si="4">SUM(F30:Q30)</f>
        <v>344235</v>
      </c>
    </row>
    <row r="31" spans="2:21" ht="15.75" customHeight="1" x14ac:dyDescent="0.2">
      <c r="D31" s="76" t="s">
        <v>32</v>
      </c>
      <c r="F31" s="85">
        <v>56465</v>
      </c>
      <c r="G31" s="85">
        <v>15865</v>
      </c>
      <c r="H31" s="85">
        <v>30799</v>
      </c>
      <c r="I31" s="85">
        <v>13398</v>
      </c>
      <c r="J31" s="85">
        <v>23594</v>
      </c>
      <c r="K31" s="85">
        <v>19620</v>
      </c>
      <c r="L31" s="85">
        <v>48224</v>
      </c>
      <c r="M31" s="85">
        <v>20598</v>
      </c>
      <c r="N31" s="85">
        <v>28830</v>
      </c>
      <c r="O31" s="85">
        <v>16767</v>
      </c>
      <c r="P31" s="85">
        <v>18099</v>
      </c>
      <c r="Q31" s="85">
        <v>28926</v>
      </c>
      <c r="R31" s="85">
        <f t="shared" si="4"/>
        <v>321185</v>
      </c>
    </row>
    <row r="32" spans="2:21" ht="15.75" customHeight="1" x14ac:dyDescent="0.2">
      <c r="D32" s="76" t="s">
        <v>33</v>
      </c>
      <c r="F32" s="85">
        <v>30</v>
      </c>
      <c r="G32" s="85">
        <v>0</v>
      </c>
      <c r="H32" s="85">
        <v>30</v>
      </c>
      <c r="I32" s="85">
        <v>10485</v>
      </c>
      <c r="J32" s="85">
        <v>2720</v>
      </c>
      <c r="K32" s="85">
        <v>626</v>
      </c>
      <c r="L32" s="85">
        <v>263</v>
      </c>
      <c r="M32" s="85">
        <v>763</v>
      </c>
      <c r="N32" s="85">
        <v>1014</v>
      </c>
      <c r="O32" s="85">
        <v>967</v>
      </c>
      <c r="P32" s="85">
        <v>682</v>
      </c>
      <c r="Q32" s="85">
        <v>11952</v>
      </c>
      <c r="R32" s="85">
        <f t="shared" si="4"/>
        <v>29532</v>
      </c>
    </row>
    <row r="33" spans="2:22" ht="15.75" customHeight="1" x14ac:dyDescent="0.2">
      <c r="D33" s="76" t="s">
        <v>78</v>
      </c>
      <c r="F33" s="85">
        <v>667</v>
      </c>
      <c r="G33" s="85">
        <v>191</v>
      </c>
      <c r="H33" s="85">
        <v>369</v>
      </c>
      <c r="I33" s="85">
        <v>253</v>
      </c>
      <c r="J33" s="85">
        <v>1737</v>
      </c>
      <c r="K33" s="85">
        <v>46323</v>
      </c>
      <c r="L33" s="85">
        <v>6628</v>
      </c>
      <c r="M33" s="85">
        <v>3075</v>
      </c>
      <c r="N33" s="85">
        <v>2965</v>
      </c>
      <c r="O33" s="85">
        <v>1430</v>
      </c>
      <c r="P33" s="85">
        <v>2685</v>
      </c>
      <c r="Q33" s="85">
        <v>14117</v>
      </c>
      <c r="R33" s="85">
        <f t="shared" si="4"/>
        <v>80440</v>
      </c>
    </row>
    <row r="34" spans="2:22" ht="15.75" customHeight="1" x14ac:dyDescent="0.2">
      <c r="D34" s="76" t="s">
        <v>35</v>
      </c>
      <c r="F34" s="85">
        <v>0</v>
      </c>
      <c r="G34" s="85">
        <v>110</v>
      </c>
      <c r="H34" s="85">
        <v>28</v>
      </c>
      <c r="I34" s="85">
        <v>135</v>
      </c>
      <c r="J34" s="85">
        <v>101</v>
      </c>
      <c r="K34" s="85">
        <v>59</v>
      </c>
      <c r="L34" s="85">
        <v>202</v>
      </c>
      <c r="M34" s="85">
        <v>32</v>
      </c>
      <c r="N34" s="85">
        <v>565</v>
      </c>
      <c r="O34" s="85">
        <v>206</v>
      </c>
      <c r="P34" s="85">
        <v>52</v>
      </c>
      <c r="Q34" s="85">
        <v>258</v>
      </c>
      <c r="R34" s="85">
        <f t="shared" si="4"/>
        <v>1748</v>
      </c>
    </row>
    <row r="35" spans="2:22" ht="15.75" customHeight="1" x14ac:dyDescent="0.2">
      <c r="D35" s="76" t="s">
        <v>79</v>
      </c>
      <c r="F35" s="85">
        <v>2938</v>
      </c>
      <c r="G35" s="85">
        <v>-1441</v>
      </c>
      <c r="H35" s="85">
        <v>3412</v>
      </c>
      <c r="I35" s="85">
        <v>712</v>
      </c>
      <c r="J35" s="85">
        <v>344</v>
      </c>
      <c r="K35" s="85">
        <v>493</v>
      </c>
      <c r="L35" s="85">
        <v>484</v>
      </c>
      <c r="M35" s="85">
        <v>310</v>
      </c>
      <c r="N35" s="85">
        <v>1163</v>
      </c>
      <c r="O35" s="85">
        <v>1008</v>
      </c>
      <c r="P35" s="85">
        <v>3771</v>
      </c>
      <c r="Q35" s="85">
        <v>201</v>
      </c>
      <c r="R35" s="85">
        <f t="shared" si="4"/>
        <v>13395</v>
      </c>
    </row>
    <row r="36" spans="2:22" ht="15.75" customHeight="1" x14ac:dyDescent="0.2">
      <c r="D36" s="6" t="s">
        <v>80</v>
      </c>
      <c r="F36" s="85">
        <v>94780</v>
      </c>
      <c r="G36" s="85">
        <v>86662</v>
      </c>
      <c r="H36" s="85">
        <v>106524</v>
      </c>
      <c r="I36" s="85">
        <v>90396</v>
      </c>
      <c r="J36" s="85">
        <v>101460</v>
      </c>
      <c r="K36" s="85">
        <v>103741</v>
      </c>
      <c r="L36" s="85">
        <v>83468</v>
      </c>
      <c r="M36" s="85">
        <v>87121</v>
      </c>
      <c r="N36" s="85">
        <v>96890</v>
      </c>
      <c r="O36" s="85">
        <v>107216</v>
      </c>
      <c r="P36" s="85">
        <v>97570</v>
      </c>
      <c r="Q36" s="85">
        <v>135256</v>
      </c>
      <c r="R36" s="85">
        <f t="shared" si="4"/>
        <v>1191084</v>
      </c>
    </row>
    <row r="37" spans="2:22" ht="15.7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</row>
    <row r="38" spans="2:22" ht="15.75" customHeight="1" x14ac:dyDescent="0.25">
      <c r="B38" s="82" t="s">
        <v>38</v>
      </c>
      <c r="C38" s="82"/>
      <c r="D38" s="82"/>
      <c r="E38" s="82"/>
      <c r="F38" s="88">
        <f t="shared" ref="F38:Q38" si="5">+F8-F28</f>
        <v>-34218</v>
      </c>
      <c r="G38" s="88">
        <f t="shared" si="5"/>
        <v>-9718</v>
      </c>
      <c r="H38" s="88">
        <f t="shared" si="5"/>
        <v>-40186</v>
      </c>
      <c r="I38" s="88">
        <f t="shared" si="5"/>
        <v>80852</v>
      </c>
      <c r="J38" s="88">
        <f t="shared" si="5"/>
        <v>11782</v>
      </c>
      <c r="K38" s="88">
        <f t="shared" si="5"/>
        <v>-62486</v>
      </c>
      <c r="L38" s="88">
        <f t="shared" si="5"/>
        <v>-1762</v>
      </c>
      <c r="M38" s="88">
        <f t="shared" si="5"/>
        <v>29865</v>
      </c>
      <c r="N38" s="88">
        <f t="shared" si="5"/>
        <v>-5198</v>
      </c>
      <c r="O38" s="88">
        <f t="shared" si="5"/>
        <v>-2530</v>
      </c>
      <c r="P38" s="88">
        <f t="shared" si="5"/>
        <v>6824</v>
      </c>
      <c r="Q38" s="88">
        <f t="shared" si="5"/>
        <v>-46317</v>
      </c>
      <c r="R38" s="88">
        <f>SUM(F38:Q38)</f>
        <v>-73092</v>
      </c>
    </row>
    <row r="39" spans="2:22" ht="15.7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22" ht="15.75" customHeight="1" x14ac:dyDescent="0.25">
      <c r="B40" s="82" t="s">
        <v>39</v>
      </c>
      <c r="C40" s="82"/>
      <c r="D40" s="82"/>
      <c r="E40" s="82"/>
      <c r="F40" s="83">
        <v>-41092</v>
      </c>
      <c r="G40" s="83">
        <v>18503</v>
      </c>
      <c r="H40" s="83">
        <v>29602</v>
      </c>
      <c r="I40" s="83">
        <v>3965</v>
      </c>
      <c r="J40" s="83">
        <v>4988</v>
      </c>
      <c r="K40" s="83">
        <v>22357</v>
      </c>
      <c r="L40" s="83">
        <v>55116</v>
      </c>
      <c r="M40" s="83">
        <v>12217</v>
      </c>
      <c r="N40" s="83">
        <v>2577</v>
      </c>
      <c r="O40" s="83">
        <v>10248</v>
      </c>
      <c r="P40" s="83">
        <v>24744</v>
      </c>
      <c r="Q40" s="83">
        <v>32014</v>
      </c>
      <c r="R40" s="83">
        <v>175239</v>
      </c>
    </row>
    <row r="41" spans="2:22" ht="15.75" customHeight="1" x14ac:dyDescent="0.2">
      <c r="C41" s="76" t="s">
        <v>40</v>
      </c>
      <c r="F41" s="84">
        <v>-11338</v>
      </c>
      <c r="G41" s="84">
        <v>-3748</v>
      </c>
      <c r="H41" s="84">
        <v>10933</v>
      </c>
      <c r="I41" s="84">
        <v>2751</v>
      </c>
      <c r="J41" s="84">
        <v>-4285</v>
      </c>
      <c r="K41" s="84">
        <v>-3741</v>
      </c>
      <c r="L41" s="84">
        <v>28018</v>
      </c>
      <c r="M41" s="84">
        <v>-1730</v>
      </c>
      <c r="N41" s="84">
        <v>286</v>
      </c>
      <c r="O41" s="84">
        <v>-1624</v>
      </c>
      <c r="P41" s="84">
        <v>-5038</v>
      </c>
      <c r="Q41" s="84">
        <v>2088</v>
      </c>
      <c r="R41" s="84">
        <v>12572</v>
      </c>
    </row>
    <row r="42" spans="2:22" ht="15.75" customHeight="1" x14ac:dyDescent="0.2">
      <c r="D42" s="76" t="s">
        <v>41</v>
      </c>
      <c r="F42" s="85">
        <v>32717</v>
      </c>
      <c r="G42" s="85">
        <v>819</v>
      </c>
      <c r="H42" s="85">
        <v>16581</v>
      </c>
      <c r="I42" s="85">
        <v>5164</v>
      </c>
      <c r="J42" s="85">
        <v>1284</v>
      </c>
      <c r="K42" s="85">
        <v>517</v>
      </c>
      <c r="L42" s="85">
        <v>29624</v>
      </c>
      <c r="M42" s="85">
        <v>2247</v>
      </c>
      <c r="N42" s="85">
        <v>5347</v>
      </c>
      <c r="O42" s="85">
        <v>880</v>
      </c>
      <c r="P42" s="85">
        <v>419</v>
      </c>
      <c r="Q42" s="85">
        <v>7340</v>
      </c>
      <c r="R42" s="85">
        <v>102939</v>
      </c>
    </row>
    <row r="43" spans="2:22" ht="15.75" customHeight="1" x14ac:dyDescent="0.2">
      <c r="D43" s="76" t="s">
        <v>98</v>
      </c>
      <c r="F43" s="85">
        <v>44055</v>
      </c>
      <c r="G43" s="85">
        <v>4567</v>
      </c>
      <c r="H43" s="85">
        <v>5648</v>
      </c>
      <c r="I43" s="85">
        <v>2413</v>
      </c>
      <c r="J43" s="85">
        <v>5569</v>
      </c>
      <c r="K43" s="85">
        <v>4258</v>
      </c>
      <c r="L43" s="85">
        <v>1606</v>
      </c>
      <c r="M43" s="85">
        <v>3977</v>
      </c>
      <c r="N43" s="85">
        <v>5061</v>
      </c>
      <c r="O43" s="85">
        <v>2504</v>
      </c>
      <c r="P43" s="85">
        <v>5457</v>
      </c>
      <c r="Q43" s="85">
        <v>5252</v>
      </c>
      <c r="R43" s="85">
        <v>90367</v>
      </c>
    </row>
    <row r="44" spans="2:22" ht="15.7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22" ht="15.75" customHeight="1" x14ac:dyDescent="0.2">
      <c r="C45" s="76" t="s">
        <v>43</v>
      </c>
      <c r="F45" s="84">
        <v>-29754</v>
      </c>
      <c r="G45" s="84">
        <v>22251</v>
      </c>
      <c r="H45" s="84">
        <v>18669</v>
      </c>
      <c r="I45" s="84">
        <v>1214</v>
      </c>
      <c r="J45" s="84">
        <v>9273</v>
      </c>
      <c r="K45" s="84">
        <v>26098</v>
      </c>
      <c r="L45" s="84">
        <v>27098</v>
      </c>
      <c r="M45" s="84">
        <v>13947</v>
      </c>
      <c r="N45" s="84">
        <v>2291</v>
      </c>
      <c r="O45" s="84">
        <v>11872</v>
      </c>
      <c r="P45" s="84">
        <v>29782</v>
      </c>
      <c r="Q45" s="84">
        <v>29926</v>
      </c>
      <c r="R45" s="84">
        <v>162667</v>
      </c>
    </row>
    <row r="46" spans="2:22" ht="15.75" customHeight="1" x14ac:dyDescent="0.2">
      <c r="D46" s="76" t="s">
        <v>44</v>
      </c>
      <c r="F46" s="85">
        <v>-5639</v>
      </c>
      <c r="G46" s="85">
        <v>24236</v>
      </c>
      <c r="H46" s="85">
        <v>28402</v>
      </c>
      <c r="I46" s="85">
        <v>24119</v>
      </c>
      <c r="J46" s="85">
        <v>19905</v>
      </c>
      <c r="K46" s="85">
        <v>26098</v>
      </c>
      <c r="L46" s="85">
        <v>30950</v>
      </c>
      <c r="M46" s="85">
        <v>20571</v>
      </c>
      <c r="N46" s="85">
        <v>17155</v>
      </c>
      <c r="O46" s="85">
        <v>16040</v>
      </c>
      <c r="P46" s="85">
        <v>33285</v>
      </c>
      <c r="Q46" s="85">
        <v>31000</v>
      </c>
      <c r="R46" s="85">
        <v>266122</v>
      </c>
    </row>
    <row r="47" spans="2:22" ht="15.75" customHeight="1" x14ac:dyDescent="0.2">
      <c r="D47" s="76" t="s">
        <v>98</v>
      </c>
      <c r="F47" s="85">
        <v>24115</v>
      </c>
      <c r="G47" s="85">
        <v>1985</v>
      </c>
      <c r="H47" s="85">
        <v>9733</v>
      </c>
      <c r="I47" s="85">
        <v>22905</v>
      </c>
      <c r="J47" s="85">
        <v>10632</v>
      </c>
      <c r="K47" s="85">
        <v>0</v>
      </c>
      <c r="L47" s="85">
        <v>3852</v>
      </c>
      <c r="M47" s="85">
        <v>6624</v>
      </c>
      <c r="N47" s="85">
        <v>14864</v>
      </c>
      <c r="O47" s="85">
        <v>4168</v>
      </c>
      <c r="P47" s="85">
        <v>3503</v>
      </c>
      <c r="Q47" s="85">
        <v>1074</v>
      </c>
      <c r="R47" s="85">
        <v>103455</v>
      </c>
      <c r="U47" s="76" t="s">
        <v>58</v>
      </c>
      <c r="V47" s="76" t="s">
        <v>58</v>
      </c>
    </row>
    <row r="48" spans="2:22" ht="15.75" customHeight="1" x14ac:dyDescent="0.2"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V48" s="76" t="s">
        <v>58</v>
      </c>
    </row>
    <row r="49" spans="1:20" ht="15.75" customHeight="1" x14ac:dyDescent="0.25">
      <c r="B49" s="82" t="s">
        <v>47</v>
      </c>
      <c r="C49" s="82"/>
      <c r="D49" s="82"/>
      <c r="E49" s="82"/>
      <c r="F49" s="83">
        <v>-172874</v>
      </c>
      <c r="G49" s="83">
        <v>12016</v>
      </c>
      <c r="H49" s="83">
        <v>-9902</v>
      </c>
      <c r="I49" s="83">
        <v>100864</v>
      </c>
      <c r="J49" s="83">
        <v>28374</v>
      </c>
      <c r="K49" s="83">
        <v>-40734</v>
      </c>
      <c r="L49" s="83">
        <v>53479</v>
      </c>
      <c r="M49" s="83">
        <v>46290</v>
      </c>
      <c r="N49" s="83">
        <v>-14312</v>
      </c>
      <c r="O49" s="83">
        <v>307</v>
      </c>
      <c r="P49" s="83">
        <v>55789</v>
      </c>
      <c r="Q49" s="83">
        <v>-21471</v>
      </c>
      <c r="R49" s="83">
        <v>37826</v>
      </c>
    </row>
    <row r="50" spans="1:20" x14ac:dyDescent="0.2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</row>
    <row r="51" spans="1:20" s="91" customFormat="1" ht="12.75" x14ac:dyDescent="0.2">
      <c r="B51" s="92" t="s">
        <v>48</v>
      </c>
      <c r="T51" s="98"/>
    </row>
    <row r="52" spans="1:20" s="91" customFormat="1" ht="12.75" x14ac:dyDescent="0.2">
      <c r="B52" s="92"/>
      <c r="C52" s="15" t="s">
        <v>99</v>
      </c>
      <c r="T52" s="98"/>
    </row>
    <row r="53" spans="1:20" s="91" customFormat="1" ht="12.75" x14ac:dyDescent="0.2">
      <c r="B53" s="15"/>
      <c r="C53" s="15" t="s">
        <v>100</v>
      </c>
      <c r="T53" s="98"/>
    </row>
    <row r="54" spans="1:20" s="91" customFormat="1" ht="12.75" x14ac:dyDescent="0.2">
      <c r="A54" s="15"/>
      <c r="T54" s="98"/>
    </row>
    <row r="55" spans="1:20" s="91" customFormat="1" ht="12.75" x14ac:dyDescent="0.2">
      <c r="T55" s="98"/>
    </row>
    <row r="56" spans="1:20" s="91" customFormat="1" ht="12.75" x14ac:dyDescent="0.2">
      <c r="C56" s="15" t="s">
        <v>52</v>
      </c>
      <c r="T56" s="98"/>
    </row>
    <row r="57" spans="1:20" s="91" customFormat="1" ht="12.75" x14ac:dyDescent="0.2">
      <c r="C57" s="15" t="s">
        <v>107</v>
      </c>
      <c r="T57" s="98"/>
    </row>
    <row r="58" spans="1:20" s="91" customFormat="1" ht="12.75" x14ac:dyDescent="0.2">
      <c r="T58" s="98"/>
    </row>
  </sheetData>
  <mergeCells count="2">
    <mergeCell ref="A4:E4"/>
    <mergeCell ref="B6:E6"/>
  </mergeCells>
  <printOptions horizontalCentered="1"/>
  <pageMargins left="0.23611111111111099" right="0.23611111111111099" top="1.25972222222222" bottom="0" header="0.51180555555555596" footer="0.511811023622047"/>
  <pageSetup paperSize="9" orientation="portrait" horizontalDpi="300" verticalDpi="300"/>
  <headerFooter>
    <oddHeader>&amp;C&amp;"Arial,Bold"&amp;9BUREAU OF THE TREASURY
&amp;"Arial,Italic"Statistical Data Analysis Division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MJ61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R43" sqref="R43"/>
    </sheetView>
  </sheetViews>
  <sheetFormatPr defaultColWidth="9.140625" defaultRowHeight="14.25" x14ac:dyDescent="0.2"/>
  <cols>
    <col min="1" max="1" width="1.7109375" style="76" customWidth="1"/>
    <col min="2" max="2" width="1.5703125" style="76" customWidth="1"/>
    <col min="3" max="3" width="1.85546875" style="76" customWidth="1"/>
    <col min="4" max="4" width="2.140625" style="76" customWidth="1"/>
    <col min="5" max="5" width="33.42578125" style="76" customWidth="1"/>
    <col min="6" max="6" width="10.42578125" style="76" customWidth="1"/>
    <col min="7" max="17" width="9.28515625" style="76" customWidth="1"/>
    <col min="18" max="18" width="11" style="76" customWidth="1"/>
    <col min="19" max="19" width="1.140625" style="76" customWidth="1"/>
    <col min="20" max="1024" width="9.140625" style="76"/>
  </cols>
  <sheetData>
    <row r="1" spans="1:20" ht="15" x14ac:dyDescent="0.25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20" ht="15" x14ac:dyDescent="0.25">
      <c r="A2" s="77" t="s">
        <v>105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20" x14ac:dyDescent="0.2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</row>
    <row r="4" spans="1:20" x14ac:dyDescent="0.2">
      <c r="A4" s="187" t="s">
        <v>55</v>
      </c>
      <c r="B4" s="187"/>
      <c r="C4" s="187"/>
      <c r="D4" s="187"/>
      <c r="E4" s="187"/>
    </row>
    <row r="5" spans="1:20" ht="6" customHeight="1" x14ac:dyDescent="0.2"/>
    <row r="6" spans="1:20" ht="20.25" customHeight="1" x14ac:dyDescent="0.25">
      <c r="A6" s="188" t="s">
        <v>3</v>
      </c>
      <c r="B6" s="188"/>
      <c r="C6" s="188"/>
      <c r="D6" s="188"/>
      <c r="E6" s="188"/>
      <c r="F6" s="2" t="s">
        <v>108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65</v>
      </c>
      <c r="O6" s="2" t="s">
        <v>13</v>
      </c>
      <c r="P6" s="2" t="s">
        <v>56</v>
      </c>
      <c r="Q6" s="2" t="s">
        <v>57</v>
      </c>
      <c r="R6" s="2" t="s">
        <v>14</v>
      </c>
      <c r="S6" s="96"/>
    </row>
    <row r="7" spans="1:20" ht="15.75" customHeight="1" x14ac:dyDescent="0.2">
      <c r="O7" s="85"/>
    </row>
    <row r="8" spans="1:20" ht="15.75" customHeight="1" x14ac:dyDescent="0.25">
      <c r="B8" s="82" t="s">
        <v>15</v>
      </c>
      <c r="C8" s="82"/>
      <c r="D8" s="82"/>
      <c r="E8" s="82"/>
      <c r="F8" s="83">
        <f t="shared" ref="F8:R8" si="0">+F9+F19+F27</f>
        <v>148822</v>
      </c>
      <c r="G8" s="83">
        <f t="shared" si="0"/>
        <v>120286</v>
      </c>
      <c r="H8" s="83">
        <f t="shared" si="0"/>
        <v>129303</v>
      </c>
      <c r="I8" s="83">
        <f t="shared" si="0"/>
        <v>224449</v>
      </c>
      <c r="J8" s="83">
        <f t="shared" si="0"/>
        <v>172234</v>
      </c>
      <c r="K8" s="83">
        <f t="shared" si="0"/>
        <v>138640</v>
      </c>
      <c r="L8" s="83">
        <f t="shared" si="0"/>
        <v>166730</v>
      </c>
      <c r="M8" s="83">
        <f t="shared" si="0"/>
        <v>169980</v>
      </c>
      <c r="N8" s="83">
        <f t="shared" si="0"/>
        <v>154566</v>
      </c>
      <c r="O8" s="83">
        <f t="shared" si="0"/>
        <v>152263</v>
      </c>
      <c r="P8" s="83">
        <f t="shared" si="0"/>
        <v>158221</v>
      </c>
      <c r="Q8" s="83">
        <f t="shared" si="0"/>
        <v>173033</v>
      </c>
      <c r="R8" s="83">
        <f t="shared" si="0"/>
        <v>1908527</v>
      </c>
      <c r="T8" s="76" t="s">
        <v>58</v>
      </c>
    </row>
    <row r="9" spans="1:20" ht="15.75" customHeight="1" x14ac:dyDescent="0.2">
      <c r="C9" s="76" t="s">
        <v>16</v>
      </c>
      <c r="F9" s="84">
        <f>+F10+F14+F17</f>
        <v>135092</v>
      </c>
      <c r="G9" s="84">
        <f>G10+G14+G17</f>
        <v>107102</v>
      </c>
      <c r="H9" s="84">
        <f t="shared" ref="H9:R9" si="1">+H10+H14+H17</f>
        <v>113200</v>
      </c>
      <c r="I9" s="84">
        <f t="shared" si="1"/>
        <v>187959</v>
      </c>
      <c r="J9" s="84">
        <f t="shared" si="1"/>
        <v>158299</v>
      </c>
      <c r="K9" s="84">
        <f t="shared" si="1"/>
        <v>122797</v>
      </c>
      <c r="L9" s="84">
        <f t="shared" si="1"/>
        <v>151640</v>
      </c>
      <c r="M9" s="84">
        <f t="shared" si="1"/>
        <v>158420</v>
      </c>
      <c r="N9" s="84">
        <f t="shared" si="1"/>
        <v>139812</v>
      </c>
      <c r="O9" s="84">
        <f t="shared" si="1"/>
        <v>137407</v>
      </c>
      <c r="P9" s="84">
        <f t="shared" si="1"/>
        <v>147585</v>
      </c>
      <c r="Q9" s="84">
        <f t="shared" si="1"/>
        <v>159673</v>
      </c>
      <c r="R9" s="84">
        <f t="shared" si="1"/>
        <v>1718986</v>
      </c>
    </row>
    <row r="10" spans="1:20" ht="15.75" customHeight="1" x14ac:dyDescent="0.2">
      <c r="D10" s="76" t="s">
        <v>17</v>
      </c>
      <c r="F10" s="85">
        <v>104151</v>
      </c>
      <c r="G10" s="85">
        <v>78378</v>
      </c>
      <c r="H10" s="85">
        <v>82176</v>
      </c>
      <c r="I10" s="85">
        <v>156111</v>
      </c>
      <c r="J10" s="85">
        <v>128273</v>
      </c>
      <c r="K10" s="85">
        <v>94120</v>
      </c>
      <c r="L10" s="85">
        <v>119942</v>
      </c>
      <c r="M10" s="85">
        <v>127565</v>
      </c>
      <c r="N10" s="85">
        <v>105708</v>
      </c>
      <c r="O10" s="85">
        <v>101801</v>
      </c>
      <c r="P10" s="85">
        <v>121889</v>
      </c>
      <c r="Q10" s="85">
        <v>114648</v>
      </c>
      <c r="R10" s="85">
        <f>SUM(F10:Q10)</f>
        <v>1334762</v>
      </c>
    </row>
    <row r="11" spans="1:20" ht="15.7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20" ht="15.75" customHeight="1" x14ac:dyDescent="0.2">
      <c r="E12" s="76" t="s">
        <v>19</v>
      </c>
      <c r="F12" s="85">
        <v>0</v>
      </c>
      <c r="G12" s="85">
        <v>0</v>
      </c>
      <c r="H12" s="85">
        <v>0</v>
      </c>
      <c r="I12" s="85">
        <v>1157</v>
      </c>
      <c r="J12" s="85">
        <v>234</v>
      </c>
      <c r="K12" s="85">
        <v>160</v>
      </c>
      <c r="L12" s="85">
        <v>255</v>
      </c>
      <c r="M12" s="85">
        <v>231</v>
      </c>
      <c r="N12" s="85">
        <v>896</v>
      </c>
      <c r="O12" s="85">
        <v>260</v>
      </c>
      <c r="P12" s="85">
        <v>236</v>
      </c>
      <c r="Q12" s="85">
        <v>223</v>
      </c>
      <c r="R12" s="85">
        <f>SUM(F12:Q12)</f>
        <v>3652</v>
      </c>
    </row>
    <row r="13" spans="1:20" ht="15.75" customHeight="1" x14ac:dyDescent="0.2">
      <c r="E13" s="76" t="s">
        <v>20</v>
      </c>
      <c r="F13" s="85">
        <v>30</v>
      </c>
      <c r="G13" s="85">
        <v>0</v>
      </c>
      <c r="H13" s="85">
        <v>30</v>
      </c>
      <c r="I13" s="85">
        <v>9302</v>
      </c>
      <c r="J13" s="85">
        <v>2204</v>
      </c>
      <c r="K13" s="85">
        <v>416</v>
      </c>
      <c r="L13" s="85">
        <v>5</v>
      </c>
      <c r="M13" s="85">
        <v>530</v>
      </c>
      <c r="N13" s="85">
        <v>31</v>
      </c>
      <c r="O13" s="85">
        <v>668</v>
      </c>
      <c r="P13" s="85">
        <v>446</v>
      </c>
      <c r="Q13" s="85">
        <v>717</v>
      </c>
      <c r="R13" s="85">
        <f>SUM(F13:Q13)</f>
        <v>14379</v>
      </c>
    </row>
    <row r="14" spans="1:20" ht="15.75" customHeight="1" x14ac:dyDescent="0.2">
      <c r="D14" s="76" t="s">
        <v>21</v>
      </c>
      <c r="F14" s="85">
        <v>29773</v>
      </c>
      <c r="G14" s="85">
        <v>27416</v>
      </c>
      <c r="H14" s="85">
        <v>29313</v>
      </c>
      <c r="I14" s="85">
        <v>30764</v>
      </c>
      <c r="J14" s="85">
        <v>28809</v>
      </c>
      <c r="K14" s="85">
        <v>27327</v>
      </c>
      <c r="L14" s="85">
        <v>30460</v>
      </c>
      <c r="M14" s="85">
        <v>29061</v>
      </c>
      <c r="N14" s="85">
        <v>32866</v>
      </c>
      <c r="O14" s="85">
        <v>34160</v>
      </c>
      <c r="P14" s="85">
        <v>24691</v>
      </c>
      <c r="Q14" s="85">
        <v>44637</v>
      </c>
      <c r="R14" s="85">
        <f>SUM(F14:Q14)</f>
        <v>369277</v>
      </c>
    </row>
    <row r="15" spans="1:20" ht="15.7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20" ht="15.75" customHeight="1" x14ac:dyDescent="0.2">
      <c r="E16" s="76" t="s">
        <v>20</v>
      </c>
      <c r="F16" s="85">
        <v>0</v>
      </c>
      <c r="G16" s="85">
        <v>0</v>
      </c>
      <c r="H16" s="85">
        <v>0</v>
      </c>
      <c r="I16" s="85">
        <v>26</v>
      </c>
      <c r="J16" s="85">
        <v>282</v>
      </c>
      <c r="K16" s="85">
        <v>50</v>
      </c>
      <c r="L16" s="85">
        <v>3</v>
      </c>
      <c r="M16" s="85">
        <v>2</v>
      </c>
      <c r="N16" s="85">
        <v>87</v>
      </c>
      <c r="O16" s="85">
        <v>39</v>
      </c>
      <c r="P16" s="85">
        <v>0</v>
      </c>
      <c r="Q16" s="85">
        <v>11012</v>
      </c>
      <c r="R16" s="85">
        <f>SUM(F16:Q16)</f>
        <v>11501</v>
      </c>
    </row>
    <row r="17" spans="2:20" ht="15.75" customHeight="1" x14ac:dyDescent="0.2">
      <c r="D17" s="76" t="s">
        <v>106</v>
      </c>
      <c r="F17" s="85">
        <v>1168</v>
      </c>
      <c r="G17" s="85">
        <v>1308</v>
      </c>
      <c r="H17" s="85">
        <v>1711</v>
      </c>
      <c r="I17" s="85">
        <v>1084</v>
      </c>
      <c r="J17" s="85">
        <v>1217</v>
      </c>
      <c r="K17" s="85">
        <v>1350</v>
      </c>
      <c r="L17" s="85">
        <v>1238</v>
      </c>
      <c r="M17" s="85">
        <v>1794</v>
      </c>
      <c r="N17" s="85">
        <v>1238</v>
      </c>
      <c r="O17" s="85">
        <v>1446</v>
      </c>
      <c r="P17" s="85">
        <v>1005</v>
      </c>
      <c r="Q17" s="85">
        <v>388</v>
      </c>
      <c r="R17" s="85">
        <f>SUM(F17:Q17)</f>
        <v>14947</v>
      </c>
    </row>
    <row r="18" spans="2:20" ht="15.7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</row>
    <row r="19" spans="2:20" ht="15.75" customHeight="1" x14ac:dyDescent="0.2">
      <c r="C19" s="76" t="s">
        <v>23</v>
      </c>
      <c r="F19" s="84">
        <f t="shared" ref="F19:R19" si="2">SUM(F20:F25)</f>
        <v>13710</v>
      </c>
      <c r="G19" s="84">
        <f t="shared" si="2"/>
        <v>13140</v>
      </c>
      <c r="H19" s="84">
        <f t="shared" si="2"/>
        <v>16087</v>
      </c>
      <c r="I19" s="84">
        <f t="shared" si="2"/>
        <v>36482</v>
      </c>
      <c r="J19" s="84">
        <f t="shared" si="2"/>
        <v>13934</v>
      </c>
      <c r="K19" s="84">
        <f t="shared" si="2"/>
        <v>15843</v>
      </c>
      <c r="L19" s="84">
        <f t="shared" si="2"/>
        <v>15052</v>
      </c>
      <c r="M19" s="84">
        <f t="shared" si="2"/>
        <v>11554</v>
      </c>
      <c r="N19" s="84">
        <f t="shared" si="2"/>
        <v>14713</v>
      </c>
      <c r="O19" s="84">
        <f t="shared" si="2"/>
        <v>14854</v>
      </c>
      <c r="P19" s="84">
        <f t="shared" si="2"/>
        <v>10623</v>
      </c>
      <c r="Q19" s="84">
        <f t="shared" si="2"/>
        <v>13316</v>
      </c>
      <c r="R19" s="84">
        <f t="shared" si="2"/>
        <v>189308</v>
      </c>
      <c r="T19" s="76" t="s">
        <v>58</v>
      </c>
    </row>
    <row r="20" spans="2:20" ht="15.75" customHeight="1" x14ac:dyDescent="0.2">
      <c r="D20" s="76" t="s">
        <v>24</v>
      </c>
      <c r="F20" s="99">
        <v>7531</v>
      </c>
      <c r="G20" s="85">
        <v>5614</v>
      </c>
      <c r="H20" s="85">
        <v>7812</v>
      </c>
      <c r="I20" s="85">
        <v>30829</v>
      </c>
      <c r="J20" s="85">
        <v>4103</v>
      </c>
      <c r="K20" s="85">
        <v>7050</v>
      </c>
      <c r="L20" s="85">
        <v>7506</v>
      </c>
      <c r="M20" s="85">
        <v>5263</v>
      </c>
      <c r="N20" s="85">
        <v>5581</v>
      </c>
      <c r="O20" s="85">
        <v>4881</v>
      </c>
      <c r="P20" s="85">
        <v>3408</v>
      </c>
      <c r="Q20" s="85">
        <v>3866</v>
      </c>
      <c r="R20" s="85">
        <f t="shared" ref="R20:R25" si="3">SUM(F20:Q20)</f>
        <v>93444</v>
      </c>
      <c r="T20" s="76" t="s">
        <v>58</v>
      </c>
    </row>
    <row r="21" spans="2:20" ht="15.75" customHeight="1" x14ac:dyDescent="0.2">
      <c r="D21" s="76" t="s">
        <v>89</v>
      </c>
      <c r="F21" s="100">
        <v>2726</v>
      </c>
      <c r="G21" s="85">
        <v>2001</v>
      </c>
      <c r="H21" s="85">
        <v>3479</v>
      </c>
      <c r="I21" s="85">
        <v>2465</v>
      </c>
      <c r="J21" s="85">
        <v>3503</v>
      </c>
      <c r="K21" s="85">
        <v>2671</v>
      </c>
      <c r="L21" s="85">
        <v>2471</v>
      </c>
      <c r="M21" s="85">
        <v>2564</v>
      </c>
      <c r="N21" s="85">
        <v>2028</v>
      </c>
      <c r="O21" s="85">
        <v>3279</v>
      </c>
      <c r="P21" s="85">
        <v>4051</v>
      </c>
      <c r="Q21" s="85">
        <v>1533</v>
      </c>
      <c r="R21" s="85">
        <f t="shared" si="3"/>
        <v>32771</v>
      </c>
      <c r="T21" s="85"/>
    </row>
    <row r="22" spans="2:20" ht="15.75" customHeight="1" x14ac:dyDescent="0.2">
      <c r="D22" s="76" t="s">
        <v>26</v>
      </c>
      <c r="F22" s="76">
        <v>0</v>
      </c>
      <c r="G22" s="85">
        <v>1315</v>
      </c>
      <c r="H22" s="85">
        <v>0</v>
      </c>
      <c r="I22" s="85">
        <v>16</v>
      </c>
      <c r="J22" s="85">
        <v>380</v>
      </c>
      <c r="K22" s="85">
        <v>1</v>
      </c>
      <c r="L22" s="85">
        <v>144</v>
      </c>
      <c r="M22" s="85">
        <v>0</v>
      </c>
      <c r="N22" s="85">
        <v>41</v>
      </c>
      <c r="O22" s="85">
        <v>2</v>
      </c>
      <c r="P22" s="85">
        <v>4</v>
      </c>
      <c r="Q22" s="85">
        <v>43</v>
      </c>
      <c r="R22" s="85">
        <f t="shared" si="3"/>
        <v>1946</v>
      </c>
      <c r="T22" s="85"/>
    </row>
    <row r="23" spans="2:20" ht="15.75" customHeight="1" x14ac:dyDescent="0.2">
      <c r="D23" s="76" t="s">
        <v>109</v>
      </c>
      <c r="F23" s="76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f t="shared" si="3"/>
        <v>0</v>
      </c>
      <c r="T23" s="85"/>
    </row>
    <row r="24" spans="2:20" ht="15.75" customHeight="1" x14ac:dyDescent="0.2">
      <c r="D24" s="6" t="s">
        <v>27</v>
      </c>
      <c r="E24" s="6"/>
      <c r="F24" s="85">
        <v>414.512</v>
      </c>
      <c r="G24" s="85">
        <v>102.649</v>
      </c>
      <c r="H24" s="85">
        <v>2516.6379999999999</v>
      </c>
      <c r="I24" s="85">
        <v>2190.0830000000001</v>
      </c>
      <c r="J24" s="85">
        <v>2036.36</v>
      </c>
      <c r="K24" s="85">
        <v>2085.6089999999999</v>
      </c>
      <c r="L24" s="85">
        <v>2240.1840000000002</v>
      </c>
      <c r="M24" s="85">
        <v>2300.0889999999999</v>
      </c>
      <c r="N24" s="85">
        <v>2185.087</v>
      </c>
      <c r="O24" s="85">
        <v>2256.413</v>
      </c>
      <c r="P24" s="85">
        <v>1953.6030000000001</v>
      </c>
      <c r="Q24" s="85">
        <v>2002.325</v>
      </c>
      <c r="R24" s="85">
        <f t="shared" si="3"/>
        <v>22283.552</v>
      </c>
    </row>
    <row r="25" spans="2:20" ht="15.75" customHeight="1" x14ac:dyDescent="0.2">
      <c r="D25" s="6" t="s">
        <v>28</v>
      </c>
      <c r="E25" s="6"/>
      <c r="F25" s="85">
        <v>3038.4879999999998</v>
      </c>
      <c r="G25" s="85">
        <v>4107.3509999999997</v>
      </c>
      <c r="H25" s="85">
        <v>2279.3620000000001</v>
      </c>
      <c r="I25" s="85">
        <v>981.91700000000003</v>
      </c>
      <c r="J25" s="85">
        <v>3911.64</v>
      </c>
      <c r="K25" s="85">
        <v>4035.3910000000001</v>
      </c>
      <c r="L25" s="85">
        <v>2690.8159999999998</v>
      </c>
      <c r="M25" s="85">
        <v>1426.9110000000001</v>
      </c>
      <c r="N25" s="85">
        <v>4877.9129999999996</v>
      </c>
      <c r="O25" s="85">
        <v>4435.5870000000004</v>
      </c>
      <c r="P25" s="85">
        <v>1206.3969999999999</v>
      </c>
      <c r="Q25" s="85">
        <v>5871.6750000000002</v>
      </c>
      <c r="R25" s="85">
        <f t="shared" si="3"/>
        <v>38863.448000000004</v>
      </c>
    </row>
    <row r="26" spans="2:20" ht="15.75" customHeight="1" x14ac:dyDescent="0.2">
      <c r="D26" s="6"/>
      <c r="E26" s="6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</row>
    <row r="27" spans="2:20" ht="15.75" customHeight="1" x14ac:dyDescent="0.2">
      <c r="C27" s="76" t="s">
        <v>29</v>
      </c>
      <c r="F27" s="85">
        <v>20</v>
      </c>
      <c r="G27" s="85">
        <v>44</v>
      </c>
      <c r="H27" s="85">
        <v>16</v>
      </c>
      <c r="I27" s="85">
        <v>8</v>
      </c>
      <c r="J27" s="85">
        <v>1</v>
      </c>
      <c r="K27" s="85">
        <v>0</v>
      </c>
      <c r="L27" s="85">
        <v>38</v>
      </c>
      <c r="M27" s="85">
        <v>6</v>
      </c>
      <c r="N27" s="85">
        <v>41</v>
      </c>
      <c r="O27" s="85">
        <v>2</v>
      </c>
      <c r="P27" s="85">
        <v>13</v>
      </c>
      <c r="Q27" s="85">
        <v>44</v>
      </c>
      <c r="R27" s="85">
        <f>SUM(F27:Q27)</f>
        <v>233</v>
      </c>
    </row>
    <row r="28" spans="2:20" ht="15.75" customHeight="1" x14ac:dyDescent="0.2"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</row>
    <row r="29" spans="2:20" ht="15.75" customHeight="1" x14ac:dyDescent="0.25">
      <c r="B29" s="82" t="s">
        <v>30</v>
      </c>
      <c r="C29" s="82"/>
      <c r="D29" s="82"/>
      <c r="E29" s="82"/>
      <c r="F29" s="83">
        <f t="shared" ref="F29:Q29" si="4">SUM(F31:F37)</f>
        <v>183040</v>
      </c>
      <c r="G29" s="83">
        <f t="shared" si="4"/>
        <v>130004</v>
      </c>
      <c r="H29" s="83">
        <f t="shared" si="4"/>
        <v>169489</v>
      </c>
      <c r="I29" s="83">
        <f t="shared" si="4"/>
        <v>143597</v>
      </c>
      <c r="J29" s="83">
        <f t="shared" si="4"/>
        <v>160452</v>
      </c>
      <c r="K29" s="83">
        <f t="shared" si="4"/>
        <v>201126</v>
      </c>
      <c r="L29" s="83">
        <f t="shared" si="4"/>
        <v>168492</v>
      </c>
      <c r="M29" s="83">
        <f t="shared" si="4"/>
        <v>140115</v>
      </c>
      <c r="N29" s="83">
        <f t="shared" si="4"/>
        <v>159764</v>
      </c>
      <c r="O29" s="83">
        <f t="shared" si="4"/>
        <v>154793</v>
      </c>
      <c r="P29" s="83">
        <f t="shared" si="4"/>
        <v>151397</v>
      </c>
      <c r="Q29" s="83">
        <f t="shared" si="4"/>
        <v>219350</v>
      </c>
      <c r="R29" s="83">
        <f>SUM(F29:Q29)</f>
        <v>1981619</v>
      </c>
      <c r="T29" s="85"/>
    </row>
    <row r="30" spans="2:20" ht="15.75" customHeight="1" x14ac:dyDescent="0.2"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</row>
    <row r="31" spans="2:20" ht="15.75" customHeight="1" x14ac:dyDescent="0.2">
      <c r="D31" s="76" t="s">
        <v>31</v>
      </c>
      <c r="F31" s="85">
        <v>28160</v>
      </c>
      <c r="G31" s="85">
        <v>28617</v>
      </c>
      <c r="H31" s="85">
        <v>28327</v>
      </c>
      <c r="I31" s="85">
        <v>28218</v>
      </c>
      <c r="J31" s="85">
        <v>30496</v>
      </c>
      <c r="K31" s="85">
        <v>30264</v>
      </c>
      <c r="L31" s="85">
        <v>29223</v>
      </c>
      <c r="M31" s="85">
        <v>28216</v>
      </c>
      <c r="N31" s="85">
        <v>28337</v>
      </c>
      <c r="O31" s="85">
        <v>27199</v>
      </c>
      <c r="P31" s="85">
        <v>28538</v>
      </c>
      <c r="Q31" s="85">
        <v>28640</v>
      </c>
      <c r="R31" s="85">
        <f t="shared" ref="R31:R37" si="5">SUM(F31:Q31)</f>
        <v>344235</v>
      </c>
    </row>
    <row r="32" spans="2:20" ht="15.75" customHeight="1" x14ac:dyDescent="0.2">
      <c r="D32" s="76" t="s">
        <v>32</v>
      </c>
      <c r="F32" s="85">
        <v>56465</v>
      </c>
      <c r="G32" s="85">
        <v>15865</v>
      </c>
      <c r="H32" s="85">
        <v>30799</v>
      </c>
      <c r="I32" s="85">
        <v>13398</v>
      </c>
      <c r="J32" s="85">
        <v>23594</v>
      </c>
      <c r="K32" s="85">
        <v>19620</v>
      </c>
      <c r="L32" s="85">
        <v>48224</v>
      </c>
      <c r="M32" s="85">
        <v>20598</v>
      </c>
      <c r="N32" s="85">
        <v>28830</v>
      </c>
      <c r="O32" s="85">
        <v>16767</v>
      </c>
      <c r="P32" s="85">
        <v>18099</v>
      </c>
      <c r="Q32" s="85">
        <v>28926</v>
      </c>
      <c r="R32" s="85">
        <f t="shared" si="5"/>
        <v>321185</v>
      </c>
    </row>
    <row r="33" spans="2:22" ht="15.75" customHeight="1" x14ac:dyDescent="0.2">
      <c r="D33" s="76" t="s">
        <v>33</v>
      </c>
      <c r="F33" s="85">
        <v>30</v>
      </c>
      <c r="G33" s="85">
        <v>0</v>
      </c>
      <c r="H33" s="85">
        <v>30</v>
      </c>
      <c r="I33" s="85">
        <v>10485</v>
      </c>
      <c r="J33" s="85">
        <v>2720</v>
      </c>
      <c r="K33" s="85">
        <v>626</v>
      </c>
      <c r="L33" s="85">
        <v>263</v>
      </c>
      <c r="M33" s="85">
        <v>763</v>
      </c>
      <c r="N33" s="85">
        <v>1014</v>
      </c>
      <c r="O33" s="85">
        <v>967</v>
      </c>
      <c r="P33" s="85">
        <v>682</v>
      </c>
      <c r="Q33" s="85">
        <v>11952</v>
      </c>
      <c r="R33" s="85">
        <f t="shared" si="5"/>
        <v>29532</v>
      </c>
    </row>
    <row r="34" spans="2:22" ht="15.75" customHeight="1" x14ac:dyDescent="0.2">
      <c r="D34" s="76" t="s">
        <v>78</v>
      </c>
      <c r="F34" s="85">
        <v>667</v>
      </c>
      <c r="G34" s="85">
        <v>191</v>
      </c>
      <c r="H34" s="85">
        <v>369</v>
      </c>
      <c r="I34" s="85">
        <v>253</v>
      </c>
      <c r="J34" s="85">
        <v>1737</v>
      </c>
      <c r="K34" s="85">
        <v>46323</v>
      </c>
      <c r="L34" s="85">
        <v>6628</v>
      </c>
      <c r="M34" s="85">
        <v>3075</v>
      </c>
      <c r="N34" s="85">
        <v>2965</v>
      </c>
      <c r="O34" s="85">
        <v>1430</v>
      </c>
      <c r="P34" s="85">
        <v>2685</v>
      </c>
      <c r="Q34" s="85">
        <v>14117</v>
      </c>
      <c r="R34" s="85">
        <f t="shared" si="5"/>
        <v>80440</v>
      </c>
    </row>
    <row r="35" spans="2:22" ht="15.75" customHeight="1" x14ac:dyDescent="0.2">
      <c r="D35" s="76" t="s">
        <v>35</v>
      </c>
      <c r="F35" s="85">
        <v>0</v>
      </c>
      <c r="G35" s="85">
        <v>110</v>
      </c>
      <c r="H35" s="85">
        <v>28</v>
      </c>
      <c r="I35" s="85">
        <v>135</v>
      </c>
      <c r="J35" s="85">
        <v>101</v>
      </c>
      <c r="K35" s="85">
        <v>59</v>
      </c>
      <c r="L35" s="85">
        <v>202</v>
      </c>
      <c r="M35" s="85">
        <v>32</v>
      </c>
      <c r="N35" s="85">
        <v>565</v>
      </c>
      <c r="O35" s="85">
        <v>206</v>
      </c>
      <c r="P35" s="85">
        <v>52</v>
      </c>
      <c r="Q35" s="85">
        <v>258</v>
      </c>
      <c r="R35" s="85">
        <f t="shared" si="5"/>
        <v>1748</v>
      </c>
    </row>
    <row r="36" spans="2:22" ht="15.75" customHeight="1" x14ac:dyDescent="0.2">
      <c r="D36" s="76" t="s">
        <v>79</v>
      </c>
      <c r="F36" s="85">
        <v>2938</v>
      </c>
      <c r="G36" s="85">
        <v>-1441</v>
      </c>
      <c r="H36" s="85">
        <v>3412</v>
      </c>
      <c r="I36" s="85">
        <v>712</v>
      </c>
      <c r="J36" s="85">
        <v>344</v>
      </c>
      <c r="K36" s="85">
        <v>493</v>
      </c>
      <c r="L36" s="85">
        <v>484</v>
      </c>
      <c r="M36" s="85">
        <v>310</v>
      </c>
      <c r="N36" s="85">
        <v>1163</v>
      </c>
      <c r="O36" s="85">
        <v>1008</v>
      </c>
      <c r="P36" s="85">
        <v>3771</v>
      </c>
      <c r="Q36" s="85">
        <v>201</v>
      </c>
      <c r="R36" s="85">
        <f t="shared" si="5"/>
        <v>13395</v>
      </c>
    </row>
    <row r="37" spans="2:22" ht="15.75" customHeight="1" x14ac:dyDescent="0.2">
      <c r="D37" s="6" t="s">
        <v>80</v>
      </c>
      <c r="F37" s="85">
        <v>94780</v>
      </c>
      <c r="G37" s="85">
        <v>86662</v>
      </c>
      <c r="H37" s="85">
        <v>106524</v>
      </c>
      <c r="I37" s="85">
        <v>90396</v>
      </c>
      <c r="J37" s="85">
        <v>101460</v>
      </c>
      <c r="K37" s="85">
        <v>103741</v>
      </c>
      <c r="L37" s="85">
        <v>83468</v>
      </c>
      <c r="M37" s="85">
        <v>87121</v>
      </c>
      <c r="N37" s="85">
        <v>96890</v>
      </c>
      <c r="O37" s="85">
        <v>107216</v>
      </c>
      <c r="P37" s="85">
        <v>97570</v>
      </c>
      <c r="Q37" s="85">
        <v>135256</v>
      </c>
      <c r="R37" s="85">
        <f t="shared" si="5"/>
        <v>1191084</v>
      </c>
      <c r="T37" s="85"/>
    </row>
    <row r="38" spans="2:22" ht="15.75" customHeight="1" x14ac:dyDescent="0.2"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T38" s="85"/>
    </row>
    <row r="39" spans="2:22" ht="15.75" customHeight="1" x14ac:dyDescent="0.25">
      <c r="B39" s="82" t="s">
        <v>38</v>
      </c>
      <c r="C39" s="82"/>
      <c r="D39" s="82"/>
      <c r="E39" s="82"/>
      <c r="F39" s="88">
        <f t="shared" ref="F39:Q39" si="6">+F8-F29</f>
        <v>-34218</v>
      </c>
      <c r="G39" s="88">
        <f t="shared" si="6"/>
        <v>-9718</v>
      </c>
      <c r="H39" s="88">
        <f t="shared" si="6"/>
        <v>-40186</v>
      </c>
      <c r="I39" s="88">
        <f t="shared" si="6"/>
        <v>80852</v>
      </c>
      <c r="J39" s="88">
        <f t="shared" si="6"/>
        <v>11782</v>
      </c>
      <c r="K39" s="88">
        <f t="shared" si="6"/>
        <v>-62486</v>
      </c>
      <c r="L39" s="88">
        <f t="shared" si="6"/>
        <v>-1762</v>
      </c>
      <c r="M39" s="88">
        <f t="shared" si="6"/>
        <v>29865</v>
      </c>
      <c r="N39" s="88">
        <f t="shared" si="6"/>
        <v>-5198</v>
      </c>
      <c r="O39" s="88">
        <f t="shared" si="6"/>
        <v>-2530</v>
      </c>
      <c r="P39" s="88">
        <f t="shared" si="6"/>
        <v>6824</v>
      </c>
      <c r="Q39" s="88">
        <f t="shared" si="6"/>
        <v>-46317</v>
      </c>
      <c r="R39" s="88">
        <f>SUM(F39:Q39)</f>
        <v>-73092</v>
      </c>
    </row>
    <row r="40" spans="2:22" ht="15.75" customHeight="1" x14ac:dyDescent="0.2"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</row>
    <row r="41" spans="2:22" ht="15.75" customHeight="1" x14ac:dyDescent="0.25">
      <c r="B41" s="82" t="s">
        <v>39</v>
      </c>
      <c r="C41" s="82"/>
      <c r="D41" s="82"/>
      <c r="E41" s="82"/>
      <c r="F41" s="83">
        <v>-16977</v>
      </c>
      <c r="G41" s="83">
        <v>20488</v>
      </c>
      <c r="H41" s="83">
        <v>39335</v>
      </c>
      <c r="I41" s="83">
        <v>26598</v>
      </c>
      <c r="J41" s="83">
        <v>15347</v>
      </c>
      <c r="K41" s="83">
        <v>22357</v>
      </c>
      <c r="L41" s="83">
        <v>58371</v>
      </c>
      <c r="M41" s="83">
        <v>18123</v>
      </c>
      <c r="N41" s="83">
        <v>17441</v>
      </c>
      <c r="O41" s="83">
        <v>13808</v>
      </c>
      <c r="P41" s="83">
        <v>28013</v>
      </c>
      <c r="Q41" s="83">
        <v>32335</v>
      </c>
      <c r="R41" s="83">
        <v>275239</v>
      </c>
    </row>
    <row r="42" spans="2:22" ht="15.75" customHeight="1" x14ac:dyDescent="0.2">
      <c r="C42" s="76" t="s">
        <v>40</v>
      </c>
      <c r="F42" s="84">
        <v>-11338</v>
      </c>
      <c r="G42" s="84">
        <v>-3748</v>
      </c>
      <c r="H42" s="84">
        <v>10933</v>
      </c>
      <c r="I42" s="84">
        <v>2751</v>
      </c>
      <c r="J42" s="84">
        <v>-4285</v>
      </c>
      <c r="K42" s="84">
        <v>-3741</v>
      </c>
      <c r="L42" s="84">
        <v>28018</v>
      </c>
      <c r="M42" s="84">
        <v>-1730</v>
      </c>
      <c r="N42" s="84">
        <v>286</v>
      </c>
      <c r="O42" s="84">
        <v>-1624</v>
      </c>
      <c r="P42" s="84">
        <v>-5038</v>
      </c>
      <c r="Q42" s="84">
        <v>2088</v>
      </c>
      <c r="R42" s="84">
        <v>12572</v>
      </c>
    </row>
    <row r="43" spans="2:22" ht="15.75" customHeight="1" x14ac:dyDescent="0.2">
      <c r="D43" s="76" t="s">
        <v>41</v>
      </c>
      <c r="F43" s="85">
        <v>71727</v>
      </c>
      <c r="G43" s="85">
        <v>819</v>
      </c>
      <c r="H43" s="85">
        <v>16581</v>
      </c>
      <c r="I43" s="85">
        <v>5164</v>
      </c>
      <c r="J43" s="85">
        <v>1284</v>
      </c>
      <c r="K43" s="85">
        <v>517</v>
      </c>
      <c r="L43" s="85">
        <v>29624</v>
      </c>
      <c r="M43" s="85">
        <v>2247</v>
      </c>
      <c r="N43" s="85">
        <v>5347</v>
      </c>
      <c r="O43" s="85">
        <v>880</v>
      </c>
      <c r="P43" s="85">
        <v>419</v>
      </c>
      <c r="Q43" s="85">
        <v>7340</v>
      </c>
      <c r="R43" s="85">
        <v>141949</v>
      </c>
    </row>
    <row r="44" spans="2:22" ht="15.75" customHeight="1" x14ac:dyDescent="0.2">
      <c r="D44" s="76" t="s">
        <v>98</v>
      </c>
      <c r="F44" s="85">
        <v>83065</v>
      </c>
      <c r="G44" s="85">
        <v>4567</v>
      </c>
      <c r="H44" s="85">
        <v>5648</v>
      </c>
      <c r="I44" s="85">
        <v>2413</v>
      </c>
      <c r="J44" s="85">
        <v>5569</v>
      </c>
      <c r="K44" s="85">
        <v>4258</v>
      </c>
      <c r="L44" s="85">
        <v>1606</v>
      </c>
      <c r="M44" s="85">
        <v>3977</v>
      </c>
      <c r="N44" s="85">
        <v>5061</v>
      </c>
      <c r="O44" s="85">
        <v>2504</v>
      </c>
      <c r="P44" s="85">
        <v>5457</v>
      </c>
      <c r="Q44" s="85">
        <v>5252</v>
      </c>
      <c r="R44" s="85">
        <v>129377</v>
      </c>
    </row>
    <row r="45" spans="2:22" ht="15.75" customHeight="1" x14ac:dyDescent="0.2"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</row>
    <row r="46" spans="2:22" ht="15.75" customHeight="1" x14ac:dyDescent="0.2">
      <c r="C46" s="76" t="s">
        <v>43</v>
      </c>
      <c r="F46" s="84">
        <v>-5639</v>
      </c>
      <c r="G46" s="84">
        <v>24236</v>
      </c>
      <c r="H46" s="84">
        <v>28402</v>
      </c>
      <c r="I46" s="84">
        <v>23847</v>
      </c>
      <c r="J46" s="84">
        <v>19632</v>
      </c>
      <c r="K46" s="84">
        <v>26098</v>
      </c>
      <c r="L46" s="84">
        <v>30353</v>
      </c>
      <c r="M46" s="84">
        <v>19853</v>
      </c>
      <c r="N46" s="84">
        <v>17155</v>
      </c>
      <c r="O46" s="84">
        <v>15432</v>
      </c>
      <c r="P46" s="84">
        <v>33051</v>
      </c>
      <c r="Q46" s="84">
        <v>30247</v>
      </c>
      <c r="R46" s="84">
        <v>262667</v>
      </c>
    </row>
    <row r="47" spans="2:22" ht="15.75" customHeight="1" x14ac:dyDescent="0.2">
      <c r="D47" s="76" t="s">
        <v>44</v>
      </c>
      <c r="F47" s="85">
        <v>-5639</v>
      </c>
      <c r="G47" s="85">
        <v>24236</v>
      </c>
      <c r="H47" s="85">
        <v>28402</v>
      </c>
      <c r="I47" s="85">
        <v>24119</v>
      </c>
      <c r="J47" s="85">
        <v>19905</v>
      </c>
      <c r="K47" s="85">
        <v>26098</v>
      </c>
      <c r="L47" s="85">
        <v>30950</v>
      </c>
      <c r="M47" s="85">
        <v>142287</v>
      </c>
      <c r="N47" s="85">
        <v>17155</v>
      </c>
      <c r="O47" s="85">
        <v>16040</v>
      </c>
      <c r="P47" s="85">
        <v>33285</v>
      </c>
      <c r="Q47" s="85">
        <v>31000</v>
      </c>
      <c r="R47" s="85">
        <v>387838</v>
      </c>
    </row>
    <row r="48" spans="2:22" ht="15.75" customHeight="1" x14ac:dyDescent="0.2">
      <c r="D48" s="76" t="s">
        <v>45</v>
      </c>
      <c r="F48" s="85">
        <v>0</v>
      </c>
      <c r="G48" s="85">
        <v>0</v>
      </c>
      <c r="H48" s="85">
        <v>0</v>
      </c>
      <c r="I48" s="85">
        <v>272</v>
      </c>
      <c r="J48" s="85">
        <v>273</v>
      </c>
      <c r="K48" s="85">
        <v>0</v>
      </c>
      <c r="L48" s="85">
        <v>597</v>
      </c>
      <c r="M48" s="85">
        <v>122434</v>
      </c>
      <c r="N48" s="85">
        <v>0</v>
      </c>
      <c r="O48" s="85">
        <v>608</v>
      </c>
      <c r="P48" s="85">
        <v>234</v>
      </c>
      <c r="Q48" s="85">
        <v>753</v>
      </c>
      <c r="R48" s="85">
        <v>125171</v>
      </c>
      <c r="U48" s="76" t="s">
        <v>58</v>
      </c>
      <c r="V48" s="76" t="s">
        <v>58</v>
      </c>
    </row>
    <row r="49" spans="1:22" ht="15.75" customHeight="1" x14ac:dyDescent="0.2">
      <c r="E49" s="6" t="s">
        <v>68</v>
      </c>
      <c r="F49" s="85">
        <v>107926</v>
      </c>
      <c r="G49" s="85">
        <v>0</v>
      </c>
      <c r="H49" s="85">
        <v>10522</v>
      </c>
      <c r="I49" s="85">
        <v>272</v>
      </c>
      <c r="J49" s="85">
        <v>273</v>
      </c>
      <c r="K49" s="85">
        <v>0</v>
      </c>
      <c r="L49" s="85">
        <v>6133</v>
      </c>
      <c r="M49" s="85">
        <v>122434</v>
      </c>
      <c r="N49" s="85">
        <v>36557</v>
      </c>
      <c r="O49" s="85">
        <v>19881</v>
      </c>
      <c r="P49" s="85">
        <v>234</v>
      </c>
      <c r="Q49" s="85">
        <v>753</v>
      </c>
      <c r="R49" s="85">
        <v>304985</v>
      </c>
    </row>
    <row r="50" spans="1:22" ht="15.75" customHeight="1" x14ac:dyDescent="0.2">
      <c r="E50" s="22" t="s">
        <v>81</v>
      </c>
      <c r="F50" s="85">
        <v>107926</v>
      </c>
      <c r="G50" s="85">
        <v>0</v>
      </c>
      <c r="H50" s="85">
        <v>10522</v>
      </c>
      <c r="I50" s="85">
        <v>0</v>
      </c>
      <c r="J50" s="85">
        <v>0</v>
      </c>
      <c r="K50" s="85">
        <v>0</v>
      </c>
      <c r="L50" s="85">
        <v>5536</v>
      </c>
      <c r="M50" s="85">
        <v>0</v>
      </c>
      <c r="N50" s="85">
        <v>36557</v>
      </c>
      <c r="O50" s="85">
        <v>19273</v>
      </c>
      <c r="P50" s="85">
        <v>0</v>
      </c>
      <c r="Q50" s="85">
        <v>0</v>
      </c>
      <c r="R50" s="85">
        <v>179814</v>
      </c>
    </row>
    <row r="51" spans="1:22" ht="15.75" customHeight="1" x14ac:dyDescent="0.2"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V51" s="76" t="s">
        <v>58</v>
      </c>
    </row>
    <row r="52" spans="1:22" ht="15.75" customHeight="1" x14ac:dyDescent="0.25">
      <c r="B52" s="82" t="s">
        <v>47</v>
      </c>
      <c r="C52" s="82"/>
      <c r="D52" s="82"/>
      <c r="E52" s="82"/>
      <c r="F52" s="83">
        <v>-172874</v>
      </c>
      <c r="G52" s="83">
        <v>12016</v>
      </c>
      <c r="H52" s="83">
        <v>-9902</v>
      </c>
      <c r="I52" s="83">
        <v>100864</v>
      </c>
      <c r="J52" s="83">
        <v>28374</v>
      </c>
      <c r="K52" s="83">
        <v>-40734</v>
      </c>
      <c r="L52" s="83">
        <v>53479</v>
      </c>
      <c r="M52" s="83">
        <v>46290</v>
      </c>
      <c r="N52" s="83">
        <v>-14312</v>
      </c>
      <c r="O52" s="83">
        <v>307</v>
      </c>
      <c r="P52" s="83">
        <v>55789</v>
      </c>
      <c r="Q52" s="83">
        <v>-21471</v>
      </c>
      <c r="R52" s="83">
        <v>37826</v>
      </c>
    </row>
    <row r="53" spans="1:22" x14ac:dyDescent="0.2"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</row>
    <row r="54" spans="1:22" x14ac:dyDescent="0.2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</row>
    <row r="55" spans="1:22" s="91" customFormat="1" ht="12.75" x14ac:dyDescent="0.2">
      <c r="B55" s="92" t="s">
        <v>48</v>
      </c>
    </row>
    <row r="56" spans="1:22" s="91" customFormat="1" ht="14.25" customHeight="1" x14ac:dyDescent="0.2">
      <c r="B56" s="92"/>
      <c r="C56" s="176" t="s">
        <v>49</v>
      </c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</row>
    <row r="57" spans="1:22" s="91" customFormat="1" ht="23.25" customHeight="1" x14ac:dyDescent="0.2">
      <c r="B57" s="92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</row>
    <row r="58" spans="1:22" s="91" customFormat="1" ht="12.75" x14ac:dyDescent="0.2"/>
    <row r="59" spans="1:22" s="91" customFormat="1" ht="12.75" x14ac:dyDescent="0.2"/>
    <row r="60" spans="1:22" s="91" customFormat="1" ht="12.75" x14ac:dyDescent="0.2">
      <c r="B60" s="15" t="s">
        <v>52</v>
      </c>
    </row>
    <row r="61" spans="1:22" s="91" customFormat="1" ht="12.75" x14ac:dyDescent="0.2">
      <c r="B61" s="15" t="s">
        <v>107</v>
      </c>
    </row>
  </sheetData>
  <mergeCells count="3">
    <mergeCell ref="A4:E4"/>
    <mergeCell ref="A6:E6"/>
    <mergeCell ref="C56:Q57"/>
  </mergeCells>
  <printOptions horizontalCentered="1"/>
  <pageMargins left="0.23611111111111099" right="0.23611111111111099" top="1.25972222222222" bottom="0" header="0.51180555555555596" footer="0.511811023622047"/>
  <pageSetup paperSize="9" orientation="portrait" horizontalDpi="300" verticalDpi="300"/>
  <headerFooter>
    <oddHeader>&amp;C&amp;"Arial,Bold"&amp;9BUREAU OF THE TREASURY
&amp;"Arial,Regular"Statistical Data Analysis Division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MJ58"/>
  <sheetViews>
    <sheetView zoomScaleNormal="100" workbookViewId="0">
      <selection activeCell="Z24" sqref="Z24"/>
    </sheetView>
  </sheetViews>
  <sheetFormatPr defaultColWidth="9.140625" defaultRowHeight="14.25" x14ac:dyDescent="0.2"/>
  <cols>
    <col min="1" max="1" width="1.7109375" style="76" customWidth="1"/>
    <col min="2" max="2" width="1.5703125" style="76" customWidth="1"/>
    <col min="3" max="3" width="1.85546875" style="76" customWidth="1"/>
    <col min="4" max="4" width="2.140625" style="76" customWidth="1"/>
    <col min="5" max="5" width="28" style="76" customWidth="1"/>
    <col min="6" max="6" width="9.42578125" style="76" customWidth="1"/>
    <col min="7" max="7" width="10" style="76" customWidth="1"/>
    <col min="8" max="17" width="9.42578125" style="76" customWidth="1"/>
    <col min="18" max="18" width="11" style="76" customWidth="1"/>
    <col min="19" max="19" width="0.7109375" style="76" customWidth="1"/>
    <col min="20" max="1024" width="9.140625" style="76"/>
  </cols>
  <sheetData>
    <row r="1" spans="1:19" ht="15" x14ac:dyDescent="0.25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15" x14ac:dyDescent="0.25">
      <c r="A2" s="77" t="s">
        <v>110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19" x14ac:dyDescent="0.2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</row>
    <row r="4" spans="1:19" x14ac:dyDescent="0.2">
      <c r="A4" s="186" t="s">
        <v>96</v>
      </c>
      <c r="B4" s="186"/>
      <c r="C4" s="186"/>
      <c r="D4" s="186"/>
      <c r="E4" s="186"/>
    </row>
    <row r="5" spans="1:19" ht="6" customHeight="1" x14ac:dyDescent="0.2"/>
    <row r="6" spans="1:19" ht="21" customHeight="1" x14ac:dyDescent="0.25">
      <c r="A6" s="95"/>
      <c r="B6" s="184" t="s">
        <v>3</v>
      </c>
      <c r="C6" s="184"/>
      <c r="D6" s="184"/>
      <c r="E6" s="184"/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65</v>
      </c>
      <c r="O6" s="2" t="s">
        <v>13</v>
      </c>
      <c r="P6" s="2" t="s">
        <v>56</v>
      </c>
      <c r="Q6" s="2" t="s">
        <v>57</v>
      </c>
      <c r="R6" s="2" t="s">
        <v>14</v>
      </c>
      <c r="S6" s="96"/>
    </row>
    <row r="7" spans="1:19" ht="15" customHeight="1" x14ac:dyDescent="0.2">
      <c r="O7" s="85"/>
    </row>
    <row r="8" spans="1:19" ht="15" customHeight="1" x14ac:dyDescent="0.25">
      <c r="B8" s="82" t="s">
        <v>15</v>
      </c>
      <c r="C8" s="82"/>
      <c r="D8" s="82"/>
      <c r="E8" s="82"/>
      <c r="F8" s="83">
        <f t="shared" ref="F8:R8" si="0">F9+F19+F26</f>
        <v>138368</v>
      </c>
      <c r="G8" s="83">
        <f t="shared" si="0"/>
        <v>112348</v>
      </c>
      <c r="H8" s="83">
        <f t="shared" si="0"/>
        <v>113609</v>
      </c>
      <c r="I8" s="83">
        <f t="shared" si="0"/>
        <v>190010</v>
      </c>
      <c r="J8" s="83">
        <f t="shared" si="0"/>
        <v>154039</v>
      </c>
      <c r="K8" s="83">
        <f t="shared" si="0"/>
        <v>131089</v>
      </c>
      <c r="L8" s="83">
        <f t="shared" si="0"/>
        <v>144622</v>
      </c>
      <c r="M8" s="83">
        <f t="shared" si="0"/>
        <v>155139</v>
      </c>
      <c r="N8" s="83">
        <f t="shared" si="0"/>
        <v>127336</v>
      </c>
      <c r="O8" s="83">
        <f t="shared" si="0"/>
        <v>134309</v>
      </c>
      <c r="P8" s="83">
        <f t="shared" si="0"/>
        <v>164996</v>
      </c>
      <c r="Q8" s="83">
        <f t="shared" si="0"/>
        <v>150228</v>
      </c>
      <c r="R8" s="83">
        <f t="shared" si="0"/>
        <v>1716093</v>
      </c>
    </row>
    <row r="9" spans="1:19" ht="15" customHeight="1" x14ac:dyDescent="0.2">
      <c r="C9" s="76" t="s">
        <v>16</v>
      </c>
      <c r="F9" s="84">
        <f t="shared" ref="F9:R9" si="1">F10+F14+F17</f>
        <v>120439</v>
      </c>
      <c r="G9" s="84">
        <f t="shared" si="1"/>
        <v>98156</v>
      </c>
      <c r="H9" s="84">
        <f t="shared" si="1"/>
        <v>98131</v>
      </c>
      <c r="I9" s="84">
        <f t="shared" si="1"/>
        <v>177290</v>
      </c>
      <c r="J9" s="84">
        <f t="shared" si="1"/>
        <v>138978</v>
      </c>
      <c r="K9" s="84">
        <f t="shared" si="1"/>
        <v>113321</v>
      </c>
      <c r="L9" s="84">
        <f t="shared" si="1"/>
        <v>129161</v>
      </c>
      <c r="M9" s="84">
        <f t="shared" si="1"/>
        <v>145728</v>
      </c>
      <c r="N9" s="84">
        <f t="shared" si="1"/>
        <v>112858</v>
      </c>
      <c r="O9" s="84">
        <f t="shared" si="1"/>
        <v>124688</v>
      </c>
      <c r="P9" s="84">
        <f t="shared" si="1"/>
        <v>155334</v>
      </c>
      <c r="Q9" s="84">
        <f t="shared" si="1"/>
        <v>121614</v>
      </c>
      <c r="R9" s="84">
        <f t="shared" si="1"/>
        <v>1535698</v>
      </c>
    </row>
    <row r="10" spans="1:19" ht="15" customHeight="1" x14ac:dyDescent="0.2">
      <c r="D10" s="76" t="s">
        <v>17</v>
      </c>
      <c r="F10" s="85">
        <v>94718</v>
      </c>
      <c r="G10" s="85">
        <v>74519</v>
      </c>
      <c r="H10" s="85">
        <v>74825</v>
      </c>
      <c r="I10" s="85">
        <v>148989</v>
      </c>
      <c r="J10" s="85">
        <v>111899</v>
      </c>
      <c r="K10" s="85">
        <v>88761</v>
      </c>
      <c r="L10" s="85">
        <v>100098</v>
      </c>
      <c r="M10" s="85">
        <v>118110</v>
      </c>
      <c r="N10" s="85">
        <v>86034</v>
      </c>
      <c r="O10" s="85">
        <v>95587</v>
      </c>
      <c r="P10" s="85">
        <v>126462</v>
      </c>
      <c r="Q10" s="85">
        <v>96659</v>
      </c>
      <c r="R10" s="85">
        <v>1216661</v>
      </c>
    </row>
    <row r="11" spans="1:19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" customHeight="1" x14ac:dyDescent="0.2">
      <c r="E12" s="76" t="s">
        <v>19</v>
      </c>
      <c r="F12" s="85">
        <v>153</v>
      </c>
      <c r="G12" s="85">
        <v>250</v>
      </c>
      <c r="H12" s="85">
        <v>371</v>
      </c>
      <c r="I12" s="85">
        <v>363</v>
      </c>
      <c r="J12" s="85">
        <v>275</v>
      </c>
      <c r="K12" s="85">
        <v>217</v>
      </c>
      <c r="L12" s="85">
        <v>320</v>
      </c>
      <c r="M12" s="85">
        <v>0</v>
      </c>
      <c r="N12" s="85">
        <v>1089</v>
      </c>
      <c r="O12" s="85">
        <v>420</v>
      </c>
      <c r="P12" s="85">
        <v>321</v>
      </c>
      <c r="Q12" s="85">
        <v>232</v>
      </c>
      <c r="R12" s="85">
        <v>4011</v>
      </c>
    </row>
    <row r="13" spans="1:19" ht="15" customHeight="1" x14ac:dyDescent="0.2">
      <c r="E13" s="76" t="s">
        <v>20</v>
      </c>
      <c r="F13" s="85">
        <v>0</v>
      </c>
      <c r="G13" s="85">
        <v>545</v>
      </c>
      <c r="H13" s="85">
        <v>6</v>
      </c>
      <c r="I13" s="85">
        <v>9963</v>
      </c>
      <c r="J13" s="85">
        <v>827</v>
      </c>
      <c r="K13" s="85">
        <v>341</v>
      </c>
      <c r="L13" s="85">
        <v>624</v>
      </c>
      <c r="M13" s="85">
        <v>214</v>
      </c>
      <c r="N13" s="85">
        <v>782</v>
      </c>
      <c r="O13" s="85">
        <v>344</v>
      </c>
      <c r="P13" s="85">
        <v>1951</v>
      </c>
      <c r="Q13" s="85">
        <v>999</v>
      </c>
      <c r="R13" s="85">
        <v>16596</v>
      </c>
    </row>
    <row r="14" spans="1:19" ht="15" customHeight="1" x14ac:dyDescent="0.2">
      <c r="D14" s="76" t="s">
        <v>21</v>
      </c>
      <c r="F14" s="85">
        <v>24540</v>
      </c>
      <c r="G14" s="85">
        <v>22471</v>
      </c>
      <c r="H14" s="85">
        <v>21805</v>
      </c>
      <c r="I14" s="85">
        <v>27137</v>
      </c>
      <c r="J14" s="85">
        <v>25925</v>
      </c>
      <c r="K14" s="85">
        <v>23253</v>
      </c>
      <c r="L14" s="85">
        <v>27674</v>
      </c>
      <c r="M14" s="85">
        <v>26086</v>
      </c>
      <c r="N14" s="85">
        <v>25733</v>
      </c>
      <c r="O14" s="85">
        <v>27863</v>
      </c>
      <c r="P14" s="85">
        <v>28254</v>
      </c>
      <c r="Q14" s="85">
        <v>24184</v>
      </c>
      <c r="R14" s="85">
        <v>304925</v>
      </c>
    </row>
    <row r="15" spans="1:19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" customHeight="1" x14ac:dyDescent="0.2">
      <c r="E16" s="76" t="s">
        <v>20</v>
      </c>
      <c r="F16" s="85">
        <v>0</v>
      </c>
      <c r="G16" s="85">
        <v>0</v>
      </c>
      <c r="H16" s="85">
        <v>32</v>
      </c>
      <c r="I16" s="85">
        <v>84</v>
      </c>
      <c r="J16" s="85">
        <v>26</v>
      </c>
      <c r="K16" s="85">
        <v>2</v>
      </c>
      <c r="L16" s="85">
        <v>415</v>
      </c>
      <c r="M16" s="85">
        <v>462</v>
      </c>
      <c r="N16" s="85">
        <v>80</v>
      </c>
      <c r="O16" s="85">
        <v>1303</v>
      </c>
      <c r="P16" s="85">
        <v>0</v>
      </c>
      <c r="Q16" s="85">
        <v>2</v>
      </c>
      <c r="R16" s="85">
        <v>2406</v>
      </c>
    </row>
    <row r="17" spans="2:21" ht="15" customHeight="1" x14ac:dyDescent="0.2">
      <c r="D17" s="76" t="s">
        <v>106</v>
      </c>
      <c r="F17" s="85">
        <v>1181</v>
      </c>
      <c r="G17" s="85">
        <v>1166</v>
      </c>
      <c r="H17" s="85">
        <v>1501</v>
      </c>
      <c r="I17" s="85">
        <v>1164</v>
      </c>
      <c r="J17" s="85">
        <v>1154</v>
      </c>
      <c r="K17" s="85">
        <v>1307</v>
      </c>
      <c r="L17" s="85">
        <v>1389</v>
      </c>
      <c r="M17" s="85">
        <v>1532</v>
      </c>
      <c r="N17" s="85">
        <v>1091</v>
      </c>
      <c r="O17" s="85">
        <v>1238</v>
      </c>
      <c r="P17" s="85">
        <v>618</v>
      </c>
      <c r="Q17" s="85">
        <v>771</v>
      </c>
      <c r="R17" s="85">
        <v>14112</v>
      </c>
    </row>
    <row r="18" spans="2:21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5" customHeight="1" x14ac:dyDescent="0.2">
      <c r="C19" s="76" t="s">
        <v>23</v>
      </c>
      <c r="F19" s="84">
        <f t="shared" ref="F19:R19" si="2">SUM(F20:F24)</f>
        <v>17929</v>
      </c>
      <c r="G19" s="84">
        <f t="shared" si="2"/>
        <v>14165</v>
      </c>
      <c r="H19" s="84">
        <f t="shared" si="2"/>
        <v>15478</v>
      </c>
      <c r="I19" s="84">
        <f t="shared" si="2"/>
        <v>12666</v>
      </c>
      <c r="J19" s="84">
        <f t="shared" si="2"/>
        <v>15061</v>
      </c>
      <c r="K19" s="84">
        <f t="shared" si="2"/>
        <v>17763</v>
      </c>
      <c r="L19" s="84">
        <f t="shared" si="2"/>
        <v>15461</v>
      </c>
      <c r="M19" s="84">
        <f t="shared" si="2"/>
        <v>9411</v>
      </c>
      <c r="N19" s="84">
        <f t="shared" si="2"/>
        <v>14436</v>
      </c>
      <c r="O19" s="84">
        <f t="shared" si="2"/>
        <v>9611</v>
      </c>
      <c r="P19" s="84">
        <f t="shared" si="2"/>
        <v>9662</v>
      </c>
      <c r="Q19" s="84">
        <f t="shared" si="2"/>
        <v>28431</v>
      </c>
      <c r="R19" s="84">
        <f t="shared" si="2"/>
        <v>180074</v>
      </c>
    </row>
    <row r="20" spans="2:21" ht="15" customHeight="1" x14ac:dyDescent="0.2">
      <c r="D20" s="76" t="s">
        <v>24</v>
      </c>
      <c r="F20" s="85">
        <v>9350</v>
      </c>
      <c r="G20" s="85">
        <v>6962</v>
      </c>
      <c r="H20" s="85">
        <v>8594</v>
      </c>
      <c r="I20" s="85">
        <v>6275</v>
      </c>
      <c r="J20" s="85">
        <v>9418</v>
      </c>
      <c r="K20" s="85">
        <v>8934</v>
      </c>
      <c r="L20" s="85">
        <v>7945</v>
      </c>
      <c r="M20" s="85">
        <v>3427</v>
      </c>
      <c r="N20" s="85">
        <v>7219</v>
      </c>
      <c r="O20" s="85">
        <v>3592</v>
      </c>
      <c r="P20" s="85">
        <v>3783</v>
      </c>
      <c r="Q20" s="85">
        <v>5514</v>
      </c>
      <c r="R20" s="85">
        <f>SUM(F20:Q20)</f>
        <v>81013</v>
      </c>
      <c r="S20" s="85"/>
    </row>
    <row r="21" spans="2:21" ht="15" customHeight="1" x14ac:dyDescent="0.2">
      <c r="D21" s="76" t="s">
        <v>89</v>
      </c>
      <c r="F21" s="85">
        <v>2871</v>
      </c>
      <c r="G21" s="85">
        <v>2595</v>
      </c>
      <c r="H21" s="85">
        <v>2054</v>
      </c>
      <c r="I21" s="85">
        <v>2607</v>
      </c>
      <c r="J21" s="85">
        <v>2326</v>
      </c>
      <c r="K21" s="85">
        <v>1723</v>
      </c>
      <c r="L21" s="85">
        <v>2841</v>
      </c>
      <c r="M21" s="85">
        <v>2444</v>
      </c>
      <c r="N21" s="85">
        <v>2142</v>
      </c>
      <c r="O21" s="85">
        <v>5047</v>
      </c>
      <c r="P21" s="85">
        <v>2139</v>
      </c>
      <c r="Q21" s="85">
        <v>1752</v>
      </c>
      <c r="R21" s="85">
        <f>SUM(F21:Q21)</f>
        <v>30541</v>
      </c>
      <c r="S21" s="85"/>
      <c r="T21" s="85"/>
    </row>
    <row r="22" spans="2:21" ht="15" customHeight="1" x14ac:dyDescent="0.2">
      <c r="D22" s="76" t="s">
        <v>27</v>
      </c>
      <c r="F22" s="85">
        <v>2006.674</v>
      </c>
      <c r="G22" s="85">
        <v>2080.355</v>
      </c>
      <c r="H22" s="85">
        <v>2219.7530000000002</v>
      </c>
      <c r="I22" s="85">
        <v>2439.3290000000002</v>
      </c>
      <c r="J22" s="85">
        <v>2163.6120000000001</v>
      </c>
      <c r="K22" s="85">
        <v>2582.893</v>
      </c>
      <c r="L22" s="85">
        <v>2080.34</v>
      </c>
      <c r="M22" s="85">
        <v>248.86600000000001</v>
      </c>
      <c r="N22" s="85">
        <v>2136.752</v>
      </c>
      <c r="O22" s="85">
        <v>1906.1220000000001</v>
      </c>
      <c r="P22" s="85">
        <v>2062.6709999999998</v>
      </c>
      <c r="Q22" s="85">
        <v>2160.482</v>
      </c>
      <c r="R22" s="85">
        <f>SUM(F22:Q22)</f>
        <v>24087.848999999998</v>
      </c>
      <c r="S22" s="85"/>
      <c r="T22" s="85"/>
    </row>
    <row r="23" spans="2:21" ht="15" customHeight="1" x14ac:dyDescent="0.2">
      <c r="D23" s="76" t="s">
        <v>26</v>
      </c>
      <c r="F23" s="85">
        <v>0</v>
      </c>
      <c r="G23" s="85">
        <v>9</v>
      </c>
      <c r="H23" s="85">
        <v>0</v>
      </c>
      <c r="I23" s="85">
        <v>48</v>
      </c>
      <c r="J23" s="85">
        <v>0</v>
      </c>
      <c r="K23" s="85">
        <v>222</v>
      </c>
      <c r="L23" s="85">
        <v>72</v>
      </c>
      <c r="M23" s="85">
        <v>0</v>
      </c>
      <c r="N23" s="85">
        <v>0</v>
      </c>
      <c r="O23" s="85">
        <v>0</v>
      </c>
      <c r="P23" s="85">
        <v>2459</v>
      </c>
      <c r="Q23" s="85">
        <v>126</v>
      </c>
      <c r="R23" s="85">
        <f>SUM(F23:Q23)</f>
        <v>2936</v>
      </c>
      <c r="S23" s="85"/>
    </row>
    <row r="24" spans="2:21" ht="15" customHeight="1" x14ac:dyDescent="0.2">
      <c r="D24" s="76" t="s">
        <v>106</v>
      </c>
      <c r="F24" s="85">
        <f>8579-F21-F22</f>
        <v>3701.326</v>
      </c>
      <c r="G24" s="85">
        <f>7194-G21-G22</f>
        <v>2518.645</v>
      </c>
      <c r="H24" s="85">
        <f>6884-H21-H22</f>
        <v>2610.2469999999998</v>
      </c>
      <c r="I24" s="85">
        <f>6343-I21-I22</f>
        <v>1296.6709999999998</v>
      </c>
      <c r="J24" s="85">
        <f>5643-J21-J22</f>
        <v>1153.3879999999999</v>
      </c>
      <c r="K24" s="85">
        <f>8607-K21-K22</f>
        <v>4301.107</v>
      </c>
      <c r="L24" s="85">
        <f>7444-L21-L22</f>
        <v>2522.66</v>
      </c>
      <c r="M24" s="85">
        <f>5984-M21-M22</f>
        <v>3291.134</v>
      </c>
      <c r="N24" s="85">
        <f>7217-N21-N22</f>
        <v>2938.248</v>
      </c>
      <c r="O24" s="85">
        <f>6019-O21-O22</f>
        <v>-934.12200000000007</v>
      </c>
      <c r="P24" s="85">
        <f>3420-P21-P22</f>
        <v>-781.67099999999982</v>
      </c>
      <c r="Q24" s="85">
        <f>22791-Q21-Q22</f>
        <v>18878.518</v>
      </c>
      <c r="R24" s="85">
        <f>SUM(F24:Q24)</f>
        <v>41496.150999999998</v>
      </c>
      <c r="S24" s="85"/>
    </row>
    <row r="25" spans="2:21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5" customHeight="1" x14ac:dyDescent="0.2">
      <c r="C26" s="76" t="s">
        <v>29</v>
      </c>
      <c r="F26" s="85">
        <v>0</v>
      </c>
      <c r="G26" s="85">
        <v>27</v>
      </c>
      <c r="H26" s="85">
        <v>0</v>
      </c>
      <c r="I26" s="85">
        <v>54</v>
      </c>
      <c r="J26" s="85">
        <v>0</v>
      </c>
      <c r="K26" s="85">
        <v>5</v>
      </c>
      <c r="L26" s="85">
        <v>0</v>
      </c>
      <c r="M26" s="85">
        <v>0</v>
      </c>
      <c r="N26" s="85">
        <v>42</v>
      </c>
      <c r="O26" s="85">
        <v>10</v>
      </c>
      <c r="P26" s="85">
        <v>0</v>
      </c>
      <c r="Q26" s="85">
        <v>183</v>
      </c>
      <c r="R26" s="85">
        <v>321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5">
      <c r="B28" s="82" t="s">
        <v>30</v>
      </c>
      <c r="C28" s="82"/>
      <c r="D28" s="82"/>
      <c r="E28" s="82"/>
      <c r="F28" s="83">
        <f t="shared" ref="F28:Q28" si="3">SUM(F30:F36)</f>
        <v>157899</v>
      </c>
      <c r="G28" s="83">
        <f t="shared" si="3"/>
        <v>124097</v>
      </c>
      <c r="H28" s="83">
        <f t="shared" si="3"/>
        <v>148807</v>
      </c>
      <c r="I28" s="83">
        <f t="shared" si="3"/>
        <v>153207</v>
      </c>
      <c r="J28" s="83">
        <f t="shared" si="3"/>
        <v>167203</v>
      </c>
      <c r="K28" s="83">
        <f t="shared" si="3"/>
        <v>139540</v>
      </c>
      <c r="L28" s="83">
        <f t="shared" si="3"/>
        <v>197844</v>
      </c>
      <c r="M28" s="83">
        <f t="shared" si="3"/>
        <v>133238</v>
      </c>
      <c r="N28" s="83">
        <f t="shared" si="3"/>
        <v>145952</v>
      </c>
      <c r="O28" s="83">
        <f t="shared" si="3"/>
        <v>145546</v>
      </c>
      <c r="P28" s="83">
        <f t="shared" si="3"/>
        <v>163996</v>
      </c>
      <c r="Q28" s="83">
        <f t="shared" si="3"/>
        <v>202826</v>
      </c>
      <c r="R28" s="83">
        <f>SUM(F28:Q28)</f>
        <v>1880155</v>
      </c>
      <c r="T28" s="85"/>
    </row>
    <row r="29" spans="2:21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5" customHeight="1" x14ac:dyDescent="0.2">
      <c r="D30" s="76" t="s">
        <v>31</v>
      </c>
      <c r="F30" s="85">
        <v>26006</v>
      </c>
      <c r="G30" s="85">
        <v>25954</v>
      </c>
      <c r="H30" s="85">
        <v>28328</v>
      </c>
      <c r="I30" s="85">
        <v>25529</v>
      </c>
      <c r="J30" s="85">
        <v>29623</v>
      </c>
      <c r="K30" s="85">
        <v>28463</v>
      </c>
      <c r="L30" s="85">
        <v>25842</v>
      </c>
      <c r="M30" s="85">
        <v>25223</v>
      </c>
      <c r="N30" s="85">
        <v>25812</v>
      </c>
      <c r="O30" s="85">
        <v>25831</v>
      </c>
      <c r="P30" s="85">
        <v>26680</v>
      </c>
      <c r="Q30" s="85">
        <v>23964</v>
      </c>
      <c r="R30" s="85">
        <f t="shared" ref="R30:R36" si="4">SUM(F30:Q30)</f>
        <v>317255</v>
      </c>
    </row>
    <row r="31" spans="2:21" ht="15" customHeight="1" x14ac:dyDescent="0.2">
      <c r="D31" s="76" t="s">
        <v>32</v>
      </c>
      <c r="F31" s="85">
        <v>54841</v>
      </c>
      <c r="G31" s="85">
        <v>17920</v>
      </c>
      <c r="H31" s="85">
        <v>25575</v>
      </c>
      <c r="I31" s="85">
        <v>23681</v>
      </c>
      <c r="J31" s="85">
        <v>16700</v>
      </c>
      <c r="K31" s="85">
        <v>18418</v>
      </c>
      <c r="L31" s="85">
        <v>53510</v>
      </c>
      <c r="M31" s="85">
        <v>18230</v>
      </c>
      <c r="N31" s="85">
        <v>29214</v>
      </c>
      <c r="O31" s="85">
        <v>20484</v>
      </c>
      <c r="P31" s="85">
        <v>18116</v>
      </c>
      <c r="Q31" s="85">
        <v>26745</v>
      </c>
      <c r="R31" s="85">
        <f t="shared" si="4"/>
        <v>323434</v>
      </c>
    </row>
    <row r="32" spans="2:21" ht="15" customHeight="1" x14ac:dyDescent="0.2">
      <c r="D32" s="76" t="s">
        <v>33</v>
      </c>
      <c r="F32" s="85">
        <v>153</v>
      </c>
      <c r="G32" s="85">
        <v>795</v>
      </c>
      <c r="H32" s="85">
        <v>409.447</v>
      </c>
      <c r="I32" s="85">
        <v>10409.85</v>
      </c>
      <c r="J32" s="85">
        <v>1127.42</v>
      </c>
      <c r="K32" s="85">
        <v>560.14</v>
      </c>
      <c r="L32" s="85">
        <v>1358.3</v>
      </c>
      <c r="M32" s="85">
        <v>676</v>
      </c>
      <c r="N32" s="85">
        <v>1951</v>
      </c>
      <c r="O32" s="85">
        <v>2067</v>
      </c>
      <c r="P32" s="85">
        <v>2272</v>
      </c>
      <c r="Q32" s="85">
        <v>1233</v>
      </c>
      <c r="R32" s="85">
        <f t="shared" si="4"/>
        <v>23012.156999999999</v>
      </c>
    </row>
    <row r="33" spans="2:20" ht="15" customHeight="1" x14ac:dyDescent="0.2">
      <c r="D33" s="76" t="s">
        <v>78</v>
      </c>
      <c r="F33" s="85">
        <v>287</v>
      </c>
      <c r="G33" s="85">
        <v>1822</v>
      </c>
      <c r="H33" s="85">
        <v>2059</v>
      </c>
      <c r="I33" s="85">
        <v>1064</v>
      </c>
      <c r="J33" s="85">
        <v>1006</v>
      </c>
      <c r="K33" s="85">
        <v>6978</v>
      </c>
      <c r="L33" s="85">
        <v>18750</v>
      </c>
      <c r="M33" s="85">
        <v>1791</v>
      </c>
      <c r="N33" s="85">
        <v>1643</v>
      </c>
      <c r="O33" s="85">
        <v>507</v>
      </c>
      <c r="P33" s="85">
        <v>3167</v>
      </c>
      <c r="Q33" s="85">
        <v>27255</v>
      </c>
      <c r="R33" s="85">
        <f t="shared" si="4"/>
        <v>66329</v>
      </c>
    </row>
    <row r="34" spans="2:20" ht="15" customHeight="1" x14ac:dyDescent="0.2">
      <c r="D34" s="76" t="s">
        <v>35</v>
      </c>
      <c r="F34" s="85">
        <v>93</v>
      </c>
      <c r="G34" s="85">
        <v>36</v>
      </c>
      <c r="H34" s="85">
        <v>97</v>
      </c>
      <c r="I34" s="85">
        <v>9</v>
      </c>
      <c r="J34" s="85">
        <v>98</v>
      </c>
      <c r="K34" s="85">
        <v>0</v>
      </c>
      <c r="L34" s="85">
        <v>156</v>
      </c>
      <c r="M34" s="85">
        <v>0</v>
      </c>
      <c r="N34" s="85">
        <v>92</v>
      </c>
      <c r="O34" s="85">
        <v>76</v>
      </c>
      <c r="P34" s="85">
        <v>7</v>
      </c>
      <c r="Q34" s="85">
        <v>10815</v>
      </c>
      <c r="R34" s="85">
        <f t="shared" si="4"/>
        <v>11479</v>
      </c>
    </row>
    <row r="35" spans="2:20" ht="15" customHeight="1" x14ac:dyDescent="0.2">
      <c r="D35" s="76" t="s">
        <v>79</v>
      </c>
      <c r="F35" s="85">
        <v>-9918</v>
      </c>
      <c r="G35" s="85">
        <v>287</v>
      </c>
      <c r="H35" s="85">
        <v>1515</v>
      </c>
      <c r="I35" s="85">
        <v>610</v>
      </c>
      <c r="J35" s="85">
        <v>3331</v>
      </c>
      <c r="K35" s="85">
        <v>734</v>
      </c>
      <c r="L35" s="85">
        <v>2536</v>
      </c>
      <c r="M35" s="85">
        <v>835</v>
      </c>
      <c r="N35" s="85">
        <v>2268</v>
      </c>
      <c r="O35" s="85">
        <v>1012</v>
      </c>
      <c r="P35" s="85">
        <v>12802</v>
      </c>
      <c r="Q35" s="85">
        <v>614</v>
      </c>
      <c r="R35" s="85">
        <f t="shared" si="4"/>
        <v>16626</v>
      </c>
    </row>
    <row r="36" spans="2:20" ht="15" customHeight="1" x14ac:dyDescent="0.2">
      <c r="D36" s="6" t="s">
        <v>80</v>
      </c>
      <c r="F36" s="85">
        <v>86437</v>
      </c>
      <c r="G36" s="85">
        <v>77283</v>
      </c>
      <c r="H36" s="85">
        <v>90823.553</v>
      </c>
      <c r="I36" s="85">
        <v>91904.15</v>
      </c>
      <c r="J36" s="85">
        <v>115317.58</v>
      </c>
      <c r="K36" s="85">
        <v>84386.86</v>
      </c>
      <c r="L36" s="85">
        <v>95691.7</v>
      </c>
      <c r="M36" s="85">
        <v>86483</v>
      </c>
      <c r="N36" s="85">
        <v>84972</v>
      </c>
      <c r="O36" s="85">
        <v>95569</v>
      </c>
      <c r="P36" s="85">
        <v>100952</v>
      </c>
      <c r="Q36" s="85">
        <v>112200</v>
      </c>
      <c r="R36" s="85">
        <f t="shared" si="4"/>
        <v>1122019.8429999999</v>
      </c>
      <c r="T36" s="85"/>
    </row>
    <row r="37" spans="2:20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T37" s="85"/>
    </row>
    <row r="38" spans="2:20" ht="15" customHeight="1" x14ac:dyDescent="0.25">
      <c r="B38" s="82" t="s">
        <v>38</v>
      </c>
      <c r="C38" s="82"/>
      <c r="D38" s="82"/>
      <c r="E38" s="82"/>
      <c r="F38" s="88">
        <f t="shared" ref="F38:Q38" si="5">+F8-F28</f>
        <v>-19531</v>
      </c>
      <c r="G38" s="88">
        <f t="shared" si="5"/>
        <v>-11749</v>
      </c>
      <c r="H38" s="88">
        <f t="shared" si="5"/>
        <v>-35198</v>
      </c>
      <c r="I38" s="88">
        <f t="shared" si="5"/>
        <v>36803</v>
      </c>
      <c r="J38" s="88">
        <f t="shared" si="5"/>
        <v>-13164</v>
      </c>
      <c r="K38" s="88">
        <f t="shared" si="5"/>
        <v>-8451</v>
      </c>
      <c r="L38" s="88">
        <f t="shared" si="5"/>
        <v>-53222</v>
      </c>
      <c r="M38" s="88">
        <f t="shared" si="5"/>
        <v>21901</v>
      </c>
      <c r="N38" s="88">
        <f t="shared" si="5"/>
        <v>-18616</v>
      </c>
      <c r="O38" s="88">
        <f t="shared" si="5"/>
        <v>-11237</v>
      </c>
      <c r="P38" s="88">
        <f t="shared" si="5"/>
        <v>1000</v>
      </c>
      <c r="Q38" s="88">
        <f t="shared" si="5"/>
        <v>-52598</v>
      </c>
      <c r="R38" s="88">
        <f>SUM(F38:Q38)</f>
        <v>-164062</v>
      </c>
    </row>
    <row r="39" spans="2:20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20" ht="15" customHeight="1" x14ac:dyDescent="0.25">
      <c r="B40" s="82" t="s">
        <v>39</v>
      </c>
      <c r="C40" s="82"/>
      <c r="D40" s="82"/>
      <c r="E40" s="82"/>
      <c r="F40" s="83">
        <v>-15552</v>
      </c>
      <c r="G40" s="83">
        <v>-6189</v>
      </c>
      <c r="H40" s="83">
        <v>20944</v>
      </c>
      <c r="I40" s="83">
        <v>43558</v>
      </c>
      <c r="J40" s="83">
        <v>13939</v>
      </c>
      <c r="K40" s="83">
        <v>31126</v>
      </c>
      <c r="L40" s="83">
        <v>36000</v>
      </c>
      <c r="M40" s="83">
        <v>126245</v>
      </c>
      <c r="N40" s="83">
        <v>15812</v>
      </c>
      <c r="O40" s="83">
        <v>46671</v>
      </c>
      <c r="P40" s="83">
        <v>20701</v>
      </c>
      <c r="Q40" s="83">
        <v>-14137</v>
      </c>
      <c r="R40" s="83">
        <v>319118</v>
      </c>
    </row>
    <row r="41" spans="2:20" ht="15" customHeight="1" x14ac:dyDescent="0.2">
      <c r="C41" s="76" t="s">
        <v>40</v>
      </c>
      <c r="F41" s="84">
        <v>-643</v>
      </c>
      <c r="G41" s="84">
        <v>-43515</v>
      </c>
      <c r="H41" s="84">
        <v>-5141</v>
      </c>
      <c r="I41" s="84">
        <v>11</v>
      </c>
      <c r="J41" s="84">
        <v>-3377</v>
      </c>
      <c r="K41" s="84">
        <v>-11811</v>
      </c>
      <c r="L41" s="84">
        <v>14804</v>
      </c>
      <c r="M41" s="84">
        <v>-20911</v>
      </c>
      <c r="N41" s="84">
        <v>-5443</v>
      </c>
      <c r="O41" s="84">
        <v>-759</v>
      </c>
      <c r="P41" s="84">
        <v>-4974</v>
      </c>
      <c r="Q41" s="84">
        <v>-2062</v>
      </c>
      <c r="R41" s="84">
        <v>-83821</v>
      </c>
    </row>
    <row r="42" spans="2:20" ht="15" customHeight="1" x14ac:dyDescent="0.2">
      <c r="D42" s="76" t="s">
        <v>41</v>
      </c>
      <c r="F42" s="85">
        <v>1023</v>
      </c>
      <c r="G42" s="85">
        <v>1181</v>
      </c>
      <c r="H42" s="85">
        <v>1026</v>
      </c>
      <c r="I42" s="85">
        <v>2886</v>
      </c>
      <c r="J42" s="85">
        <v>1850</v>
      </c>
      <c r="K42" s="85">
        <v>876</v>
      </c>
      <c r="L42" s="85">
        <v>16505</v>
      </c>
      <c r="M42" s="85">
        <v>1653</v>
      </c>
      <c r="N42" s="85">
        <v>1003</v>
      </c>
      <c r="O42" s="85">
        <v>2092</v>
      </c>
      <c r="P42" s="85">
        <v>868</v>
      </c>
      <c r="Q42" s="85">
        <v>2804</v>
      </c>
      <c r="R42" s="85">
        <v>33767</v>
      </c>
    </row>
    <row r="43" spans="2:20" ht="15" customHeight="1" x14ac:dyDescent="0.2">
      <c r="D43" s="76" t="s">
        <v>97</v>
      </c>
      <c r="F43" s="85">
        <v>1666</v>
      </c>
      <c r="G43" s="85">
        <v>44696</v>
      </c>
      <c r="H43" s="85">
        <v>6167</v>
      </c>
      <c r="I43" s="85">
        <v>2875</v>
      </c>
      <c r="J43" s="85">
        <v>5227</v>
      </c>
      <c r="K43" s="85">
        <v>12687</v>
      </c>
      <c r="L43" s="85">
        <v>1701</v>
      </c>
      <c r="M43" s="85">
        <v>22564</v>
      </c>
      <c r="N43" s="85">
        <v>6446</v>
      </c>
      <c r="O43" s="85">
        <v>2851</v>
      </c>
      <c r="P43" s="85">
        <v>5842</v>
      </c>
      <c r="Q43" s="85">
        <v>4866</v>
      </c>
      <c r="R43" s="85">
        <v>117588</v>
      </c>
    </row>
    <row r="44" spans="2:20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20" ht="15" customHeight="1" x14ac:dyDescent="0.2">
      <c r="C45" s="76" t="s">
        <v>43</v>
      </c>
      <c r="F45" s="84">
        <v>-14909</v>
      </c>
      <c r="G45" s="84">
        <v>37326</v>
      </c>
      <c r="H45" s="84">
        <v>26085</v>
      </c>
      <c r="I45" s="84">
        <v>43547</v>
      </c>
      <c r="J45" s="84">
        <v>17316</v>
      </c>
      <c r="K45" s="84">
        <v>42937</v>
      </c>
      <c r="L45" s="84">
        <v>21196</v>
      </c>
      <c r="M45" s="84">
        <v>147156</v>
      </c>
      <c r="N45" s="84">
        <v>21255</v>
      </c>
      <c r="O45" s="84">
        <v>47430</v>
      </c>
      <c r="P45" s="84">
        <v>25675</v>
      </c>
      <c r="Q45" s="84">
        <v>-12075</v>
      </c>
      <c r="R45" s="84">
        <v>402939</v>
      </c>
    </row>
    <row r="46" spans="2:20" ht="15" customHeight="1" x14ac:dyDescent="0.2">
      <c r="D46" s="76" t="s">
        <v>44</v>
      </c>
      <c r="F46" s="85">
        <v>40314</v>
      </c>
      <c r="G46" s="85">
        <v>37326</v>
      </c>
      <c r="H46" s="85">
        <v>45319</v>
      </c>
      <c r="I46" s="85">
        <v>47229</v>
      </c>
      <c r="J46" s="85">
        <v>24921</v>
      </c>
      <c r="K46" s="85">
        <v>43122</v>
      </c>
      <c r="L46" s="85">
        <v>33800</v>
      </c>
      <c r="M46" s="85">
        <v>147250</v>
      </c>
      <c r="N46" s="85">
        <v>30650</v>
      </c>
      <c r="O46" s="85">
        <v>52000</v>
      </c>
      <c r="P46" s="85">
        <v>30653</v>
      </c>
      <c r="Q46" s="85">
        <v>-11650</v>
      </c>
      <c r="R46" s="85">
        <v>520934</v>
      </c>
    </row>
    <row r="47" spans="2:20" ht="15" customHeight="1" x14ac:dyDescent="0.2">
      <c r="D47" s="76" t="s">
        <v>97</v>
      </c>
      <c r="F47" s="85">
        <v>55223</v>
      </c>
      <c r="G47" s="85">
        <v>0</v>
      </c>
      <c r="H47" s="85">
        <v>19234</v>
      </c>
      <c r="I47" s="85">
        <v>3682</v>
      </c>
      <c r="J47" s="85">
        <v>7605</v>
      </c>
      <c r="K47" s="85">
        <v>185</v>
      </c>
      <c r="L47" s="85">
        <v>12604</v>
      </c>
      <c r="M47" s="85">
        <v>94</v>
      </c>
      <c r="N47" s="85">
        <v>9395</v>
      </c>
      <c r="O47" s="85">
        <v>4570</v>
      </c>
      <c r="P47" s="85">
        <v>4978</v>
      </c>
      <c r="Q47" s="85">
        <v>425</v>
      </c>
      <c r="R47" s="85">
        <v>117995</v>
      </c>
    </row>
    <row r="48" spans="2:20" ht="15" customHeight="1" x14ac:dyDescent="0.2"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8" ht="15" customHeight="1" x14ac:dyDescent="0.25">
      <c r="B49" s="82" t="s">
        <v>47</v>
      </c>
      <c r="C49" s="82"/>
      <c r="D49" s="82"/>
      <c r="E49" s="82"/>
      <c r="F49" s="83">
        <v>250237</v>
      </c>
      <c r="G49" s="83">
        <v>-353859</v>
      </c>
      <c r="H49" s="83">
        <v>-78597</v>
      </c>
      <c r="I49" s="83">
        <v>47040</v>
      </c>
      <c r="J49" s="83">
        <v>-6918</v>
      </c>
      <c r="K49" s="83">
        <v>45781</v>
      </c>
      <c r="L49" s="83">
        <v>-25310</v>
      </c>
      <c r="M49" s="83">
        <v>111366</v>
      </c>
      <c r="N49" s="83">
        <v>56052</v>
      </c>
      <c r="O49" s="83">
        <v>34337</v>
      </c>
      <c r="P49" s="83">
        <v>-8494</v>
      </c>
      <c r="Q49" s="83">
        <v>-5702</v>
      </c>
      <c r="R49" s="83">
        <v>65933</v>
      </c>
    </row>
    <row r="50" spans="1:18" x14ac:dyDescent="0.2">
      <c r="F50" s="85"/>
      <c r="G50" s="85"/>
      <c r="H50" s="85"/>
      <c r="I50" s="85"/>
    </row>
    <row r="51" spans="1:18" x14ac:dyDescent="0.2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</row>
    <row r="52" spans="1:18" s="15" customFormat="1" ht="12.75" x14ac:dyDescent="0.2">
      <c r="B52" s="90" t="s">
        <v>48</v>
      </c>
    </row>
    <row r="53" spans="1:18" s="15" customFormat="1" ht="12.75" x14ac:dyDescent="0.2">
      <c r="B53" s="90"/>
      <c r="C53" s="15" t="s">
        <v>99</v>
      </c>
    </row>
    <row r="54" spans="1:18" s="15" customFormat="1" ht="12.75" x14ac:dyDescent="0.2">
      <c r="C54" s="15" t="s">
        <v>100</v>
      </c>
    </row>
    <row r="55" spans="1:18" s="15" customFormat="1" ht="12.75" x14ac:dyDescent="0.2"/>
    <row r="56" spans="1:18" s="15" customFormat="1" ht="12.75" x14ac:dyDescent="0.2"/>
    <row r="57" spans="1:18" s="15" customFormat="1" ht="12.75" x14ac:dyDescent="0.2">
      <c r="B57" s="15" t="s">
        <v>52</v>
      </c>
    </row>
    <row r="58" spans="1:18" s="15" customFormat="1" ht="12.75" x14ac:dyDescent="0.2">
      <c r="B58" s="15" t="s">
        <v>107</v>
      </c>
    </row>
  </sheetData>
  <mergeCells count="2">
    <mergeCell ref="A4:E4"/>
    <mergeCell ref="B6:E6"/>
  </mergeCells>
  <printOptions horizontalCentered="1"/>
  <pageMargins left="0" right="0" top="1.0631944444444399" bottom="0.23611111111111099" header="0.51180555555555596" footer="0.511811023622047"/>
  <pageSetup paperSize="9" orientation="portrait" horizontalDpi="300" verticalDpi="300"/>
  <headerFooter>
    <oddHeader>&amp;C&amp;"Arial,Bold"&amp;9BUREAU OF THE TREASURY
&amp;"Arial,Italic"Statistical Data Analysis Division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MJ60"/>
  <sheetViews>
    <sheetView zoomScaleNormal="100" workbookViewId="0">
      <selection activeCell="U39" sqref="U39"/>
    </sheetView>
  </sheetViews>
  <sheetFormatPr defaultColWidth="9.140625" defaultRowHeight="14.25" x14ac:dyDescent="0.2"/>
  <cols>
    <col min="1" max="1" width="1.7109375" style="76" customWidth="1"/>
    <col min="2" max="2" width="1.5703125" style="76" customWidth="1"/>
    <col min="3" max="3" width="1.85546875" style="76" customWidth="1"/>
    <col min="4" max="4" width="2.140625" style="76" customWidth="1"/>
    <col min="5" max="5" width="33.42578125" style="76" customWidth="1"/>
    <col min="6" max="6" width="9.140625" style="76"/>
    <col min="7" max="7" width="9.85546875" style="76" customWidth="1"/>
    <col min="8" max="17" width="9.140625" style="76"/>
    <col min="18" max="18" width="10.85546875" style="76" customWidth="1"/>
    <col min="19" max="19" width="0.7109375" style="76" customWidth="1"/>
    <col min="20" max="1024" width="9.140625" style="76"/>
  </cols>
  <sheetData>
    <row r="1" spans="1:19" ht="15" x14ac:dyDescent="0.25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15" x14ac:dyDescent="0.25">
      <c r="A2" s="77" t="s">
        <v>110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19" x14ac:dyDescent="0.2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</row>
    <row r="4" spans="1:19" x14ac:dyDescent="0.2">
      <c r="A4" s="187" t="s">
        <v>55</v>
      </c>
      <c r="B4" s="187"/>
      <c r="C4" s="187"/>
      <c r="D4" s="187"/>
      <c r="E4" s="187"/>
    </row>
    <row r="5" spans="1:19" ht="6" customHeight="1" x14ac:dyDescent="0.2"/>
    <row r="6" spans="1:19" ht="19.5" customHeight="1" x14ac:dyDescent="0.2">
      <c r="A6" s="188" t="s">
        <v>3</v>
      </c>
      <c r="B6" s="188"/>
      <c r="C6" s="188"/>
      <c r="D6" s="188"/>
      <c r="E6" s="188"/>
      <c r="F6" s="2" t="s">
        <v>108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65</v>
      </c>
      <c r="O6" s="2" t="s">
        <v>13</v>
      </c>
      <c r="P6" s="2" t="s">
        <v>56</v>
      </c>
      <c r="Q6" s="2" t="s">
        <v>57</v>
      </c>
      <c r="R6" s="2" t="s">
        <v>14</v>
      </c>
      <c r="S6" s="101"/>
    </row>
    <row r="7" spans="1:19" ht="14.25" customHeight="1" x14ac:dyDescent="0.2">
      <c r="O7" s="85"/>
    </row>
    <row r="8" spans="1:19" ht="14.25" customHeight="1" x14ac:dyDescent="0.25">
      <c r="B8" s="82" t="s">
        <v>15</v>
      </c>
      <c r="C8" s="82"/>
      <c r="D8" s="82"/>
      <c r="E8" s="82"/>
      <c r="F8" s="83">
        <f t="shared" ref="F8:R8" si="0">F9+F19+F26</f>
        <v>138368</v>
      </c>
      <c r="G8" s="83">
        <f t="shared" si="0"/>
        <v>112348</v>
      </c>
      <c r="H8" s="83">
        <f t="shared" si="0"/>
        <v>113609</v>
      </c>
      <c r="I8" s="83">
        <f t="shared" si="0"/>
        <v>190010</v>
      </c>
      <c r="J8" s="83">
        <f t="shared" si="0"/>
        <v>154039</v>
      </c>
      <c r="K8" s="83">
        <f t="shared" si="0"/>
        <v>131089</v>
      </c>
      <c r="L8" s="83">
        <f t="shared" si="0"/>
        <v>144622</v>
      </c>
      <c r="M8" s="83">
        <f t="shared" si="0"/>
        <v>155139</v>
      </c>
      <c r="N8" s="83">
        <f t="shared" si="0"/>
        <v>127336</v>
      </c>
      <c r="O8" s="83">
        <f t="shared" si="0"/>
        <v>134309</v>
      </c>
      <c r="P8" s="83">
        <f t="shared" si="0"/>
        <v>164996</v>
      </c>
      <c r="Q8" s="83">
        <f t="shared" si="0"/>
        <v>150228</v>
      </c>
      <c r="R8" s="83">
        <f t="shared" si="0"/>
        <v>1716093</v>
      </c>
    </row>
    <row r="9" spans="1:19" ht="14.25" customHeight="1" x14ac:dyDescent="0.2">
      <c r="C9" s="76" t="s">
        <v>16</v>
      </c>
      <c r="F9" s="84">
        <f t="shared" ref="F9:R9" si="1">F10+F14+F17</f>
        <v>120439</v>
      </c>
      <c r="G9" s="84">
        <f t="shared" si="1"/>
        <v>98156</v>
      </c>
      <c r="H9" s="84">
        <f t="shared" si="1"/>
        <v>98131</v>
      </c>
      <c r="I9" s="84">
        <f t="shared" si="1"/>
        <v>177290</v>
      </c>
      <c r="J9" s="84">
        <f t="shared" si="1"/>
        <v>138978</v>
      </c>
      <c r="K9" s="84">
        <f t="shared" si="1"/>
        <v>113321</v>
      </c>
      <c r="L9" s="84">
        <f t="shared" si="1"/>
        <v>129161</v>
      </c>
      <c r="M9" s="84">
        <f t="shared" si="1"/>
        <v>145728</v>
      </c>
      <c r="N9" s="84">
        <f t="shared" si="1"/>
        <v>112858</v>
      </c>
      <c r="O9" s="84">
        <f t="shared" si="1"/>
        <v>124688</v>
      </c>
      <c r="P9" s="84">
        <f t="shared" si="1"/>
        <v>155334</v>
      </c>
      <c r="Q9" s="84">
        <f t="shared" si="1"/>
        <v>121614</v>
      </c>
      <c r="R9" s="84">
        <f t="shared" si="1"/>
        <v>1535698</v>
      </c>
    </row>
    <row r="10" spans="1:19" ht="14.25" customHeight="1" x14ac:dyDescent="0.2">
      <c r="D10" s="76" t="s">
        <v>17</v>
      </c>
      <c r="F10" s="85">
        <v>94718</v>
      </c>
      <c r="G10" s="85">
        <v>74519</v>
      </c>
      <c r="H10" s="85">
        <v>74825</v>
      </c>
      <c r="I10" s="85">
        <v>148989</v>
      </c>
      <c r="J10" s="85">
        <v>111899</v>
      </c>
      <c r="K10" s="85">
        <v>88761</v>
      </c>
      <c r="L10" s="85">
        <v>100098</v>
      </c>
      <c r="M10" s="85">
        <v>118110</v>
      </c>
      <c r="N10" s="85">
        <v>86034</v>
      </c>
      <c r="O10" s="85">
        <v>95587</v>
      </c>
      <c r="P10" s="85">
        <v>126462</v>
      </c>
      <c r="Q10" s="85">
        <v>96659</v>
      </c>
      <c r="R10" s="85">
        <f>SUM(F10:Q10)</f>
        <v>1216661</v>
      </c>
    </row>
    <row r="11" spans="1:19" ht="14.2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4.25" customHeight="1" x14ac:dyDescent="0.2">
      <c r="E12" s="76" t="s">
        <v>19</v>
      </c>
      <c r="F12" s="85">
        <v>153</v>
      </c>
      <c r="G12" s="85">
        <v>250</v>
      </c>
      <c r="H12" s="85">
        <v>371</v>
      </c>
      <c r="I12" s="85">
        <v>363</v>
      </c>
      <c r="J12" s="85">
        <v>275</v>
      </c>
      <c r="K12" s="85">
        <v>217</v>
      </c>
      <c r="L12" s="85">
        <v>320</v>
      </c>
      <c r="M12" s="85">
        <v>0</v>
      </c>
      <c r="N12" s="85">
        <v>1089</v>
      </c>
      <c r="O12" s="85">
        <v>420</v>
      </c>
      <c r="P12" s="85">
        <v>321</v>
      </c>
      <c r="Q12" s="85">
        <v>232</v>
      </c>
      <c r="R12" s="85">
        <f>SUM(F12:Q12)</f>
        <v>4011</v>
      </c>
    </row>
    <row r="13" spans="1:19" ht="14.25" customHeight="1" x14ac:dyDescent="0.2">
      <c r="E13" s="76" t="s">
        <v>20</v>
      </c>
      <c r="F13" s="85">
        <v>0</v>
      </c>
      <c r="G13" s="85">
        <v>545</v>
      </c>
      <c r="H13" s="85">
        <v>6</v>
      </c>
      <c r="I13" s="85">
        <v>9963</v>
      </c>
      <c r="J13" s="85">
        <v>827</v>
      </c>
      <c r="K13" s="85">
        <v>341</v>
      </c>
      <c r="L13" s="85">
        <v>624</v>
      </c>
      <c r="M13" s="85">
        <v>214</v>
      </c>
      <c r="N13" s="85">
        <v>782</v>
      </c>
      <c r="O13" s="85">
        <v>344</v>
      </c>
      <c r="P13" s="85">
        <v>1951</v>
      </c>
      <c r="Q13" s="85">
        <v>999</v>
      </c>
      <c r="R13" s="85">
        <f>SUM(F13:Q13)</f>
        <v>16596</v>
      </c>
    </row>
    <row r="14" spans="1:19" ht="14.25" customHeight="1" x14ac:dyDescent="0.2">
      <c r="D14" s="76" t="s">
        <v>21</v>
      </c>
      <c r="F14" s="85">
        <v>24540</v>
      </c>
      <c r="G14" s="85">
        <v>22471</v>
      </c>
      <c r="H14" s="85">
        <v>21805</v>
      </c>
      <c r="I14" s="85">
        <v>27137</v>
      </c>
      <c r="J14" s="85">
        <v>25925</v>
      </c>
      <c r="K14" s="85">
        <v>23253</v>
      </c>
      <c r="L14" s="85">
        <v>27674</v>
      </c>
      <c r="M14" s="85">
        <v>26086</v>
      </c>
      <c r="N14" s="85">
        <v>25733</v>
      </c>
      <c r="O14" s="85">
        <v>27863</v>
      </c>
      <c r="P14" s="85">
        <v>28254</v>
      </c>
      <c r="Q14" s="85">
        <v>24184</v>
      </c>
      <c r="R14" s="85">
        <f>SUM(F14:Q14)</f>
        <v>304925</v>
      </c>
    </row>
    <row r="15" spans="1:19" ht="14.2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4.25" customHeight="1" x14ac:dyDescent="0.2">
      <c r="E16" s="76" t="s">
        <v>20</v>
      </c>
      <c r="F16" s="85">
        <v>0</v>
      </c>
      <c r="G16" s="85">
        <v>0</v>
      </c>
      <c r="H16" s="85">
        <v>32</v>
      </c>
      <c r="I16" s="85">
        <v>84</v>
      </c>
      <c r="J16" s="85">
        <v>26</v>
      </c>
      <c r="K16" s="85">
        <v>2</v>
      </c>
      <c r="L16" s="85">
        <v>415</v>
      </c>
      <c r="M16" s="85">
        <v>462</v>
      </c>
      <c r="N16" s="85">
        <v>80</v>
      </c>
      <c r="O16" s="85">
        <v>1303</v>
      </c>
      <c r="P16" s="85">
        <v>0</v>
      </c>
      <c r="Q16" s="85">
        <v>2</v>
      </c>
      <c r="R16" s="85">
        <f>SUM(F16:Q16)</f>
        <v>2406</v>
      </c>
    </row>
    <row r="17" spans="2:21" ht="14.25" customHeight="1" x14ac:dyDescent="0.2">
      <c r="D17" s="76" t="s">
        <v>106</v>
      </c>
      <c r="F17" s="85">
        <v>1181</v>
      </c>
      <c r="G17" s="85">
        <v>1166</v>
      </c>
      <c r="H17" s="85">
        <v>1501</v>
      </c>
      <c r="I17" s="85">
        <v>1164</v>
      </c>
      <c r="J17" s="85">
        <v>1154</v>
      </c>
      <c r="K17" s="85">
        <v>1307</v>
      </c>
      <c r="L17" s="85">
        <v>1389</v>
      </c>
      <c r="M17" s="85">
        <v>1532</v>
      </c>
      <c r="N17" s="85">
        <v>1091</v>
      </c>
      <c r="O17" s="85">
        <v>1238</v>
      </c>
      <c r="P17" s="85">
        <v>618</v>
      </c>
      <c r="Q17" s="85">
        <v>771</v>
      </c>
      <c r="R17" s="85">
        <f>SUM(F17:Q17)</f>
        <v>14112</v>
      </c>
    </row>
    <row r="18" spans="2:21" ht="14.2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4.25" customHeight="1" x14ac:dyDescent="0.2">
      <c r="C19" s="76" t="s">
        <v>23</v>
      </c>
      <c r="F19" s="84">
        <f t="shared" ref="F19:R19" si="2">SUM(F20:F24)</f>
        <v>17929</v>
      </c>
      <c r="G19" s="84">
        <f t="shared" si="2"/>
        <v>14165</v>
      </c>
      <c r="H19" s="84">
        <f t="shared" si="2"/>
        <v>15478</v>
      </c>
      <c r="I19" s="84">
        <f t="shared" si="2"/>
        <v>12666</v>
      </c>
      <c r="J19" s="84">
        <f t="shared" si="2"/>
        <v>15061</v>
      </c>
      <c r="K19" s="84">
        <f t="shared" si="2"/>
        <v>17763</v>
      </c>
      <c r="L19" s="84">
        <f t="shared" si="2"/>
        <v>15461</v>
      </c>
      <c r="M19" s="84">
        <f t="shared" si="2"/>
        <v>9411</v>
      </c>
      <c r="N19" s="84">
        <f t="shared" si="2"/>
        <v>14436</v>
      </c>
      <c r="O19" s="84">
        <f t="shared" si="2"/>
        <v>9611</v>
      </c>
      <c r="P19" s="84">
        <f t="shared" si="2"/>
        <v>9662</v>
      </c>
      <c r="Q19" s="84">
        <f t="shared" si="2"/>
        <v>28431</v>
      </c>
      <c r="R19" s="84">
        <f t="shared" si="2"/>
        <v>180074</v>
      </c>
    </row>
    <row r="20" spans="2:21" ht="14.25" customHeight="1" x14ac:dyDescent="0.2">
      <c r="D20" s="76" t="s">
        <v>24</v>
      </c>
      <c r="F20" s="85">
        <v>9350</v>
      </c>
      <c r="G20" s="85">
        <v>6962</v>
      </c>
      <c r="H20" s="85">
        <v>8594</v>
      </c>
      <c r="I20" s="85">
        <v>6275</v>
      </c>
      <c r="J20" s="85">
        <v>9418</v>
      </c>
      <c r="K20" s="85">
        <v>8934</v>
      </c>
      <c r="L20" s="85">
        <v>7945</v>
      </c>
      <c r="M20" s="85">
        <v>3427</v>
      </c>
      <c r="N20" s="85">
        <v>7219</v>
      </c>
      <c r="O20" s="85">
        <v>3592</v>
      </c>
      <c r="P20" s="85">
        <v>3783</v>
      </c>
      <c r="Q20" s="85">
        <v>5514</v>
      </c>
      <c r="R20" s="85">
        <f>SUM(F20:Q20)</f>
        <v>81013</v>
      </c>
    </row>
    <row r="21" spans="2:21" ht="14.25" customHeight="1" x14ac:dyDescent="0.2">
      <c r="D21" s="76" t="s">
        <v>89</v>
      </c>
      <c r="F21" s="85">
        <v>2871</v>
      </c>
      <c r="G21" s="85">
        <v>2595</v>
      </c>
      <c r="H21" s="85">
        <v>2054</v>
      </c>
      <c r="I21" s="85">
        <v>2607</v>
      </c>
      <c r="J21" s="85">
        <v>2326</v>
      </c>
      <c r="K21" s="85">
        <v>1723</v>
      </c>
      <c r="L21" s="85">
        <v>2841</v>
      </c>
      <c r="M21" s="85">
        <v>2444</v>
      </c>
      <c r="N21" s="85">
        <v>2142</v>
      </c>
      <c r="O21" s="85">
        <v>5047</v>
      </c>
      <c r="P21" s="85">
        <v>2139</v>
      </c>
      <c r="Q21" s="85">
        <v>1752</v>
      </c>
      <c r="R21" s="85">
        <f>SUM(F21:Q21)</f>
        <v>30541</v>
      </c>
      <c r="T21" s="85"/>
    </row>
    <row r="22" spans="2:21" ht="14.25" customHeight="1" x14ac:dyDescent="0.2">
      <c r="D22" s="76" t="s">
        <v>27</v>
      </c>
      <c r="E22" s="86"/>
      <c r="F22" s="85">
        <v>2006.674</v>
      </c>
      <c r="G22" s="85">
        <v>2080.355</v>
      </c>
      <c r="H22" s="85">
        <v>2219.7530000000002</v>
      </c>
      <c r="I22" s="85">
        <v>2439.3290000000002</v>
      </c>
      <c r="J22" s="85">
        <v>2163.6120000000001</v>
      </c>
      <c r="K22" s="85">
        <v>2582.893</v>
      </c>
      <c r="L22" s="85">
        <v>2080.34</v>
      </c>
      <c r="M22" s="85">
        <v>248.86600000000001</v>
      </c>
      <c r="N22" s="85">
        <v>2136.752</v>
      </c>
      <c r="O22" s="85">
        <v>1906.1220000000001</v>
      </c>
      <c r="P22" s="85">
        <v>2062.6709999999998</v>
      </c>
      <c r="Q22" s="85">
        <v>2160.482</v>
      </c>
      <c r="R22" s="85">
        <f>SUM(F22:Q22)</f>
        <v>24087.848999999998</v>
      </c>
      <c r="T22" s="85"/>
    </row>
    <row r="23" spans="2:21" ht="14.25" customHeight="1" x14ac:dyDescent="0.2">
      <c r="D23" s="76" t="s">
        <v>26</v>
      </c>
      <c r="F23" s="85">
        <v>0</v>
      </c>
      <c r="G23" s="85">
        <v>9</v>
      </c>
      <c r="H23" s="85">
        <v>0</v>
      </c>
      <c r="I23" s="85">
        <v>48</v>
      </c>
      <c r="J23" s="85">
        <v>0</v>
      </c>
      <c r="K23" s="85">
        <v>222</v>
      </c>
      <c r="L23" s="85">
        <v>72</v>
      </c>
      <c r="M23" s="85">
        <v>0</v>
      </c>
      <c r="N23" s="85">
        <v>0</v>
      </c>
      <c r="O23" s="85">
        <v>0</v>
      </c>
      <c r="P23" s="85">
        <v>2459</v>
      </c>
      <c r="Q23" s="85">
        <v>126</v>
      </c>
      <c r="R23" s="85">
        <f>SUM(F23:Q23)</f>
        <v>2936</v>
      </c>
    </row>
    <row r="24" spans="2:21" ht="14.25" customHeight="1" x14ac:dyDescent="0.2">
      <c r="D24" s="76" t="s">
        <v>106</v>
      </c>
      <c r="F24" s="85">
        <f>8579-F21-F22</f>
        <v>3701.326</v>
      </c>
      <c r="G24" s="85">
        <f>7194-G21-G22</f>
        <v>2518.645</v>
      </c>
      <c r="H24" s="85">
        <f>6884-H21-H22</f>
        <v>2610.2469999999998</v>
      </c>
      <c r="I24" s="85">
        <f>6343-I21-I22</f>
        <v>1296.6709999999998</v>
      </c>
      <c r="J24" s="85">
        <f>5643-J21-J22</f>
        <v>1153.3879999999999</v>
      </c>
      <c r="K24" s="85">
        <f>8607-K21-K22</f>
        <v>4301.107</v>
      </c>
      <c r="L24" s="85">
        <f>7444-L21-L22</f>
        <v>2522.66</v>
      </c>
      <c r="M24" s="85">
        <f>5984-M21-M22</f>
        <v>3291.134</v>
      </c>
      <c r="N24" s="85">
        <f>7217-N21-N22</f>
        <v>2938.248</v>
      </c>
      <c r="O24" s="85">
        <f>6019-O21-O22</f>
        <v>-934.12200000000007</v>
      </c>
      <c r="P24" s="85">
        <f>3420-P21-P22</f>
        <v>-781.67099999999982</v>
      </c>
      <c r="Q24" s="85">
        <f>22791-Q21-Q22</f>
        <v>18878.518</v>
      </c>
      <c r="R24" s="85">
        <f>SUM(F24:Q24)</f>
        <v>41496.150999999998</v>
      </c>
    </row>
    <row r="25" spans="2:21" ht="14.2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4.25" customHeight="1" x14ac:dyDescent="0.2">
      <c r="C26" s="76" t="s">
        <v>29</v>
      </c>
      <c r="F26" s="85">
        <v>0</v>
      </c>
      <c r="G26" s="85">
        <v>27</v>
      </c>
      <c r="H26" s="85">
        <v>0</v>
      </c>
      <c r="I26" s="85">
        <v>54</v>
      </c>
      <c r="J26" s="85">
        <v>0</v>
      </c>
      <c r="K26" s="85">
        <v>5</v>
      </c>
      <c r="L26" s="85">
        <v>0</v>
      </c>
      <c r="M26" s="85">
        <v>0</v>
      </c>
      <c r="N26" s="85">
        <v>42</v>
      </c>
      <c r="O26" s="85">
        <v>10</v>
      </c>
      <c r="P26" s="85">
        <v>0</v>
      </c>
      <c r="Q26" s="85">
        <v>183</v>
      </c>
      <c r="R26" s="85">
        <f>SUM(F26:Q26)</f>
        <v>321</v>
      </c>
    </row>
    <row r="27" spans="2:21" ht="14.2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4.25" customHeight="1" x14ac:dyDescent="0.25">
      <c r="B28" s="82" t="s">
        <v>30</v>
      </c>
      <c r="C28" s="82"/>
      <c r="D28" s="82"/>
      <c r="E28" s="82"/>
      <c r="F28" s="83">
        <f t="shared" ref="F28:Q28" si="3">SUM(F30:F36)</f>
        <v>157899</v>
      </c>
      <c r="G28" s="83">
        <f t="shared" si="3"/>
        <v>124097</v>
      </c>
      <c r="H28" s="83">
        <f t="shared" si="3"/>
        <v>148807</v>
      </c>
      <c r="I28" s="83">
        <f t="shared" si="3"/>
        <v>153207</v>
      </c>
      <c r="J28" s="83">
        <f t="shared" si="3"/>
        <v>167203</v>
      </c>
      <c r="K28" s="83">
        <f t="shared" si="3"/>
        <v>139540</v>
      </c>
      <c r="L28" s="83">
        <f t="shared" si="3"/>
        <v>197844</v>
      </c>
      <c r="M28" s="83">
        <f t="shared" si="3"/>
        <v>133238</v>
      </c>
      <c r="N28" s="83">
        <f t="shared" si="3"/>
        <v>145952</v>
      </c>
      <c r="O28" s="83">
        <f t="shared" si="3"/>
        <v>145546</v>
      </c>
      <c r="P28" s="83">
        <f t="shared" si="3"/>
        <v>163996</v>
      </c>
      <c r="Q28" s="83">
        <f t="shared" si="3"/>
        <v>202826</v>
      </c>
      <c r="R28" s="83">
        <f>SUM(F28:Q28)</f>
        <v>1880155</v>
      </c>
      <c r="T28" s="85"/>
    </row>
    <row r="29" spans="2:21" ht="14.2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4.25" customHeight="1" x14ac:dyDescent="0.2">
      <c r="D30" s="76" t="s">
        <v>31</v>
      </c>
      <c r="F30" s="85">
        <v>26006</v>
      </c>
      <c r="G30" s="85">
        <v>25954</v>
      </c>
      <c r="H30" s="85">
        <v>28328</v>
      </c>
      <c r="I30" s="85">
        <v>25529</v>
      </c>
      <c r="J30" s="85">
        <v>29623</v>
      </c>
      <c r="K30" s="85">
        <v>28463</v>
      </c>
      <c r="L30" s="85">
        <v>25842</v>
      </c>
      <c r="M30" s="85">
        <v>25223</v>
      </c>
      <c r="N30" s="85">
        <v>25812</v>
      </c>
      <c r="O30" s="85">
        <v>25831</v>
      </c>
      <c r="P30" s="85">
        <v>26680</v>
      </c>
      <c r="Q30" s="85">
        <v>23964</v>
      </c>
      <c r="R30" s="85">
        <f t="shared" ref="R30:R36" si="4">SUM(F30:Q30)</f>
        <v>317255</v>
      </c>
    </row>
    <row r="31" spans="2:21" ht="14.25" customHeight="1" x14ac:dyDescent="0.2">
      <c r="D31" s="76" t="s">
        <v>32</v>
      </c>
      <c r="F31" s="85">
        <v>54841</v>
      </c>
      <c r="G31" s="85">
        <v>17920</v>
      </c>
      <c r="H31" s="85">
        <v>25575</v>
      </c>
      <c r="I31" s="85">
        <v>23681</v>
      </c>
      <c r="J31" s="85">
        <v>16700</v>
      </c>
      <c r="K31" s="85">
        <v>18418</v>
      </c>
      <c r="L31" s="85">
        <v>53510</v>
      </c>
      <c r="M31" s="85">
        <v>18230</v>
      </c>
      <c r="N31" s="85">
        <v>29214</v>
      </c>
      <c r="O31" s="85">
        <v>20484</v>
      </c>
      <c r="P31" s="85">
        <v>18116</v>
      </c>
      <c r="Q31" s="85">
        <v>26745</v>
      </c>
      <c r="R31" s="85">
        <f t="shared" si="4"/>
        <v>323434</v>
      </c>
    </row>
    <row r="32" spans="2:21" ht="14.25" customHeight="1" x14ac:dyDescent="0.2">
      <c r="D32" s="76" t="s">
        <v>33</v>
      </c>
      <c r="F32" s="85">
        <v>153</v>
      </c>
      <c r="G32" s="85">
        <v>795</v>
      </c>
      <c r="H32" s="85">
        <v>409.447</v>
      </c>
      <c r="I32" s="85">
        <v>10409.85</v>
      </c>
      <c r="J32" s="85">
        <v>1127.42</v>
      </c>
      <c r="K32" s="85">
        <v>560.14</v>
      </c>
      <c r="L32" s="85">
        <v>1358.3</v>
      </c>
      <c r="M32" s="85">
        <v>676</v>
      </c>
      <c r="N32" s="85">
        <v>1951</v>
      </c>
      <c r="O32" s="85">
        <v>2067</v>
      </c>
      <c r="P32" s="85">
        <v>2272</v>
      </c>
      <c r="Q32" s="85">
        <v>1233</v>
      </c>
      <c r="R32" s="85">
        <f t="shared" si="4"/>
        <v>23012.156999999999</v>
      </c>
    </row>
    <row r="33" spans="2:20" ht="14.25" customHeight="1" x14ac:dyDescent="0.2">
      <c r="D33" s="76" t="s">
        <v>78</v>
      </c>
      <c r="F33" s="85">
        <v>287</v>
      </c>
      <c r="G33" s="85">
        <v>1822</v>
      </c>
      <c r="H33" s="85">
        <v>2059</v>
      </c>
      <c r="I33" s="85">
        <v>1064</v>
      </c>
      <c r="J33" s="85">
        <v>1006</v>
      </c>
      <c r="K33" s="85">
        <v>6978</v>
      </c>
      <c r="L33" s="85">
        <v>18750</v>
      </c>
      <c r="M33" s="85">
        <v>1791</v>
      </c>
      <c r="N33" s="85">
        <v>1643</v>
      </c>
      <c r="O33" s="85">
        <v>507</v>
      </c>
      <c r="P33" s="85">
        <v>3167</v>
      </c>
      <c r="Q33" s="85">
        <v>27255</v>
      </c>
      <c r="R33" s="85">
        <f t="shared" si="4"/>
        <v>66329</v>
      </c>
    </row>
    <row r="34" spans="2:20" ht="14.25" customHeight="1" x14ac:dyDescent="0.2">
      <c r="D34" s="76" t="s">
        <v>35</v>
      </c>
      <c r="F34" s="85">
        <v>93</v>
      </c>
      <c r="G34" s="85">
        <v>36</v>
      </c>
      <c r="H34" s="85">
        <v>97</v>
      </c>
      <c r="I34" s="85">
        <v>9</v>
      </c>
      <c r="J34" s="85">
        <v>98</v>
      </c>
      <c r="K34" s="85">
        <v>0</v>
      </c>
      <c r="L34" s="85">
        <v>156</v>
      </c>
      <c r="M34" s="85">
        <v>0</v>
      </c>
      <c r="N34" s="85">
        <v>92</v>
      </c>
      <c r="O34" s="85">
        <v>76</v>
      </c>
      <c r="P34" s="85">
        <v>7</v>
      </c>
      <c r="Q34" s="85">
        <v>10815</v>
      </c>
      <c r="R34" s="85">
        <f t="shared" si="4"/>
        <v>11479</v>
      </c>
    </row>
    <row r="35" spans="2:20" ht="14.25" customHeight="1" x14ac:dyDescent="0.2">
      <c r="D35" s="76" t="s">
        <v>79</v>
      </c>
      <c r="F35" s="85">
        <v>-9918</v>
      </c>
      <c r="G35" s="85">
        <v>287</v>
      </c>
      <c r="H35" s="85">
        <v>1515</v>
      </c>
      <c r="I35" s="85">
        <v>610</v>
      </c>
      <c r="J35" s="85">
        <v>3331</v>
      </c>
      <c r="K35" s="85">
        <v>734</v>
      </c>
      <c r="L35" s="85">
        <v>2536</v>
      </c>
      <c r="M35" s="85">
        <v>835</v>
      </c>
      <c r="N35" s="85">
        <v>2268</v>
      </c>
      <c r="O35" s="85">
        <v>1012</v>
      </c>
      <c r="P35" s="85">
        <v>12802</v>
      </c>
      <c r="Q35" s="85">
        <v>614</v>
      </c>
      <c r="R35" s="85">
        <f t="shared" si="4"/>
        <v>16626</v>
      </c>
    </row>
    <row r="36" spans="2:20" ht="14.25" customHeight="1" x14ac:dyDescent="0.2">
      <c r="D36" s="6" t="s">
        <v>80</v>
      </c>
      <c r="F36" s="85">
        <v>86437</v>
      </c>
      <c r="G36" s="85">
        <v>77283</v>
      </c>
      <c r="H36" s="85">
        <v>90823.553</v>
      </c>
      <c r="I36" s="85">
        <v>91904.15</v>
      </c>
      <c r="J36" s="85">
        <v>115317.58</v>
      </c>
      <c r="K36" s="85">
        <v>84386.86</v>
      </c>
      <c r="L36" s="85">
        <v>95691.7</v>
      </c>
      <c r="M36" s="85">
        <v>86483</v>
      </c>
      <c r="N36" s="85">
        <v>84972</v>
      </c>
      <c r="O36" s="85">
        <v>95569</v>
      </c>
      <c r="P36" s="85">
        <v>100952</v>
      </c>
      <c r="Q36" s="85">
        <v>112200</v>
      </c>
      <c r="R36" s="85">
        <f t="shared" si="4"/>
        <v>1122019.8429999999</v>
      </c>
      <c r="T36" s="85"/>
    </row>
    <row r="37" spans="2:20" ht="14.2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T37" s="85"/>
    </row>
    <row r="38" spans="2:20" ht="14.25" customHeight="1" x14ac:dyDescent="0.25">
      <c r="B38" s="82" t="s">
        <v>38</v>
      </c>
      <c r="C38" s="82"/>
      <c r="D38" s="82"/>
      <c r="E38" s="82"/>
      <c r="F38" s="88">
        <f t="shared" ref="F38:Q38" si="5">+F8-F28</f>
        <v>-19531</v>
      </c>
      <c r="G38" s="88">
        <f t="shared" si="5"/>
        <v>-11749</v>
      </c>
      <c r="H38" s="88">
        <f t="shared" si="5"/>
        <v>-35198</v>
      </c>
      <c r="I38" s="88">
        <f t="shared" si="5"/>
        <v>36803</v>
      </c>
      <c r="J38" s="88">
        <f t="shared" si="5"/>
        <v>-13164</v>
      </c>
      <c r="K38" s="88">
        <f t="shared" si="5"/>
        <v>-8451</v>
      </c>
      <c r="L38" s="88">
        <f t="shared" si="5"/>
        <v>-53222</v>
      </c>
      <c r="M38" s="88">
        <f t="shared" si="5"/>
        <v>21901</v>
      </c>
      <c r="N38" s="88">
        <f t="shared" si="5"/>
        <v>-18616</v>
      </c>
      <c r="O38" s="88">
        <f t="shared" si="5"/>
        <v>-11237</v>
      </c>
      <c r="P38" s="88">
        <f t="shared" si="5"/>
        <v>1000</v>
      </c>
      <c r="Q38" s="88">
        <f t="shared" si="5"/>
        <v>-52598</v>
      </c>
      <c r="R38" s="88">
        <f>SUM(F38:Q38)</f>
        <v>-164062</v>
      </c>
    </row>
    <row r="39" spans="2:20" ht="14.2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20" ht="14.25" customHeight="1" x14ac:dyDescent="0.25">
      <c r="B40" s="82" t="s">
        <v>39</v>
      </c>
      <c r="C40" s="82"/>
      <c r="D40" s="82"/>
      <c r="E40" s="82"/>
      <c r="F40" s="83">
        <v>39671</v>
      </c>
      <c r="G40" s="83">
        <v>-6189</v>
      </c>
      <c r="H40" s="83">
        <v>39914</v>
      </c>
      <c r="I40" s="83">
        <v>47098</v>
      </c>
      <c r="J40" s="83">
        <v>21436</v>
      </c>
      <c r="K40" s="83">
        <v>31126</v>
      </c>
      <c r="L40" s="83">
        <v>48507</v>
      </c>
      <c r="M40" s="83">
        <v>126245</v>
      </c>
      <c r="N40" s="83">
        <v>24985</v>
      </c>
      <c r="O40" s="83">
        <v>50922</v>
      </c>
      <c r="P40" s="83">
        <v>25679</v>
      </c>
      <c r="Q40" s="83">
        <v>-14137</v>
      </c>
      <c r="R40" s="83">
        <v>435257</v>
      </c>
    </row>
    <row r="41" spans="2:20" ht="14.25" customHeight="1" x14ac:dyDescent="0.2">
      <c r="C41" s="76" t="s">
        <v>40</v>
      </c>
      <c r="F41" s="84">
        <v>-643</v>
      </c>
      <c r="G41" s="84">
        <v>-43515</v>
      </c>
      <c r="H41" s="84">
        <v>-5141</v>
      </c>
      <c r="I41" s="84">
        <v>11</v>
      </c>
      <c r="J41" s="84">
        <v>-3377</v>
      </c>
      <c r="K41" s="84">
        <v>-11811</v>
      </c>
      <c r="L41" s="84">
        <v>14804</v>
      </c>
      <c r="M41" s="84">
        <v>-20911</v>
      </c>
      <c r="N41" s="84">
        <v>-5443</v>
      </c>
      <c r="O41" s="84">
        <v>-759</v>
      </c>
      <c r="P41" s="84">
        <v>-4974</v>
      </c>
      <c r="Q41" s="84">
        <v>-2062</v>
      </c>
      <c r="R41" s="84">
        <v>-83821</v>
      </c>
    </row>
    <row r="42" spans="2:20" ht="14.25" customHeight="1" x14ac:dyDescent="0.2">
      <c r="D42" s="76" t="s">
        <v>41</v>
      </c>
      <c r="F42" s="85">
        <v>1023</v>
      </c>
      <c r="G42" s="85">
        <v>1181</v>
      </c>
      <c r="H42" s="85">
        <v>1026</v>
      </c>
      <c r="I42" s="85">
        <v>2886</v>
      </c>
      <c r="J42" s="85">
        <v>1850</v>
      </c>
      <c r="K42" s="85">
        <v>876</v>
      </c>
      <c r="L42" s="85">
        <v>16505</v>
      </c>
      <c r="M42" s="85">
        <v>1653</v>
      </c>
      <c r="N42" s="85">
        <v>1003</v>
      </c>
      <c r="O42" s="85">
        <v>2092</v>
      </c>
      <c r="P42" s="85">
        <v>868</v>
      </c>
      <c r="Q42" s="85">
        <v>2804</v>
      </c>
      <c r="R42" s="85">
        <v>33767</v>
      </c>
    </row>
    <row r="43" spans="2:20" ht="14.25" customHeight="1" x14ac:dyDescent="0.2">
      <c r="D43" s="76" t="s">
        <v>98</v>
      </c>
      <c r="F43" s="85">
        <v>1666</v>
      </c>
      <c r="G43" s="85">
        <v>44696</v>
      </c>
      <c r="H43" s="85">
        <v>6167</v>
      </c>
      <c r="I43" s="85">
        <v>2875</v>
      </c>
      <c r="J43" s="85">
        <v>5227</v>
      </c>
      <c r="K43" s="85">
        <v>12687</v>
      </c>
      <c r="L43" s="85">
        <v>1701</v>
      </c>
      <c r="M43" s="85">
        <v>22564</v>
      </c>
      <c r="N43" s="85">
        <v>6446</v>
      </c>
      <c r="O43" s="85">
        <v>2851</v>
      </c>
      <c r="P43" s="85">
        <v>5842</v>
      </c>
      <c r="Q43" s="85">
        <v>4866</v>
      </c>
      <c r="R43" s="85">
        <v>117588</v>
      </c>
    </row>
    <row r="44" spans="2:20" ht="14.2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20" ht="14.25" customHeight="1" x14ac:dyDescent="0.2">
      <c r="C45" s="76" t="s">
        <v>43</v>
      </c>
      <c r="F45" s="84">
        <v>40314</v>
      </c>
      <c r="G45" s="84">
        <v>37326</v>
      </c>
      <c r="H45" s="84">
        <v>45055</v>
      </c>
      <c r="I45" s="84">
        <v>47087</v>
      </c>
      <c r="J45" s="84">
        <v>24813</v>
      </c>
      <c r="K45" s="84">
        <v>42937</v>
      </c>
      <c r="L45" s="84">
        <v>33703</v>
      </c>
      <c r="M45" s="84">
        <v>147156</v>
      </c>
      <c r="N45" s="84">
        <v>30428</v>
      </c>
      <c r="O45" s="84">
        <v>51681</v>
      </c>
      <c r="P45" s="84">
        <v>30653</v>
      </c>
      <c r="Q45" s="84">
        <v>-12075</v>
      </c>
      <c r="R45" s="84">
        <v>519078</v>
      </c>
    </row>
    <row r="46" spans="2:20" ht="14.25" customHeight="1" x14ac:dyDescent="0.2">
      <c r="D46" s="76" t="s">
        <v>44</v>
      </c>
      <c r="F46" s="85">
        <v>40314</v>
      </c>
      <c r="G46" s="85">
        <v>37326</v>
      </c>
      <c r="H46" s="85">
        <v>45319</v>
      </c>
      <c r="I46" s="85">
        <v>47229</v>
      </c>
      <c r="J46" s="85">
        <v>24921</v>
      </c>
      <c r="K46" s="85">
        <v>43122</v>
      </c>
      <c r="L46" s="85">
        <v>33800</v>
      </c>
      <c r="M46" s="85">
        <v>147250</v>
      </c>
      <c r="N46" s="85">
        <v>30650</v>
      </c>
      <c r="O46" s="85">
        <v>52000</v>
      </c>
      <c r="P46" s="85">
        <v>30653</v>
      </c>
      <c r="Q46" s="85">
        <v>-11650</v>
      </c>
      <c r="R46" s="85">
        <v>520934</v>
      </c>
    </row>
    <row r="47" spans="2:20" ht="14.25" customHeight="1" x14ac:dyDescent="0.2">
      <c r="D47" s="76" t="s">
        <v>45</v>
      </c>
      <c r="F47" s="85">
        <v>0</v>
      </c>
      <c r="G47" s="85">
        <v>0</v>
      </c>
      <c r="H47" s="85">
        <v>264</v>
      </c>
      <c r="I47" s="85">
        <v>142</v>
      </c>
      <c r="J47" s="85">
        <v>108</v>
      </c>
      <c r="K47" s="85">
        <v>185</v>
      </c>
      <c r="L47" s="85">
        <v>97</v>
      </c>
      <c r="M47" s="85">
        <v>94</v>
      </c>
      <c r="N47" s="85">
        <v>222</v>
      </c>
      <c r="O47" s="85">
        <v>319</v>
      </c>
      <c r="P47" s="85">
        <v>0</v>
      </c>
      <c r="Q47" s="85">
        <v>425</v>
      </c>
      <c r="R47" s="85">
        <v>1856</v>
      </c>
    </row>
    <row r="48" spans="2:20" ht="14.25" customHeight="1" x14ac:dyDescent="0.2">
      <c r="E48" s="6" t="s">
        <v>68</v>
      </c>
      <c r="F48" s="85">
        <v>97115</v>
      </c>
      <c r="G48" s="85">
        <v>0</v>
      </c>
      <c r="H48" s="85">
        <v>88034</v>
      </c>
      <c r="I48" s="85">
        <v>14821</v>
      </c>
      <c r="J48" s="85">
        <v>3316</v>
      </c>
      <c r="K48" s="85">
        <v>185</v>
      </c>
      <c r="L48" s="85">
        <v>37287</v>
      </c>
      <c r="M48" s="85">
        <v>94</v>
      </c>
      <c r="N48" s="85">
        <v>222</v>
      </c>
      <c r="O48" s="85">
        <v>2501</v>
      </c>
      <c r="P48" s="85">
        <v>13500</v>
      </c>
      <c r="Q48" s="85">
        <v>425</v>
      </c>
      <c r="R48" s="85">
        <v>257500</v>
      </c>
    </row>
    <row r="49" spans="1:20" ht="14.25" customHeight="1" x14ac:dyDescent="0.2">
      <c r="E49" s="22" t="s">
        <v>81</v>
      </c>
      <c r="F49" s="85">
        <v>97115</v>
      </c>
      <c r="G49" s="85">
        <v>0</v>
      </c>
      <c r="H49" s="85">
        <v>87770</v>
      </c>
      <c r="I49" s="85">
        <v>14679</v>
      </c>
      <c r="J49" s="85">
        <v>3208</v>
      </c>
      <c r="K49" s="85">
        <v>0</v>
      </c>
      <c r="L49" s="85">
        <v>37190</v>
      </c>
      <c r="M49" s="85">
        <v>0</v>
      </c>
      <c r="N49" s="85">
        <v>0</v>
      </c>
      <c r="O49" s="85">
        <v>2182</v>
      </c>
      <c r="P49" s="85">
        <v>13500</v>
      </c>
      <c r="Q49" s="85">
        <v>0</v>
      </c>
      <c r="R49" s="85">
        <v>255644</v>
      </c>
    </row>
    <row r="50" spans="1:20" ht="14.25" customHeight="1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20" ht="14.25" customHeight="1" x14ac:dyDescent="0.25">
      <c r="B51" s="82" t="s">
        <v>47</v>
      </c>
      <c r="C51" s="82"/>
      <c r="D51" s="82"/>
      <c r="E51" s="82"/>
      <c r="F51" s="83">
        <v>250237</v>
      </c>
      <c r="G51" s="83">
        <v>-353859</v>
      </c>
      <c r="H51" s="83">
        <v>-78597</v>
      </c>
      <c r="I51" s="83">
        <v>47040</v>
      </c>
      <c r="J51" s="83">
        <v>-6918</v>
      </c>
      <c r="K51" s="83">
        <v>45781</v>
      </c>
      <c r="L51" s="83">
        <v>-25310</v>
      </c>
      <c r="M51" s="83">
        <v>111366</v>
      </c>
      <c r="N51" s="83">
        <v>56052</v>
      </c>
      <c r="O51" s="83">
        <v>34337</v>
      </c>
      <c r="P51" s="83">
        <v>-8494</v>
      </c>
      <c r="Q51" s="83">
        <v>-5702</v>
      </c>
      <c r="R51" s="83">
        <v>65933</v>
      </c>
      <c r="T51" s="85"/>
    </row>
    <row r="52" spans="1:20" x14ac:dyDescent="0.2">
      <c r="F52" s="85"/>
      <c r="G52" s="85"/>
      <c r="H52" s="85"/>
      <c r="I52" s="85"/>
    </row>
    <row r="53" spans="1:20" x14ac:dyDescent="0.2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</row>
    <row r="54" spans="1:20" x14ac:dyDescent="0.2">
      <c r="B54" s="79" t="s">
        <v>48</v>
      </c>
    </row>
    <row r="55" spans="1:20" ht="14.25" customHeight="1" x14ac:dyDescent="0.2">
      <c r="B55" s="79"/>
      <c r="C55" s="189" t="s">
        <v>111</v>
      </c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</row>
    <row r="56" spans="1:20" ht="18" customHeight="1" x14ac:dyDescent="0.2">
      <c r="A56" s="86"/>
      <c r="B56" s="7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</row>
    <row r="59" spans="1:20" x14ac:dyDescent="0.2">
      <c r="B59" s="86" t="s">
        <v>52</v>
      </c>
    </row>
    <row r="60" spans="1:20" x14ac:dyDescent="0.2">
      <c r="B60" s="86" t="s">
        <v>107</v>
      </c>
    </row>
  </sheetData>
  <mergeCells count="3">
    <mergeCell ref="A4:E4"/>
    <mergeCell ref="A6:E6"/>
    <mergeCell ref="C55:Q56"/>
  </mergeCells>
  <printOptions horizontalCentered="1"/>
  <pageMargins left="0" right="0" top="1.25972222222222" bottom="0.23611111111111099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MJ58"/>
  <sheetViews>
    <sheetView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J36" sqref="J36"/>
    </sheetView>
  </sheetViews>
  <sheetFormatPr defaultColWidth="9.140625" defaultRowHeight="14.25" x14ac:dyDescent="0.2"/>
  <cols>
    <col min="1" max="1" width="2.5703125" style="76" customWidth="1"/>
    <col min="2" max="2" width="2" style="76" customWidth="1"/>
    <col min="3" max="3" width="1.85546875" style="76" customWidth="1"/>
    <col min="4" max="4" width="2.140625" style="76" customWidth="1"/>
    <col min="5" max="5" width="28" style="76" customWidth="1"/>
    <col min="6" max="6" width="9.140625" style="76"/>
    <col min="7" max="16" width="9.42578125" style="76" customWidth="1"/>
    <col min="17" max="17" width="10" style="76" customWidth="1"/>
    <col min="18" max="18" width="11" style="76" customWidth="1"/>
    <col min="19" max="19" width="0.7109375" style="76" customWidth="1"/>
    <col min="20" max="1024" width="9.140625" style="76"/>
  </cols>
  <sheetData>
    <row r="1" spans="1:19" ht="15" x14ac:dyDescent="0.25">
      <c r="A1" s="102" t="s">
        <v>53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15" x14ac:dyDescent="0.25">
      <c r="A2" s="102" t="s">
        <v>112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19" x14ac:dyDescent="0.2">
      <c r="A3" s="103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spans="1:19" x14ac:dyDescent="0.2">
      <c r="A4" s="186" t="s">
        <v>96</v>
      </c>
      <c r="B4" s="186"/>
      <c r="C4" s="186"/>
      <c r="D4" s="186"/>
      <c r="E4" s="186"/>
    </row>
    <row r="5" spans="1:19" ht="6" customHeight="1" x14ac:dyDescent="0.2"/>
    <row r="6" spans="1:19" ht="22.5" customHeight="1" x14ac:dyDescent="0.2">
      <c r="A6" s="188" t="s">
        <v>3</v>
      </c>
      <c r="B6" s="188"/>
      <c r="C6" s="188"/>
      <c r="D6" s="188"/>
      <c r="E6" s="188"/>
      <c r="F6" s="2" t="s">
        <v>108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65</v>
      </c>
      <c r="O6" s="2" t="s">
        <v>13</v>
      </c>
      <c r="P6" s="2" t="s">
        <v>56</v>
      </c>
      <c r="Q6" s="2" t="s">
        <v>57</v>
      </c>
      <c r="R6" s="2" t="s">
        <v>14</v>
      </c>
      <c r="S6" s="101"/>
    </row>
    <row r="7" spans="1:19" ht="15" customHeight="1" x14ac:dyDescent="0.2">
      <c r="F7" s="85"/>
      <c r="G7" s="85"/>
      <c r="O7" s="85"/>
      <c r="R7" s="85"/>
    </row>
    <row r="8" spans="1:19" ht="15" customHeight="1" x14ac:dyDescent="0.25">
      <c r="B8" s="82" t="s">
        <v>15</v>
      </c>
      <c r="C8" s="82"/>
      <c r="D8" s="82"/>
      <c r="E8" s="82"/>
      <c r="F8" s="83">
        <f t="shared" ref="F8:R8" si="0">F9+F19+F26</f>
        <v>126354</v>
      </c>
      <c r="G8" s="83">
        <f t="shared" si="0"/>
        <v>119189</v>
      </c>
      <c r="H8" s="83">
        <f t="shared" si="0"/>
        <v>115431</v>
      </c>
      <c r="I8" s="83">
        <f t="shared" si="0"/>
        <v>153268</v>
      </c>
      <c r="J8" s="83">
        <f t="shared" si="0"/>
        <v>131403</v>
      </c>
      <c r="K8" s="83">
        <f t="shared" si="0"/>
        <v>115276</v>
      </c>
      <c r="L8" s="83">
        <f t="shared" si="0"/>
        <v>123309</v>
      </c>
      <c r="M8" s="83">
        <f t="shared" si="0"/>
        <v>129408</v>
      </c>
      <c r="N8" s="83">
        <f t="shared" si="0"/>
        <v>105309</v>
      </c>
      <c r="O8" s="83">
        <f t="shared" si="0"/>
        <v>134320</v>
      </c>
      <c r="P8" s="83">
        <f t="shared" si="0"/>
        <v>155308</v>
      </c>
      <c r="Q8" s="83">
        <f t="shared" si="0"/>
        <v>126357</v>
      </c>
      <c r="R8" s="83">
        <f t="shared" si="0"/>
        <v>1534932</v>
      </c>
    </row>
    <row r="9" spans="1:19" ht="15" customHeight="1" x14ac:dyDescent="0.2">
      <c r="C9" s="76" t="s">
        <v>16</v>
      </c>
      <c r="F9" s="84">
        <f t="shared" ref="F9:Q9" si="1">SUM(F10+F14+F17)</f>
        <v>108032</v>
      </c>
      <c r="G9" s="84">
        <f t="shared" si="1"/>
        <v>92404</v>
      </c>
      <c r="H9" s="84">
        <f t="shared" si="1"/>
        <v>101823</v>
      </c>
      <c r="I9" s="84">
        <f t="shared" si="1"/>
        <v>142560</v>
      </c>
      <c r="J9" s="84">
        <f t="shared" si="1"/>
        <v>121374</v>
      </c>
      <c r="K9" s="84">
        <f t="shared" si="1"/>
        <v>105723</v>
      </c>
      <c r="L9" s="84">
        <f t="shared" si="1"/>
        <v>108999</v>
      </c>
      <c r="M9" s="84">
        <f t="shared" si="1"/>
        <v>120446</v>
      </c>
      <c r="N9" s="84">
        <f t="shared" si="1"/>
        <v>95417</v>
      </c>
      <c r="O9" s="84">
        <f t="shared" si="1"/>
        <v>114762</v>
      </c>
      <c r="P9" s="84">
        <f t="shared" si="1"/>
        <v>135242</v>
      </c>
      <c r="Q9" s="84">
        <f t="shared" si="1"/>
        <v>114299</v>
      </c>
      <c r="R9" s="84">
        <v>1361081</v>
      </c>
    </row>
    <row r="10" spans="1:19" ht="15" customHeight="1" x14ac:dyDescent="0.2">
      <c r="D10" s="76" t="s">
        <v>17</v>
      </c>
      <c r="F10" s="85">
        <v>85147</v>
      </c>
      <c r="G10" s="85">
        <v>68694</v>
      </c>
      <c r="H10" s="85">
        <v>75203</v>
      </c>
      <c r="I10" s="85">
        <v>116221</v>
      </c>
      <c r="J10" s="85">
        <v>94551</v>
      </c>
      <c r="K10" s="85">
        <v>81343</v>
      </c>
      <c r="L10" s="85">
        <v>83517</v>
      </c>
      <c r="M10" s="85">
        <v>96756</v>
      </c>
      <c r="N10" s="85">
        <v>71036</v>
      </c>
      <c r="O10" s="85">
        <v>86105</v>
      </c>
      <c r="P10" s="85">
        <v>110767</v>
      </c>
      <c r="Q10" s="85">
        <v>88576</v>
      </c>
      <c r="R10" s="85">
        <v>1057916</v>
      </c>
    </row>
    <row r="11" spans="1:19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" customHeight="1" x14ac:dyDescent="0.2">
      <c r="E12" s="76" t="s">
        <v>19</v>
      </c>
      <c r="F12" s="85">
        <v>0</v>
      </c>
      <c r="G12" s="85">
        <v>243</v>
      </c>
      <c r="H12" s="85">
        <v>734</v>
      </c>
      <c r="I12" s="85">
        <v>1084</v>
      </c>
      <c r="J12" s="85">
        <v>207</v>
      </c>
      <c r="K12" s="85">
        <v>170</v>
      </c>
      <c r="L12" s="85">
        <v>216</v>
      </c>
      <c r="M12" s="85">
        <v>0</v>
      </c>
      <c r="N12" s="85">
        <v>901</v>
      </c>
      <c r="O12" s="85">
        <v>578</v>
      </c>
      <c r="P12" s="85">
        <v>1030</v>
      </c>
      <c r="Q12" s="85">
        <v>634</v>
      </c>
      <c r="R12" s="85">
        <v>5797</v>
      </c>
    </row>
    <row r="13" spans="1:19" ht="15" customHeight="1" x14ac:dyDescent="0.2">
      <c r="E13" s="76" t="s">
        <v>20</v>
      </c>
      <c r="F13" s="85">
        <v>32</v>
      </c>
      <c r="G13" s="85">
        <v>0</v>
      </c>
      <c r="H13" s="85">
        <v>6656</v>
      </c>
      <c r="I13" s="85">
        <v>2026</v>
      </c>
      <c r="J13" s="85">
        <v>338</v>
      </c>
      <c r="K13" s="85">
        <v>5080</v>
      </c>
      <c r="L13" s="85">
        <v>2146</v>
      </c>
      <c r="M13" s="85">
        <v>26</v>
      </c>
      <c r="N13" s="85">
        <v>175</v>
      </c>
      <c r="O13" s="85">
        <v>2015</v>
      </c>
      <c r="P13" s="85">
        <v>1584</v>
      </c>
      <c r="Q13" s="85">
        <v>4719</v>
      </c>
      <c r="R13" s="85">
        <v>24797</v>
      </c>
    </row>
    <row r="14" spans="1:19" ht="15" customHeight="1" x14ac:dyDescent="0.2">
      <c r="D14" s="76" t="s">
        <v>21</v>
      </c>
      <c r="F14" s="85">
        <v>21990</v>
      </c>
      <c r="G14" s="85">
        <v>22433</v>
      </c>
      <c r="H14" s="85">
        <v>25106</v>
      </c>
      <c r="I14" s="85">
        <v>25367</v>
      </c>
      <c r="J14" s="85">
        <v>25230</v>
      </c>
      <c r="K14" s="85">
        <v>23299</v>
      </c>
      <c r="L14" s="85">
        <v>24391</v>
      </c>
      <c r="M14" s="85">
        <v>22632</v>
      </c>
      <c r="N14" s="85">
        <v>23208</v>
      </c>
      <c r="O14" s="85">
        <v>26934</v>
      </c>
      <c r="P14" s="85">
        <v>23749</v>
      </c>
      <c r="Q14" s="85">
        <v>25527</v>
      </c>
      <c r="R14" s="85">
        <v>289866</v>
      </c>
    </row>
    <row r="15" spans="1:19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" customHeight="1" x14ac:dyDescent="0.2">
      <c r="E16" s="76" t="s">
        <v>20</v>
      </c>
      <c r="F16" s="85">
        <v>0</v>
      </c>
      <c r="G16" s="85">
        <v>167</v>
      </c>
      <c r="H16" s="85">
        <v>405</v>
      </c>
      <c r="I16" s="85">
        <v>5</v>
      </c>
      <c r="J16" s="85">
        <v>76</v>
      </c>
      <c r="K16" s="85">
        <v>35</v>
      </c>
      <c r="L16" s="85">
        <v>487</v>
      </c>
      <c r="M16" s="85">
        <v>551</v>
      </c>
      <c r="N16" s="85">
        <v>0</v>
      </c>
      <c r="O16" s="85">
        <v>137</v>
      </c>
      <c r="P16" s="85">
        <v>38</v>
      </c>
      <c r="Q16" s="85">
        <v>5583</v>
      </c>
      <c r="R16" s="85">
        <v>7484</v>
      </c>
    </row>
    <row r="17" spans="2:21" ht="15" customHeight="1" x14ac:dyDescent="0.2">
      <c r="D17" s="76" t="s">
        <v>106</v>
      </c>
      <c r="F17" s="85">
        <v>895</v>
      </c>
      <c r="G17" s="85">
        <v>1277</v>
      </c>
      <c r="H17" s="85">
        <v>1514</v>
      </c>
      <c r="I17" s="85">
        <v>972</v>
      </c>
      <c r="J17" s="85">
        <v>1593</v>
      </c>
      <c r="K17" s="85">
        <v>1081</v>
      </c>
      <c r="L17" s="85">
        <v>1091</v>
      </c>
      <c r="M17" s="85">
        <v>1058</v>
      </c>
      <c r="N17" s="85">
        <v>1173</v>
      </c>
      <c r="O17" s="85">
        <v>1723</v>
      </c>
      <c r="P17" s="85">
        <v>726</v>
      </c>
      <c r="Q17" s="85">
        <v>196</v>
      </c>
      <c r="R17" s="85">
        <v>13299</v>
      </c>
    </row>
    <row r="18" spans="2:21" ht="15" customHeight="1" x14ac:dyDescent="0.2">
      <c r="F18" s="85" t="s">
        <v>58</v>
      </c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5" customHeight="1" x14ac:dyDescent="0.2">
      <c r="C19" s="76" t="s">
        <v>23</v>
      </c>
      <c r="F19" s="84">
        <f t="shared" ref="F19:R19" si="2">SUM(F20:F24)</f>
        <v>18295</v>
      </c>
      <c r="G19" s="84">
        <f t="shared" si="2"/>
        <v>26774</v>
      </c>
      <c r="H19" s="84">
        <f t="shared" si="2"/>
        <v>13608</v>
      </c>
      <c r="I19" s="84">
        <f t="shared" si="2"/>
        <v>10707</v>
      </c>
      <c r="J19" s="84">
        <f t="shared" si="2"/>
        <v>10011</v>
      </c>
      <c r="K19" s="84">
        <f t="shared" si="2"/>
        <v>9544</v>
      </c>
      <c r="L19" s="84">
        <f t="shared" si="2"/>
        <v>14309</v>
      </c>
      <c r="M19" s="84">
        <f t="shared" si="2"/>
        <v>8951</v>
      </c>
      <c r="N19" s="84">
        <f t="shared" si="2"/>
        <v>9892</v>
      </c>
      <c r="O19" s="84">
        <f t="shared" si="2"/>
        <v>19558</v>
      </c>
      <c r="P19" s="84">
        <f t="shared" si="2"/>
        <v>20053</v>
      </c>
      <c r="Q19" s="84">
        <f t="shared" si="2"/>
        <v>12050</v>
      </c>
      <c r="R19" s="84">
        <f t="shared" si="2"/>
        <v>173751.99999999997</v>
      </c>
      <c r="S19" s="84"/>
    </row>
    <row r="20" spans="2:21" ht="15" customHeight="1" x14ac:dyDescent="0.2">
      <c r="D20" s="76" t="s">
        <v>24</v>
      </c>
      <c r="F20" s="85">
        <v>11052</v>
      </c>
      <c r="G20" s="85">
        <v>20135</v>
      </c>
      <c r="H20" s="85">
        <v>6573</v>
      </c>
      <c r="I20" s="85">
        <v>4087</v>
      </c>
      <c r="J20" s="85">
        <v>5039</v>
      </c>
      <c r="K20" s="85">
        <v>3337</v>
      </c>
      <c r="L20" s="85">
        <v>7681</v>
      </c>
      <c r="M20" s="85">
        <v>2970</v>
      </c>
      <c r="N20" s="85">
        <v>4181</v>
      </c>
      <c r="O20" s="85">
        <v>6298</v>
      </c>
      <c r="P20" s="85">
        <v>8607</v>
      </c>
      <c r="Q20" s="85">
        <v>4120</v>
      </c>
      <c r="R20" s="85">
        <f>SUM(F20:Q20)</f>
        <v>84080</v>
      </c>
      <c r="T20" s="85"/>
    </row>
    <row r="21" spans="2:21" ht="15" customHeight="1" x14ac:dyDescent="0.2">
      <c r="D21" s="76" t="s">
        <v>26</v>
      </c>
      <c r="F21" s="85">
        <v>0</v>
      </c>
      <c r="G21" s="85">
        <v>0</v>
      </c>
      <c r="H21" s="85">
        <v>6</v>
      </c>
      <c r="I21" s="85">
        <v>0</v>
      </c>
      <c r="J21" s="85">
        <v>0</v>
      </c>
      <c r="K21" s="85">
        <v>0</v>
      </c>
      <c r="L21" s="85">
        <v>35</v>
      </c>
      <c r="M21" s="85">
        <v>0</v>
      </c>
      <c r="N21" s="85">
        <v>448</v>
      </c>
      <c r="O21" s="85">
        <v>0</v>
      </c>
      <c r="P21" s="85">
        <v>7793</v>
      </c>
      <c r="Q21" s="85">
        <v>66</v>
      </c>
      <c r="R21" s="85">
        <f>SUM(F21:Q21)</f>
        <v>8348</v>
      </c>
      <c r="T21" s="85"/>
    </row>
    <row r="22" spans="2:21" ht="15" customHeight="1" x14ac:dyDescent="0.2">
      <c r="D22" s="76" t="s">
        <v>27</v>
      </c>
      <c r="E22" s="86"/>
      <c r="F22" s="85">
        <v>1687.6310000000001</v>
      </c>
      <c r="G22" s="85">
        <v>2352.3049999999998</v>
      </c>
      <c r="H22" s="85">
        <v>2546.6590000000001</v>
      </c>
      <c r="I22" s="85">
        <v>2737.665</v>
      </c>
      <c r="J22" s="85">
        <v>2667.277</v>
      </c>
      <c r="K22" s="85">
        <v>3311.3870000000002</v>
      </c>
      <c r="L22" s="85">
        <v>2611.4229999999998</v>
      </c>
      <c r="M22" s="85">
        <v>1942.4110000000001</v>
      </c>
      <c r="N22" s="85">
        <v>1697.4659999999999</v>
      </c>
      <c r="O22" s="85">
        <v>2837.1909999999998</v>
      </c>
      <c r="P22" s="85">
        <v>2447.038</v>
      </c>
      <c r="Q22" s="85">
        <v>2232.1790000000001</v>
      </c>
      <c r="R22" s="85">
        <f>SUM(F22:Q22)</f>
        <v>29070.631999999998</v>
      </c>
      <c r="T22" s="85"/>
    </row>
    <row r="23" spans="2:21" ht="15" customHeight="1" x14ac:dyDescent="0.2">
      <c r="D23" s="76" t="s">
        <v>113</v>
      </c>
      <c r="F23" s="85">
        <v>1962</v>
      </c>
      <c r="G23" s="85">
        <v>2735</v>
      </c>
      <c r="H23" s="85">
        <v>1995</v>
      </c>
      <c r="I23" s="85">
        <v>1715</v>
      </c>
      <c r="J23" s="85">
        <v>2214</v>
      </c>
      <c r="K23" s="85">
        <v>2185</v>
      </c>
      <c r="L23" s="85">
        <v>2539</v>
      </c>
      <c r="M23" s="85">
        <v>2100</v>
      </c>
      <c r="N23" s="85">
        <v>2234</v>
      </c>
      <c r="O23" s="85">
        <v>4463</v>
      </c>
      <c r="P23" s="85">
        <v>1875</v>
      </c>
      <c r="Q23" s="85">
        <v>1776</v>
      </c>
      <c r="R23" s="85">
        <f>SUM(F23:Q23)</f>
        <v>27793</v>
      </c>
    </row>
    <row r="24" spans="2:21" ht="15" customHeight="1" x14ac:dyDescent="0.2">
      <c r="D24" s="76" t="s">
        <v>106</v>
      </c>
      <c r="F24" s="85">
        <f>7243-F22-F23</f>
        <v>3593.3689999999997</v>
      </c>
      <c r="G24" s="85">
        <f>6639-G22-G23</f>
        <v>1551.6949999999997</v>
      </c>
      <c r="H24" s="85">
        <f>7029-H22-H23</f>
        <v>2487.3410000000003</v>
      </c>
      <c r="I24" s="85">
        <f>6620-I22-I23</f>
        <v>2167.335</v>
      </c>
      <c r="J24" s="85">
        <f>4972-J22-J23</f>
        <v>90.722999999999956</v>
      </c>
      <c r="K24" s="85">
        <f>6207-K22-K23</f>
        <v>710.61299999999983</v>
      </c>
      <c r="L24" s="85">
        <f>6593-L22-L23</f>
        <v>1442.5770000000002</v>
      </c>
      <c r="M24" s="85">
        <f>5981-M22-M23</f>
        <v>1938.5889999999999</v>
      </c>
      <c r="N24" s="85">
        <f>5263-N22-N23</f>
        <v>1331.5340000000001</v>
      </c>
      <c r="O24" s="85">
        <f>13260-O22-O23</f>
        <v>5959.8090000000011</v>
      </c>
      <c r="P24" s="85">
        <f>3653-P22-P23</f>
        <v>-669.03800000000001</v>
      </c>
      <c r="Q24" s="85">
        <f>7864-Q22-Q23</f>
        <v>3855.8209999999999</v>
      </c>
      <c r="R24" s="85">
        <f>SUM(F24:Q24)</f>
        <v>24460.367999999999</v>
      </c>
    </row>
    <row r="25" spans="2:21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5" customHeight="1" x14ac:dyDescent="0.2">
      <c r="C26" s="76" t="s">
        <v>29</v>
      </c>
      <c r="F26" s="85">
        <v>27</v>
      </c>
      <c r="G26" s="85">
        <v>11</v>
      </c>
      <c r="H26" s="85">
        <v>0</v>
      </c>
      <c r="I26" s="85">
        <v>1</v>
      </c>
      <c r="J26" s="85">
        <v>18</v>
      </c>
      <c r="K26" s="85">
        <v>9</v>
      </c>
      <c r="L26" s="85">
        <v>1</v>
      </c>
      <c r="M26" s="85">
        <v>11</v>
      </c>
      <c r="N26" s="85">
        <v>0</v>
      </c>
      <c r="O26" s="85">
        <v>0</v>
      </c>
      <c r="P26" s="85">
        <v>13</v>
      </c>
      <c r="Q26" s="85">
        <v>8</v>
      </c>
      <c r="R26" s="85">
        <v>99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5">
      <c r="B28" s="82" t="s">
        <v>30</v>
      </c>
      <c r="C28" s="82"/>
      <c r="D28" s="82"/>
      <c r="E28" s="82"/>
      <c r="F28" s="83">
        <f t="shared" ref="F28:Q28" si="3">SUM(F30:F36)</f>
        <v>142297.179</v>
      </c>
      <c r="G28" s="83">
        <f t="shared" si="3"/>
        <v>108533.57399999999</v>
      </c>
      <c r="H28" s="83">
        <f t="shared" si="3"/>
        <v>144052.785</v>
      </c>
      <c r="I28" s="83">
        <f t="shared" si="3"/>
        <v>122243.83199999999</v>
      </c>
      <c r="J28" s="83">
        <f t="shared" si="3"/>
        <v>151262.26300000001</v>
      </c>
      <c r="K28" s="83">
        <f t="shared" si="3"/>
        <v>126914.462</v>
      </c>
      <c r="L28" s="83">
        <f t="shared" si="3"/>
        <v>162557.86800000002</v>
      </c>
      <c r="M28" s="83">
        <f t="shared" si="3"/>
        <v>126885.42600000001</v>
      </c>
      <c r="N28" s="83">
        <f t="shared" si="3"/>
        <v>138142.68</v>
      </c>
      <c r="O28" s="83">
        <f t="shared" si="3"/>
        <v>145983.82500000001</v>
      </c>
      <c r="P28" s="83">
        <f t="shared" si="3"/>
        <v>166782.739</v>
      </c>
      <c r="Q28" s="83">
        <f t="shared" si="3"/>
        <v>242101.97899999999</v>
      </c>
      <c r="R28" s="83">
        <f>SUM(F28:Q28)</f>
        <v>1777758.612</v>
      </c>
      <c r="S28" s="85">
        <f>SUM(G28:Q28)</f>
        <v>1635461.433</v>
      </c>
      <c r="T28" s="85"/>
    </row>
    <row r="29" spans="2:21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5" customHeight="1" x14ac:dyDescent="0.2">
      <c r="D30" s="76" t="s">
        <v>31</v>
      </c>
      <c r="F30" s="85">
        <v>23565</v>
      </c>
      <c r="G30" s="85">
        <v>24002</v>
      </c>
      <c r="H30" s="85">
        <v>23439</v>
      </c>
      <c r="I30" s="85">
        <v>23254</v>
      </c>
      <c r="J30" s="85">
        <v>28550</v>
      </c>
      <c r="K30" s="85">
        <v>26578</v>
      </c>
      <c r="L30" s="85">
        <v>25522</v>
      </c>
      <c r="M30" s="85">
        <v>23915</v>
      </c>
      <c r="N30" s="85">
        <v>24613</v>
      </c>
      <c r="O30" s="85">
        <v>25899</v>
      </c>
      <c r="P30" s="85">
        <v>24209</v>
      </c>
      <c r="Q30" s="85">
        <v>24776</v>
      </c>
      <c r="R30" s="85">
        <f t="shared" ref="R30:R36" si="4">SUM(F30:Q30)</f>
        <v>298322</v>
      </c>
    </row>
    <row r="31" spans="2:21" ht="15" customHeight="1" x14ac:dyDescent="0.2">
      <c r="D31" s="76" t="s">
        <v>32</v>
      </c>
      <c r="F31" s="85">
        <v>50280</v>
      </c>
      <c r="G31" s="85">
        <v>20571</v>
      </c>
      <c r="H31" s="85">
        <v>27638</v>
      </c>
      <c r="I31" s="85">
        <v>16138</v>
      </c>
      <c r="J31" s="85">
        <v>16362</v>
      </c>
      <c r="K31" s="85">
        <v>19021</v>
      </c>
      <c r="L31" s="85">
        <v>51289</v>
      </c>
      <c r="M31" s="85">
        <v>19816</v>
      </c>
      <c r="N31" s="85">
        <v>24134</v>
      </c>
      <c r="O31" s="85">
        <v>21440</v>
      </c>
      <c r="P31" s="85">
        <v>15648</v>
      </c>
      <c r="Q31" s="85">
        <v>30461.988000000001</v>
      </c>
      <c r="R31" s="85">
        <f t="shared" si="4"/>
        <v>312798.98800000001</v>
      </c>
    </row>
    <row r="32" spans="2:21" ht="15" customHeight="1" x14ac:dyDescent="0.2">
      <c r="D32" s="76" t="s">
        <v>33</v>
      </c>
      <c r="F32" s="85">
        <v>32</v>
      </c>
      <c r="G32" s="85">
        <v>410</v>
      </c>
      <c r="H32" s="85">
        <v>7795</v>
      </c>
      <c r="I32" s="85">
        <v>3115</v>
      </c>
      <c r="J32" s="85">
        <v>621</v>
      </c>
      <c r="K32" s="85">
        <v>5285</v>
      </c>
      <c r="L32" s="85">
        <v>2849</v>
      </c>
      <c r="M32" s="85">
        <v>577</v>
      </c>
      <c r="N32" s="85">
        <v>1076</v>
      </c>
      <c r="O32" s="85">
        <v>2730</v>
      </c>
      <c r="P32" s="85">
        <v>2652</v>
      </c>
      <c r="Q32" s="85">
        <v>10936</v>
      </c>
      <c r="R32" s="85">
        <f t="shared" si="4"/>
        <v>38078</v>
      </c>
    </row>
    <row r="33" spans="2:20" ht="15" customHeight="1" x14ac:dyDescent="0.2">
      <c r="D33" s="76" t="s">
        <v>78</v>
      </c>
      <c r="F33" s="85">
        <v>441.17899999999997</v>
      </c>
      <c r="G33" s="85">
        <v>1093.5740000000001</v>
      </c>
      <c r="H33" s="85">
        <v>4096.7849999999999</v>
      </c>
      <c r="I33" s="85">
        <v>2801.8319999999999</v>
      </c>
      <c r="J33" s="85">
        <v>3520.2629999999999</v>
      </c>
      <c r="K33" s="85">
        <v>820.18700000000001</v>
      </c>
      <c r="L33" s="85">
        <v>1228.8679999999999</v>
      </c>
      <c r="M33" s="85">
        <v>1367.4259999999999</v>
      </c>
      <c r="N33" s="85">
        <v>3096.337</v>
      </c>
      <c r="O33" s="85">
        <v>2014.825</v>
      </c>
      <c r="P33" s="85">
        <v>6190.3450000000003</v>
      </c>
      <c r="Q33" s="85">
        <v>15965.424999999999</v>
      </c>
      <c r="R33" s="85">
        <f t="shared" si="4"/>
        <v>42637.046000000002</v>
      </c>
    </row>
    <row r="34" spans="2:20" ht="15" customHeight="1" x14ac:dyDescent="0.2">
      <c r="D34" s="76" t="s">
        <v>35</v>
      </c>
      <c r="F34" s="85">
        <v>0</v>
      </c>
      <c r="G34" s="85">
        <v>0</v>
      </c>
      <c r="H34" s="85">
        <v>0</v>
      </c>
      <c r="I34" s="85">
        <v>0</v>
      </c>
      <c r="J34" s="85">
        <v>900</v>
      </c>
      <c r="K34" s="85">
        <v>0</v>
      </c>
      <c r="L34" s="85">
        <v>0</v>
      </c>
      <c r="M34" s="85">
        <v>0</v>
      </c>
      <c r="N34" s="85">
        <v>0</v>
      </c>
      <c r="O34" s="85">
        <v>143</v>
      </c>
      <c r="P34" s="85">
        <v>127</v>
      </c>
      <c r="Q34" s="85">
        <v>20170</v>
      </c>
      <c r="R34" s="85">
        <f t="shared" si="4"/>
        <v>21340</v>
      </c>
    </row>
    <row r="35" spans="2:20" ht="15" customHeight="1" x14ac:dyDescent="0.2">
      <c r="D35" s="76" t="s">
        <v>79</v>
      </c>
      <c r="F35" s="85">
        <v>1244</v>
      </c>
      <c r="G35" s="85">
        <v>241</v>
      </c>
      <c r="H35" s="85">
        <v>1677</v>
      </c>
      <c r="I35" s="85">
        <v>811</v>
      </c>
      <c r="J35" s="85">
        <v>3904</v>
      </c>
      <c r="K35" s="85">
        <v>3742.2750000000001</v>
      </c>
      <c r="L35" s="85">
        <v>2254</v>
      </c>
      <c r="M35" s="85">
        <v>578</v>
      </c>
      <c r="N35" s="85">
        <v>7580.3429999999998</v>
      </c>
      <c r="O35" s="85">
        <v>5907</v>
      </c>
      <c r="P35" s="85">
        <v>817.39400000000001</v>
      </c>
      <c r="Q35" s="85">
        <v>-1335.434</v>
      </c>
      <c r="R35" s="85">
        <f t="shared" si="4"/>
        <v>27420.577999999998</v>
      </c>
    </row>
    <row r="36" spans="2:20" ht="15" customHeight="1" x14ac:dyDescent="0.2">
      <c r="D36" s="6" t="s">
        <v>80</v>
      </c>
      <c r="F36" s="85">
        <v>66735</v>
      </c>
      <c r="G36" s="85">
        <v>62216</v>
      </c>
      <c r="H36" s="85">
        <v>79407</v>
      </c>
      <c r="I36" s="85">
        <v>76124</v>
      </c>
      <c r="J36" s="85">
        <v>97405</v>
      </c>
      <c r="K36" s="85">
        <v>71468</v>
      </c>
      <c r="L36" s="85">
        <v>79415</v>
      </c>
      <c r="M36" s="85">
        <v>80632</v>
      </c>
      <c r="N36" s="85">
        <v>77643</v>
      </c>
      <c r="O36" s="85">
        <v>87850</v>
      </c>
      <c r="P36" s="85">
        <v>117139</v>
      </c>
      <c r="Q36" s="85">
        <v>141128</v>
      </c>
      <c r="R36" s="85">
        <f t="shared" si="4"/>
        <v>1037162</v>
      </c>
      <c r="T36" s="85"/>
    </row>
    <row r="37" spans="2:20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</row>
    <row r="38" spans="2:20" ht="15" customHeight="1" x14ac:dyDescent="0.25">
      <c r="B38" s="82" t="s">
        <v>38</v>
      </c>
      <c r="C38" s="82"/>
      <c r="D38" s="82"/>
      <c r="E38" s="82"/>
      <c r="F38" s="88">
        <f t="shared" ref="F38:Q38" si="5">+F8-F28</f>
        <v>-15943.179000000004</v>
      </c>
      <c r="G38" s="88">
        <f t="shared" si="5"/>
        <v>10655.426000000007</v>
      </c>
      <c r="H38" s="88">
        <f t="shared" si="5"/>
        <v>-28621.785000000003</v>
      </c>
      <c r="I38" s="88">
        <f t="shared" si="5"/>
        <v>31024.168000000005</v>
      </c>
      <c r="J38" s="88">
        <f t="shared" si="5"/>
        <v>-19859.263000000006</v>
      </c>
      <c r="K38" s="88">
        <f t="shared" si="5"/>
        <v>-11638.462</v>
      </c>
      <c r="L38" s="88">
        <f t="shared" si="5"/>
        <v>-39248.868000000017</v>
      </c>
      <c r="M38" s="88">
        <f t="shared" si="5"/>
        <v>2522.5739999999932</v>
      </c>
      <c r="N38" s="88">
        <f t="shared" si="5"/>
        <v>-32833.679999999993</v>
      </c>
      <c r="O38" s="88">
        <f t="shared" si="5"/>
        <v>-11663.825000000012</v>
      </c>
      <c r="P38" s="88">
        <f t="shared" si="5"/>
        <v>-11474.739000000001</v>
      </c>
      <c r="Q38" s="88">
        <f t="shared" si="5"/>
        <v>-115744.97899999999</v>
      </c>
      <c r="R38" s="88">
        <f>SUM(F38:Q38)</f>
        <v>-242826.61200000002</v>
      </c>
    </row>
    <row r="39" spans="2:20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20" ht="15" customHeight="1" x14ac:dyDescent="0.25">
      <c r="B40" s="82" t="s">
        <v>39</v>
      </c>
      <c r="C40" s="82"/>
      <c r="D40" s="82"/>
      <c r="E40" s="82"/>
      <c r="F40" s="83">
        <v>-2415</v>
      </c>
      <c r="G40" s="83">
        <v>13612</v>
      </c>
      <c r="H40" s="83">
        <v>151273</v>
      </c>
      <c r="I40" s="83">
        <v>-68</v>
      </c>
      <c r="J40" s="83">
        <v>9243</v>
      </c>
      <c r="K40" s="83">
        <v>3037</v>
      </c>
      <c r="L40" s="83">
        <v>38043</v>
      </c>
      <c r="M40" s="83">
        <v>6713</v>
      </c>
      <c r="N40" s="83">
        <v>46463</v>
      </c>
      <c r="O40" s="83">
        <v>178554</v>
      </c>
      <c r="P40" s="83">
        <v>32580</v>
      </c>
      <c r="Q40" s="83">
        <v>61137</v>
      </c>
      <c r="R40" s="83">
        <v>538172</v>
      </c>
    </row>
    <row r="41" spans="2:20" ht="15" customHeight="1" x14ac:dyDescent="0.2">
      <c r="C41" s="76" t="s">
        <v>40</v>
      </c>
      <c r="F41" s="84">
        <v>65206</v>
      </c>
      <c r="G41" s="84">
        <v>7074</v>
      </c>
      <c r="H41" s="84">
        <v>-5462</v>
      </c>
      <c r="I41" s="84">
        <v>-1932</v>
      </c>
      <c r="J41" s="84">
        <v>5358</v>
      </c>
      <c r="K41" s="84">
        <v>-9098</v>
      </c>
      <c r="L41" s="84">
        <v>387</v>
      </c>
      <c r="M41" s="84">
        <v>-5504</v>
      </c>
      <c r="N41" s="84">
        <v>-5235</v>
      </c>
      <c r="O41" s="84">
        <v>-733</v>
      </c>
      <c r="P41" s="84">
        <v>11251</v>
      </c>
      <c r="Q41" s="84">
        <v>8734</v>
      </c>
      <c r="R41" s="84">
        <v>70046</v>
      </c>
    </row>
    <row r="42" spans="2:20" ht="15" customHeight="1" x14ac:dyDescent="0.2">
      <c r="D42" s="76" t="s">
        <v>41</v>
      </c>
      <c r="F42" s="85">
        <v>66733</v>
      </c>
      <c r="G42" s="85">
        <v>14705</v>
      </c>
      <c r="H42" s="85">
        <v>1629</v>
      </c>
      <c r="I42" s="85">
        <v>647</v>
      </c>
      <c r="J42" s="85">
        <v>11529</v>
      </c>
      <c r="K42" s="85">
        <v>-3295</v>
      </c>
      <c r="L42" s="85">
        <v>1816</v>
      </c>
      <c r="M42" s="85">
        <v>2062</v>
      </c>
      <c r="N42" s="85">
        <v>1607</v>
      </c>
      <c r="O42" s="85">
        <v>1991</v>
      </c>
      <c r="P42" s="85">
        <v>16916</v>
      </c>
      <c r="Q42" s="85">
        <v>40280</v>
      </c>
      <c r="R42" s="85">
        <v>156620</v>
      </c>
    </row>
    <row r="43" spans="2:20" ht="15" customHeight="1" x14ac:dyDescent="0.2">
      <c r="D43" s="76" t="s">
        <v>98</v>
      </c>
      <c r="F43" s="85">
        <v>1527</v>
      </c>
      <c r="G43" s="85">
        <v>7631</v>
      </c>
      <c r="H43" s="85">
        <v>7091</v>
      </c>
      <c r="I43" s="85">
        <v>2579</v>
      </c>
      <c r="J43" s="85">
        <v>6171</v>
      </c>
      <c r="K43" s="85">
        <v>5803</v>
      </c>
      <c r="L43" s="85">
        <v>1429</v>
      </c>
      <c r="M43" s="85">
        <v>7566</v>
      </c>
      <c r="N43" s="85">
        <v>6842</v>
      </c>
      <c r="O43" s="85">
        <v>2724</v>
      </c>
      <c r="P43" s="85">
        <v>5665</v>
      </c>
      <c r="Q43" s="85">
        <v>31546</v>
      </c>
      <c r="R43" s="85">
        <v>86574</v>
      </c>
    </row>
    <row r="44" spans="2:20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20" ht="15" customHeight="1" x14ac:dyDescent="0.2">
      <c r="C45" s="76" t="s">
        <v>43</v>
      </c>
      <c r="F45" s="84">
        <v>-67621</v>
      </c>
      <c r="G45" s="84">
        <v>6538</v>
      </c>
      <c r="H45" s="84">
        <v>156735</v>
      </c>
      <c r="I45" s="84">
        <v>1864</v>
      </c>
      <c r="J45" s="84">
        <v>3885</v>
      </c>
      <c r="K45" s="84">
        <v>12135</v>
      </c>
      <c r="L45" s="84">
        <v>37656</v>
      </c>
      <c r="M45" s="84">
        <v>12217</v>
      </c>
      <c r="N45" s="84">
        <v>51698</v>
      </c>
      <c r="O45" s="84">
        <v>179287</v>
      </c>
      <c r="P45" s="84">
        <v>21329</v>
      </c>
      <c r="Q45" s="84">
        <v>52403</v>
      </c>
      <c r="R45" s="84">
        <v>468126</v>
      </c>
    </row>
    <row r="46" spans="2:20" ht="15" customHeight="1" x14ac:dyDescent="0.2">
      <c r="D46" s="76" t="s">
        <v>44</v>
      </c>
      <c r="F46" s="85">
        <v>15278</v>
      </c>
      <c r="G46" s="85">
        <v>38775</v>
      </c>
      <c r="H46" s="85">
        <v>188102</v>
      </c>
      <c r="I46" s="85">
        <v>21720</v>
      </c>
      <c r="J46" s="85">
        <v>18730</v>
      </c>
      <c r="K46" s="85">
        <v>12909</v>
      </c>
      <c r="L46" s="85">
        <v>67538</v>
      </c>
      <c r="M46" s="85">
        <v>51129</v>
      </c>
      <c r="N46" s="85">
        <v>89429</v>
      </c>
      <c r="O46" s="85">
        <v>196781</v>
      </c>
      <c r="P46" s="85">
        <v>35972</v>
      </c>
      <c r="Q46" s="85">
        <v>62164</v>
      </c>
      <c r="R46" s="85">
        <v>798527</v>
      </c>
    </row>
    <row r="47" spans="2:20" ht="15" customHeight="1" x14ac:dyDescent="0.2">
      <c r="D47" s="76" t="s">
        <v>98</v>
      </c>
      <c r="F47" s="85">
        <v>82899</v>
      </c>
      <c r="G47" s="85">
        <v>32237</v>
      </c>
      <c r="H47" s="85">
        <v>31367</v>
      </c>
      <c r="I47" s="85">
        <v>19856</v>
      </c>
      <c r="J47" s="85">
        <v>14845</v>
      </c>
      <c r="K47" s="85">
        <v>774</v>
      </c>
      <c r="L47" s="85">
        <v>29882</v>
      </c>
      <c r="M47" s="85">
        <v>38912</v>
      </c>
      <c r="N47" s="85">
        <v>37731</v>
      </c>
      <c r="O47" s="85">
        <v>17494</v>
      </c>
      <c r="P47" s="85">
        <v>14643</v>
      </c>
      <c r="Q47" s="85">
        <v>9761</v>
      </c>
      <c r="R47" s="85">
        <v>330401</v>
      </c>
    </row>
    <row r="48" spans="2:20" ht="15" customHeight="1" x14ac:dyDescent="0.2"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8" ht="15" customHeight="1" x14ac:dyDescent="0.25">
      <c r="B49" s="82" t="s">
        <v>47</v>
      </c>
      <c r="C49" s="82"/>
      <c r="D49" s="82"/>
      <c r="E49" s="82"/>
      <c r="F49" s="83">
        <v>22237</v>
      </c>
      <c r="G49" s="83">
        <v>-21188</v>
      </c>
      <c r="H49" s="83">
        <v>163636</v>
      </c>
      <c r="I49" s="83">
        <v>23134</v>
      </c>
      <c r="J49" s="83">
        <v>-37881</v>
      </c>
      <c r="K49" s="83">
        <v>-9146</v>
      </c>
      <c r="L49" s="83">
        <v>-998</v>
      </c>
      <c r="M49" s="83">
        <v>-39538</v>
      </c>
      <c r="N49" s="83">
        <v>-4943</v>
      </c>
      <c r="O49" s="83">
        <v>235336</v>
      </c>
      <c r="P49" s="83">
        <v>10422</v>
      </c>
      <c r="Q49" s="83">
        <v>-49286</v>
      </c>
      <c r="R49" s="83">
        <v>291785</v>
      </c>
    </row>
    <row r="50" spans="1:18" x14ac:dyDescent="0.2">
      <c r="F50" s="85"/>
      <c r="G50" s="85"/>
      <c r="H50" s="85"/>
      <c r="I50" s="85"/>
    </row>
    <row r="51" spans="1:18" x14ac:dyDescent="0.2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</row>
    <row r="52" spans="1:18" x14ac:dyDescent="0.2">
      <c r="B52" s="79" t="s">
        <v>48</v>
      </c>
    </row>
    <row r="53" spans="1:18" x14ac:dyDescent="0.2">
      <c r="B53" s="79"/>
      <c r="C53" s="86" t="s">
        <v>99</v>
      </c>
    </row>
    <row r="54" spans="1:18" x14ac:dyDescent="0.2">
      <c r="B54" s="86"/>
      <c r="C54" s="86" t="s">
        <v>100</v>
      </c>
    </row>
    <row r="57" spans="1:18" x14ac:dyDescent="0.2">
      <c r="B57" s="86" t="s">
        <v>52</v>
      </c>
    </row>
    <row r="58" spans="1:18" x14ac:dyDescent="0.2">
      <c r="B58" s="86" t="s">
        <v>107</v>
      </c>
    </row>
  </sheetData>
  <mergeCells count="2">
    <mergeCell ref="A4:E4"/>
    <mergeCell ref="A6:E6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MJ58"/>
  <sheetViews>
    <sheetView zoomScaleNormal="100" workbookViewId="0">
      <selection activeCell="T47" sqref="T47"/>
    </sheetView>
  </sheetViews>
  <sheetFormatPr defaultColWidth="9.140625" defaultRowHeight="14.25" x14ac:dyDescent="0.2"/>
  <cols>
    <col min="1" max="1" width="2.5703125" style="76" customWidth="1"/>
    <col min="2" max="2" width="2" style="76" customWidth="1"/>
    <col min="3" max="3" width="1.85546875" style="76" customWidth="1"/>
    <col min="4" max="4" width="2.140625" style="76" customWidth="1"/>
    <col min="5" max="5" width="33.42578125" style="76" customWidth="1"/>
    <col min="6" max="16" width="9.42578125" style="76" customWidth="1"/>
    <col min="17" max="17" width="10" style="76" customWidth="1"/>
    <col min="18" max="18" width="11" style="76" customWidth="1"/>
    <col min="19" max="19" width="0.7109375" style="76" customWidth="1"/>
    <col min="20" max="1024" width="9.140625" style="76"/>
  </cols>
  <sheetData>
    <row r="1" spans="1:19" ht="15" x14ac:dyDescent="0.25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15" x14ac:dyDescent="0.25">
      <c r="A2" s="77" t="s">
        <v>112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19" x14ac:dyDescent="0.2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</row>
    <row r="4" spans="1:19" x14ac:dyDescent="0.2">
      <c r="A4" s="187" t="s">
        <v>55</v>
      </c>
      <c r="B4" s="187"/>
      <c r="C4" s="187"/>
      <c r="D4" s="187"/>
      <c r="E4" s="187"/>
      <c r="F4" s="85"/>
    </row>
    <row r="5" spans="1:19" ht="6" customHeight="1" x14ac:dyDescent="0.2"/>
    <row r="6" spans="1:19" ht="20.25" customHeight="1" x14ac:dyDescent="0.2">
      <c r="A6" s="188" t="s">
        <v>3</v>
      </c>
      <c r="B6" s="188"/>
      <c r="C6" s="188"/>
      <c r="D6" s="188"/>
      <c r="E6" s="188"/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65</v>
      </c>
      <c r="O6" s="2" t="s">
        <v>13</v>
      </c>
      <c r="P6" s="2" t="s">
        <v>56</v>
      </c>
      <c r="Q6" s="2" t="s">
        <v>57</v>
      </c>
      <c r="R6" s="2" t="s">
        <v>14</v>
      </c>
      <c r="S6" s="101"/>
    </row>
    <row r="7" spans="1:19" ht="15" customHeight="1" x14ac:dyDescent="0.2">
      <c r="O7" s="85"/>
      <c r="R7" s="85"/>
    </row>
    <row r="8" spans="1:19" ht="15" customHeight="1" x14ac:dyDescent="0.25">
      <c r="B8" s="82" t="s">
        <v>15</v>
      </c>
      <c r="C8" s="82"/>
      <c r="D8" s="82"/>
      <c r="E8" s="82"/>
      <c r="F8" s="83">
        <f t="shared" ref="F8:R8" si="0">F9+F19+F26</f>
        <v>126354</v>
      </c>
      <c r="G8" s="83">
        <f t="shared" si="0"/>
        <v>119189</v>
      </c>
      <c r="H8" s="83">
        <f t="shared" si="0"/>
        <v>115431</v>
      </c>
      <c r="I8" s="83">
        <f t="shared" si="0"/>
        <v>153268</v>
      </c>
      <c r="J8" s="83">
        <f t="shared" si="0"/>
        <v>131403</v>
      </c>
      <c r="K8" s="83">
        <f t="shared" si="0"/>
        <v>115276</v>
      </c>
      <c r="L8" s="83">
        <f t="shared" si="0"/>
        <v>123309</v>
      </c>
      <c r="M8" s="83">
        <f t="shared" si="0"/>
        <v>129408</v>
      </c>
      <c r="N8" s="83">
        <f t="shared" si="0"/>
        <v>105309</v>
      </c>
      <c r="O8" s="83">
        <f t="shared" si="0"/>
        <v>134320</v>
      </c>
      <c r="P8" s="83">
        <f t="shared" si="0"/>
        <v>155308</v>
      </c>
      <c r="Q8" s="83">
        <f t="shared" si="0"/>
        <v>126357</v>
      </c>
      <c r="R8" s="83">
        <f t="shared" si="0"/>
        <v>1534932</v>
      </c>
    </row>
    <row r="9" spans="1:19" ht="15" customHeight="1" x14ac:dyDescent="0.2">
      <c r="C9" s="76" t="s">
        <v>16</v>
      </c>
      <c r="F9" s="84">
        <f t="shared" ref="F9:R9" si="1">F10+F14+F17</f>
        <v>108032</v>
      </c>
      <c r="G9" s="84">
        <f t="shared" si="1"/>
        <v>92404</v>
      </c>
      <c r="H9" s="84">
        <f t="shared" si="1"/>
        <v>101823</v>
      </c>
      <c r="I9" s="84">
        <f t="shared" si="1"/>
        <v>142560</v>
      </c>
      <c r="J9" s="84">
        <f t="shared" si="1"/>
        <v>121374</v>
      </c>
      <c r="K9" s="84">
        <f t="shared" si="1"/>
        <v>105723</v>
      </c>
      <c r="L9" s="84">
        <f t="shared" si="1"/>
        <v>108999</v>
      </c>
      <c r="M9" s="84">
        <f t="shared" si="1"/>
        <v>120446</v>
      </c>
      <c r="N9" s="84">
        <f t="shared" si="1"/>
        <v>95417</v>
      </c>
      <c r="O9" s="84">
        <f t="shared" si="1"/>
        <v>114762</v>
      </c>
      <c r="P9" s="84">
        <f t="shared" si="1"/>
        <v>135242</v>
      </c>
      <c r="Q9" s="84">
        <f t="shared" si="1"/>
        <v>114299</v>
      </c>
      <c r="R9" s="84">
        <f t="shared" si="1"/>
        <v>1361081</v>
      </c>
    </row>
    <row r="10" spans="1:19" ht="15" customHeight="1" x14ac:dyDescent="0.2">
      <c r="D10" s="76" t="s">
        <v>17</v>
      </c>
      <c r="F10" s="85">
        <v>85147</v>
      </c>
      <c r="G10" s="85">
        <v>68694</v>
      </c>
      <c r="H10" s="85">
        <v>75203</v>
      </c>
      <c r="I10" s="85">
        <v>116221</v>
      </c>
      <c r="J10" s="85">
        <v>94551</v>
      </c>
      <c r="K10" s="85">
        <v>81343</v>
      </c>
      <c r="L10" s="85">
        <v>83517</v>
      </c>
      <c r="M10" s="85">
        <v>96756</v>
      </c>
      <c r="N10" s="85">
        <v>71036</v>
      </c>
      <c r="O10" s="85">
        <v>86105</v>
      </c>
      <c r="P10" s="85">
        <v>110767</v>
      </c>
      <c r="Q10" s="85">
        <v>88576</v>
      </c>
      <c r="R10" s="85">
        <f>SUM(F10:Q10)</f>
        <v>1057916</v>
      </c>
    </row>
    <row r="11" spans="1:19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" customHeight="1" x14ac:dyDescent="0.2">
      <c r="E12" s="76" t="s">
        <v>19</v>
      </c>
      <c r="F12" s="85">
        <v>0</v>
      </c>
      <c r="G12" s="85">
        <v>243</v>
      </c>
      <c r="H12" s="85">
        <v>734</v>
      </c>
      <c r="I12" s="85">
        <v>1084</v>
      </c>
      <c r="J12" s="85">
        <v>207</v>
      </c>
      <c r="K12" s="85">
        <v>170</v>
      </c>
      <c r="L12" s="85">
        <v>216</v>
      </c>
      <c r="M12" s="85">
        <v>0</v>
      </c>
      <c r="N12" s="85">
        <v>901</v>
      </c>
      <c r="O12" s="85">
        <v>578</v>
      </c>
      <c r="P12" s="85">
        <v>1030</v>
      </c>
      <c r="Q12" s="85">
        <v>634</v>
      </c>
      <c r="R12" s="85">
        <f>SUM(F12:Q12)</f>
        <v>5797</v>
      </c>
    </row>
    <row r="13" spans="1:19" ht="15" customHeight="1" x14ac:dyDescent="0.2">
      <c r="E13" s="76" t="s">
        <v>20</v>
      </c>
      <c r="F13" s="85">
        <v>32</v>
      </c>
      <c r="G13" s="85">
        <v>0</v>
      </c>
      <c r="H13" s="85">
        <v>6656</v>
      </c>
      <c r="I13" s="85">
        <v>2026</v>
      </c>
      <c r="J13" s="85">
        <v>338</v>
      </c>
      <c r="K13" s="85">
        <v>5080</v>
      </c>
      <c r="L13" s="85">
        <v>2146</v>
      </c>
      <c r="M13" s="85">
        <v>26</v>
      </c>
      <c r="N13" s="85">
        <v>175</v>
      </c>
      <c r="O13" s="85">
        <v>2015</v>
      </c>
      <c r="P13" s="85">
        <v>1584</v>
      </c>
      <c r="Q13" s="85">
        <v>4719</v>
      </c>
      <c r="R13" s="85">
        <f>SUM(F13:Q13)</f>
        <v>24797</v>
      </c>
    </row>
    <row r="14" spans="1:19" ht="15" customHeight="1" x14ac:dyDescent="0.2">
      <c r="D14" s="76" t="s">
        <v>21</v>
      </c>
      <c r="F14" s="85">
        <v>21990</v>
      </c>
      <c r="G14" s="85">
        <v>22433</v>
      </c>
      <c r="H14" s="85">
        <v>25106</v>
      </c>
      <c r="I14" s="85">
        <v>25367</v>
      </c>
      <c r="J14" s="85">
        <v>25230</v>
      </c>
      <c r="K14" s="85">
        <v>23299</v>
      </c>
      <c r="L14" s="85">
        <v>24391</v>
      </c>
      <c r="M14" s="85">
        <v>22632</v>
      </c>
      <c r="N14" s="85">
        <v>23208</v>
      </c>
      <c r="O14" s="85">
        <v>26934</v>
      </c>
      <c r="P14" s="85">
        <v>23749</v>
      </c>
      <c r="Q14" s="85">
        <v>25527</v>
      </c>
      <c r="R14" s="85">
        <f>SUM(F14:Q14)</f>
        <v>289866</v>
      </c>
    </row>
    <row r="15" spans="1:19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" customHeight="1" x14ac:dyDescent="0.2">
      <c r="E16" s="76" t="s">
        <v>20</v>
      </c>
      <c r="F16" s="85">
        <v>0</v>
      </c>
      <c r="G16" s="85">
        <v>167</v>
      </c>
      <c r="H16" s="85">
        <v>405</v>
      </c>
      <c r="I16" s="85">
        <v>5</v>
      </c>
      <c r="J16" s="85">
        <v>76</v>
      </c>
      <c r="K16" s="85">
        <v>35</v>
      </c>
      <c r="L16" s="85">
        <v>487</v>
      </c>
      <c r="M16" s="85">
        <v>551</v>
      </c>
      <c r="N16" s="85">
        <v>0</v>
      </c>
      <c r="O16" s="85">
        <v>137</v>
      </c>
      <c r="P16" s="85">
        <v>38</v>
      </c>
      <c r="Q16" s="85">
        <v>5583</v>
      </c>
      <c r="R16" s="85">
        <f>SUM(F16:Q16)</f>
        <v>7484</v>
      </c>
    </row>
    <row r="17" spans="2:21" ht="15" customHeight="1" x14ac:dyDescent="0.2">
      <c r="D17" s="76" t="s">
        <v>106</v>
      </c>
      <c r="F17" s="85">
        <v>895</v>
      </c>
      <c r="G17" s="85">
        <v>1277</v>
      </c>
      <c r="H17" s="85">
        <v>1514</v>
      </c>
      <c r="I17" s="85">
        <v>972</v>
      </c>
      <c r="J17" s="85">
        <v>1593</v>
      </c>
      <c r="K17" s="85">
        <v>1081</v>
      </c>
      <c r="L17" s="85">
        <v>1091</v>
      </c>
      <c r="M17" s="85">
        <v>1058</v>
      </c>
      <c r="N17" s="85">
        <v>1173</v>
      </c>
      <c r="O17" s="85">
        <v>1723</v>
      </c>
      <c r="P17" s="85">
        <v>726</v>
      </c>
      <c r="Q17" s="85">
        <v>196</v>
      </c>
      <c r="R17" s="85">
        <f>SUM(F17:Q17)</f>
        <v>13299</v>
      </c>
    </row>
    <row r="18" spans="2:21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5" customHeight="1" x14ac:dyDescent="0.2">
      <c r="C19" s="76" t="s">
        <v>23</v>
      </c>
      <c r="F19" s="84">
        <f t="shared" ref="F19:R19" si="2">SUM(F20:F24)</f>
        <v>18295</v>
      </c>
      <c r="G19" s="84">
        <f t="shared" si="2"/>
        <v>26774</v>
      </c>
      <c r="H19" s="84">
        <f t="shared" si="2"/>
        <v>13608</v>
      </c>
      <c r="I19" s="84">
        <f t="shared" si="2"/>
        <v>10707</v>
      </c>
      <c r="J19" s="84">
        <f t="shared" si="2"/>
        <v>10011</v>
      </c>
      <c r="K19" s="84">
        <f t="shared" si="2"/>
        <v>9544</v>
      </c>
      <c r="L19" s="84">
        <f t="shared" si="2"/>
        <v>14309</v>
      </c>
      <c r="M19" s="84">
        <f t="shared" si="2"/>
        <v>8951</v>
      </c>
      <c r="N19" s="84">
        <f t="shared" si="2"/>
        <v>9892</v>
      </c>
      <c r="O19" s="84">
        <f t="shared" si="2"/>
        <v>19558</v>
      </c>
      <c r="P19" s="84">
        <f t="shared" si="2"/>
        <v>20053</v>
      </c>
      <c r="Q19" s="84">
        <f t="shared" si="2"/>
        <v>12050</v>
      </c>
      <c r="R19" s="84">
        <f t="shared" si="2"/>
        <v>173751.99999999997</v>
      </c>
      <c r="T19" s="85"/>
    </row>
    <row r="20" spans="2:21" ht="15" customHeight="1" x14ac:dyDescent="0.2">
      <c r="D20" s="76" t="s">
        <v>24</v>
      </c>
      <c r="F20" s="85">
        <v>11052</v>
      </c>
      <c r="G20" s="85">
        <v>20135</v>
      </c>
      <c r="H20" s="85">
        <v>6573</v>
      </c>
      <c r="I20" s="85">
        <v>4087</v>
      </c>
      <c r="J20" s="85">
        <v>5039</v>
      </c>
      <c r="K20" s="85">
        <v>3337</v>
      </c>
      <c r="L20" s="85">
        <v>7681</v>
      </c>
      <c r="M20" s="85">
        <v>2970</v>
      </c>
      <c r="N20" s="85">
        <v>4181</v>
      </c>
      <c r="O20" s="85">
        <v>6298</v>
      </c>
      <c r="P20" s="85">
        <v>8607</v>
      </c>
      <c r="Q20" s="85">
        <v>4120</v>
      </c>
      <c r="R20" s="85">
        <f>SUM(F20:Q20)</f>
        <v>84080</v>
      </c>
    </row>
    <row r="21" spans="2:21" ht="15" customHeight="1" x14ac:dyDescent="0.2">
      <c r="D21" s="76" t="s">
        <v>26</v>
      </c>
      <c r="F21" s="85">
        <v>0</v>
      </c>
      <c r="G21" s="85">
        <v>0</v>
      </c>
      <c r="H21" s="85">
        <v>6</v>
      </c>
      <c r="I21" s="85">
        <v>0</v>
      </c>
      <c r="J21" s="85">
        <v>0</v>
      </c>
      <c r="K21" s="85">
        <v>0</v>
      </c>
      <c r="L21" s="85">
        <v>35</v>
      </c>
      <c r="M21" s="85">
        <v>0</v>
      </c>
      <c r="N21" s="85">
        <v>448</v>
      </c>
      <c r="O21" s="85">
        <v>0</v>
      </c>
      <c r="P21" s="85">
        <v>7793</v>
      </c>
      <c r="Q21" s="85">
        <v>66</v>
      </c>
      <c r="R21" s="85">
        <f>SUM(F21:Q21)</f>
        <v>8348</v>
      </c>
      <c r="T21" s="85"/>
    </row>
    <row r="22" spans="2:21" ht="15" customHeight="1" x14ac:dyDescent="0.2">
      <c r="D22" s="76" t="s">
        <v>27</v>
      </c>
      <c r="E22" s="86"/>
      <c r="F22" s="85">
        <v>1687.6310000000001</v>
      </c>
      <c r="G22" s="85">
        <v>2352.3049999999998</v>
      </c>
      <c r="H22" s="85">
        <v>2546.6590000000001</v>
      </c>
      <c r="I22" s="85">
        <v>2737.665</v>
      </c>
      <c r="J22" s="85">
        <v>2667.277</v>
      </c>
      <c r="K22" s="85">
        <v>3311.3870000000002</v>
      </c>
      <c r="L22" s="85">
        <v>2611.4229999999998</v>
      </c>
      <c r="M22" s="85">
        <v>1942.4110000000001</v>
      </c>
      <c r="N22" s="85">
        <v>1697.4659999999999</v>
      </c>
      <c r="O22" s="85">
        <v>2837.1909999999998</v>
      </c>
      <c r="P22" s="85">
        <v>2447.038</v>
      </c>
      <c r="Q22" s="85">
        <v>2232.1790000000001</v>
      </c>
      <c r="R22" s="85">
        <f>SUM(F22:Q22)</f>
        <v>29070.631999999998</v>
      </c>
      <c r="T22" s="85"/>
    </row>
    <row r="23" spans="2:21" ht="15" customHeight="1" x14ac:dyDescent="0.2">
      <c r="D23" s="76" t="s">
        <v>113</v>
      </c>
      <c r="F23" s="85">
        <v>1962</v>
      </c>
      <c r="G23" s="85">
        <v>2735</v>
      </c>
      <c r="H23" s="85">
        <v>1995</v>
      </c>
      <c r="I23" s="85">
        <v>1715</v>
      </c>
      <c r="J23" s="85">
        <v>2214</v>
      </c>
      <c r="K23" s="85">
        <v>2185</v>
      </c>
      <c r="L23" s="85">
        <v>2539</v>
      </c>
      <c r="M23" s="85">
        <v>2100</v>
      </c>
      <c r="N23" s="85">
        <v>2234</v>
      </c>
      <c r="O23" s="85">
        <v>4463</v>
      </c>
      <c r="P23" s="85">
        <v>1875</v>
      </c>
      <c r="Q23" s="85">
        <v>1776</v>
      </c>
      <c r="R23" s="85">
        <f>SUM(F23:Q23)</f>
        <v>27793</v>
      </c>
    </row>
    <row r="24" spans="2:21" ht="15" customHeight="1" x14ac:dyDescent="0.2">
      <c r="D24" s="76" t="s">
        <v>106</v>
      </c>
      <c r="F24" s="85">
        <f>7243-F22-F23</f>
        <v>3593.3689999999997</v>
      </c>
      <c r="G24" s="85">
        <f>6639-G22-G23</f>
        <v>1551.6949999999997</v>
      </c>
      <c r="H24" s="85">
        <f>7029-H22-H23</f>
        <v>2487.3410000000003</v>
      </c>
      <c r="I24" s="85">
        <f>6620-I22-I23</f>
        <v>2167.335</v>
      </c>
      <c r="J24" s="85">
        <f>4972-J22-J23</f>
        <v>90.722999999999956</v>
      </c>
      <c r="K24" s="85">
        <f>6207-K22-K23</f>
        <v>710.61299999999983</v>
      </c>
      <c r="L24" s="85">
        <f>6593-L22-L23</f>
        <v>1442.5770000000002</v>
      </c>
      <c r="M24" s="85">
        <f>5981-M22-M23</f>
        <v>1938.5889999999999</v>
      </c>
      <c r="N24" s="85">
        <f>5263-N22-N23</f>
        <v>1331.5340000000001</v>
      </c>
      <c r="O24" s="85">
        <f>13260-O22-O23</f>
        <v>5959.8090000000011</v>
      </c>
      <c r="P24" s="85">
        <f>3653-P22-P23</f>
        <v>-669.03800000000001</v>
      </c>
      <c r="Q24" s="85">
        <f>7864-Q22-Q23</f>
        <v>3855.8209999999999</v>
      </c>
      <c r="R24" s="85">
        <f>SUM(F24:Q24)</f>
        <v>24460.367999999999</v>
      </c>
    </row>
    <row r="25" spans="2:21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 t="s">
        <v>58</v>
      </c>
    </row>
    <row r="26" spans="2:21" ht="15" customHeight="1" x14ac:dyDescent="0.2">
      <c r="C26" s="76" t="s">
        <v>29</v>
      </c>
      <c r="F26" s="85">
        <v>27</v>
      </c>
      <c r="G26" s="85">
        <v>11</v>
      </c>
      <c r="H26" s="85">
        <v>0</v>
      </c>
      <c r="I26" s="85">
        <v>1</v>
      </c>
      <c r="J26" s="85">
        <v>18</v>
      </c>
      <c r="K26" s="85">
        <v>9</v>
      </c>
      <c r="L26" s="85">
        <v>1</v>
      </c>
      <c r="M26" s="85">
        <v>11</v>
      </c>
      <c r="N26" s="85">
        <v>0</v>
      </c>
      <c r="O26" s="85">
        <v>0</v>
      </c>
      <c r="P26" s="85">
        <v>13</v>
      </c>
      <c r="Q26" s="85">
        <v>8</v>
      </c>
      <c r="R26" s="85">
        <f>SUM(F26:Q26)</f>
        <v>99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5">
      <c r="B28" s="82" t="s">
        <v>30</v>
      </c>
      <c r="C28" s="82"/>
      <c r="D28" s="82"/>
      <c r="E28" s="82"/>
      <c r="F28" s="83">
        <f t="shared" ref="F28:Q28" si="3">SUM(F30:F36)</f>
        <v>142297.179</v>
      </c>
      <c r="G28" s="83">
        <f t="shared" si="3"/>
        <v>108533.57399999999</v>
      </c>
      <c r="H28" s="83">
        <f t="shared" si="3"/>
        <v>144052.785</v>
      </c>
      <c r="I28" s="83">
        <f t="shared" si="3"/>
        <v>122243.83199999999</v>
      </c>
      <c r="J28" s="83">
        <f t="shared" si="3"/>
        <v>151262.26300000001</v>
      </c>
      <c r="K28" s="83">
        <f t="shared" si="3"/>
        <v>126914.462</v>
      </c>
      <c r="L28" s="83">
        <f t="shared" si="3"/>
        <v>162557.86800000002</v>
      </c>
      <c r="M28" s="83">
        <f t="shared" si="3"/>
        <v>126885.42600000001</v>
      </c>
      <c r="N28" s="83">
        <f t="shared" si="3"/>
        <v>138142.68</v>
      </c>
      <c r="O28" s="83">
        <f t="shared" si="3"/>
        <v>145983.82500000001</v>
      </c>
      <c r="P28" s="83">
        <f t="shared" si="3"/>
        <v>166782.739</v>
      </c>
      <c r="Q28" s="83">
        <f t="shared" si="3"/>
        <v>242101.97899999999</v>
      </c>
      <c r="R28" s="83">
        <f>SUM(F28:Q28)</f>
        <v>1777758.612</v>
      </c>
      <c r="T28" s="85"/>
    </row>
    <row r="29" spans="2:21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5" customHeight="1" x14ac:dyDescent="0.2">
      <c r="D30" s="76" t="s">
        <v>31</v>
      </c>
      <c r="F30" s="85">
        <v>23565</v>
      </c>
      <c r="G30" s="85">
        <v>24002</v>
      </c>
      <c r="H30" s="85">
        <v>23439</v>
      </c>
      <c r="I30" s="85">
        <v>23254</v>
      </c>
      <c r="J30" s="85">
        <v>28550</v>
      </c>
      <c r="K30" s="85">
        <v>26578</v>
      </c>
      <c r="L30" s="85">
        <v>25522</v>
      </c>
      <c r="M30" s="85">
        <v>23915</v>
      </c>
      <c r="N30" s="85">
        <v>24613</v>
      </c>
      <c r="O30" s="85">
        <v>25899</v>
      </c>
      <c r="P30" s="85">
        <v>24209</v>
      </c>
      <c r="Q30" s="85">
        <v>24776</v>
      </c>
      <c r="R30" s="85">
        <f t="shared" ref="R30:R36" si="4">SUM(F30:Q30)</f>
        <v>298322</v>
      </c>
    </row>
    <row r="31" spans="2:21" ht="15" customHeight="1" x14ac:dyDescent="0.2">
      <c r="D31" s="76" t="s">
        <v>32</v>
      </c>
      <c r="F31" s="85">
        <v>50280</v>
      </c>
      <c r="G31" s="85">
        <v>20571</v>
      </c>
      <c r="H31" s="85">
        <v>27638</v>
      </c>
      <c r="I31" s="85">
        <v>16138</v>
      </c>
      <c r="J31" s="85">
        <v>16362</v>
      </c>
      <c r="K31" s="85">
        <v>19021</v>
      </c>
      <c r="L31" s="85">
        <v>51289</v>
      </c>
      <c r="M31" s="85">
        <v>19816</v>
      </c>
      <c r="N31" s="85">
        <v>24134</v>
      </c>
      <c r="O31" s="85">
        <v>21440</v>
      </c>
      <c r="P31" s="85">
        <v>15648</v>
      </c>
      <c r="Q31" s="85">
        <v>30461.988000000001</v>
      </c>
      <c r="R31" s="85">
        <f t="shared" si="4"/>
        <v>312798.98800000001</v>
      </c>
    </row>
    <row r="32" spans="2:21" ht="15" customHeight="1" x14ac:dyDescent="0.2">
      <c r="D32" s="76" t="s">
        <v>33</v>
      </c>
      <c r="F32" s="85">
        <v>32</v>
      </c>
      <c r="G32" s="85">
        <v>410</v>
      </c>
      <c r="H32" s="85">
        <v>7795</v>
      </c>
      <c r="I32" s="85">
        <v>3115</v>
      </c>
      <c r="J32" s="85">
        <v>621</v>
      </c>
      <c r="K32" s="85">
        <v>5285</v>
      </c>
      <c r="L32" s="85">
        <v>2849</v>
      </c>
      <c r="M32" s="85">
        <v>577</v>
      </c>
      <c r="N32" s="85">
        <v>1076</v>
      </c>
      <c r="O32" s="85">
        <v>2730</v>
      </c>
      <c r="P32" s="85">
        <v>2652</v>
      </c>
      <c r="Q32" s="85">
        <v>10936</v>
      </c>
      <c r="R32" s="85">
        <f t="shared" si="4"/>
        <v>38078</v>
      </c>
    </row>
    <row r="33" spans="2:20" ht="15" customHeight="1" x14ac:dyDescent="0.2">
      <c r="D33" s="76" t="s">
        <v>78</v>
      </c>
      <c r="F33" s="85">
        <v>441.17899999999997</v>
      </c>
      <c r="G33" s="85">
        <v>1093.5740000000001</v>
      </c>
      <c r="H33" s="85">
        <v>4096.7849999999999</v>
      </c>
      <c r="I33" s="85">
        <v>2801.8319999999999</v>
      </c>
      <c r="J33" s="85">
        <v>3520.2629999999999</v>
      </c>
      <c r="K33" s="85">
        <v>820.18700000000001</v>
      </c>
      <c r="L33" s="85">
        <v>1228.8679999999999</v>
      </c>
      <c r="M33" s="85">
        <v>1367.4259999999999</v>
      </c>
      <c r="N33" s="85">
        <v>3096.337</v>
      </c>
      <c r="O33" s="85">
        <v>2014.825</v>
      </c>
      <c r="P33" s="85">
        <v>6190.3450000000003</v>
      </c>
      <c r="Q33" s="85">
        <v>15965.424999999999</v>
      </c>
      <c r="R33" s="85">
        <f t="shared" si="4"/>
        <v>42637.046000000002</v>
      </c>
    </row>
    <row r="34" spans="2:20" ht="15" customHeight="1" x14ac:dyDescent="0.2">
      <c r="D34" s="76" t="s">
        <v>35</v>
      </c>
      <c r="F34" s="85">
        <v>0</v>
      </c>
      <c r="G34" s="85">
        <v>0</v>
      </c>
      <c r="H34" s="85">
        <v>0</v>
      </c>
      <c r="I34" s="85">
        <v>0</v>
      </c>
      <c r="J34" s="85">
        <v>900</v>
      </c>
      <c r="K34" s="85">
        <v>0</v>
      </c>
      <c r="L34" s="85">
        <v>0</v>
      </c>
      <c r="M34" s="85">
        <v>0</v>
      </c>
      <c r="N34" s="85">
        <v>0</v>
      </c>
      <c r="O34" s="85">
        <v>143</v>
      </c>
      <c r="P34" s="85">
        <v>127</v>
      </c>
      <c r="Q34" s="85">
        <v>20170</v>
      </c>
      <c r="R34" s="85">
        <f t="shared" si="4"/>
        <v>21340</v>
      </c>
    </row>
    <row r="35" spans="2:20" ht="15" customHeight="1" x14ac:dyDescent="0.2">
      <c r="D35" s="76" t="s">
        <v>79</v>
      </c>
      <c r="F35" s="85">
        <v>1244</v>
      </c>
      <c r="G35" s="85">
        <v>241</v>
      </c>
      <c r="H35" s="85">
        <v>1677</v>
      </c>
      <c r="I35" s="85">
        <v>811</v>
      </c>
      <c r="J35" s="85">
        <v>3904</v>
      </c>
      <c r="K35" s="85">
        <v>3742.2750000000001</v>
      </c>
      <c r="L35" s="85">
        <v>2254</v>
      </c>
      <c r="M35" s="85">
        <v>578</v>
      </c>
      <c r="N35" s="85">
        <v>7580.3429999999998</v>
      </c>
      <c r="O35" s="85">
        <v>5907</v>
      </c>
      <c r="P35" s="85">
        <v>817.39400000000001</v>
      </c>
      <c r="Q35" s="85">
        <v>-1335.434</v>
      </c>
      <c r="R35" s="85">
        <f t="shared" si="4"/>
        <v>27420.577999999998</v>
      </c>
    </row>
    <row r="36" spans="2:20" ht="15" customHeight="1" x14ac:dyDescent="0.2">
      <c r="D36" s="6" t="s">
        <v>80</v>
      </c>
      <c r="F36" s="85">
        <v>66735</v>
      </c>
      <c r="G36" s="85">
        <v>62216</v>
      </c>
      <c r="H36" s="85">
        <v>79407</v>
      </c>
      <c r="I36" s="85">
        <v>76124</v>
      </c>
      <c r="J36" s="85">
        <v>97405</v>
      </c>
      <c r="K36" s="85">
        <v>71468</v>
      </c>
      <c r="L36" s="85">
        <v>79415</v>
      </c>
      <c r="M36" s="85">
        <v>80632</v>
      </c>
      <c r="N36" s="85">
        <v>77643</v>
      </c>
      <c r="O36" s="85">
        <v>87850</v>
      </c>
      <c r="P36" s="85">
        <v>117139</v>
      </c>
      <c r="Q36" s="85">
        <v>141128</v>
      </c>
      <c r="R36" s="85">
        <f t="shared" si="4"/>
        <v>1037162</v>
      </c>
      <c r="T36" s="85"/>
    </row>
    <row r="37" spans="2:20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</row>
    <row r="38" spans="2:20" ht="15" customHeight="1" x14ac:dyDescent="0.25">
      <c r="B38" s="82" t="s">
        <v>38</v>
      </c>
      <c r="C38" s="82"/>
      <c r="D38" s="82"/>
      <c r="E38" s="82"/>
      <c r="F38" s="88">
        <f t="shared" ref="F38:Q38" si="5">+F8-F28</f>
        <v>-15943.179000000004</v>
      </c>
      <c r="G38" s="88">
        <f t="shared" si="5"/>
        <v>10655.426000000007</v>
      </c>
      <c r="H38" s="88">
        <f t="shared" si="5"/>
        <v>-28621.785000000003</v>
      </c>
      <c r="I38" s="88">
        <f t="shared" si="5"/>
        <v>31024.168000000005</v>
      </c>
      <c r="J38" s="88">
        <f t="shared" si="5"/>
        <v>-19859.263000000006</v>
      </c>
      <c r="K38" s="88">
        <f t="shared" si="5"/>
        <v>-11638.462</v>
      </c>
      <c r="L38" s="88">
        <f t="shared" si="5"/>
        <v>-39248.868000000017</v>
      </c>
      <c r="M38" s="88">
        <f t="shared" si="5"/>
        <v>2522.5739999999932</v>
      </c>
      <c r="N38" s="88">
        <f t="shared" si="5"/>
        <v>-32833.679999999993</v>
      </c>
      <c r="O38" s="88">
        <f t="shared" si="5"/>
        <v>-11663.825000000012</v>
      </c>
      <c r="P38" s="88">
        <f t="shared" si="5"/>
        <v>-11474.739000000001</v>
      </c>
      <c r="Q38" s="88">
        <f t="shared" si="5"/>
        <v>-115744.97899999999</v>
      </c>
      <c r="R38" s="88">
        <f>SUM(F38:Q38)</f>
        <v>-242826.61200000002</v>
      </c>
    </row>
    <row r="39" spans="2:20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20" ht="15" customHeight="1" x14ac:dyDescent="0.25">
      <c r="B40" s="82" t="s">
        <v>39</v>
      </c>
      <c r="C40" s="82"/>
      <c r="D40" s="82"/>
      <c r="E40" s="82"/>
      <c r="F40" s="83">
        <v>80484</v>
      </c>
      <c r="G40" s="83">
        <v>45849</v>
      </c>
      <c r="H40" s="83">
        <v>182640</v>
      </c>
      <c r="I40" s="83">
        <v>19326</v>
      </c>
      <c r="J40" s="83">
        <v>24088</v>
      </c>
      <c r="K40" s="83">
        <v>3811</v>
      </c>
      <c r="L40" s="83">
        <v>67712</v>
      </c>
      <c r="M40" s="83">
        <v>45389</v>
      </c>
      <c r="N40" s="83">
        <v>84194</v>
      </c>
      <c r="O40" s="83">
        <v>195752</v>
      </c>
      <c r="P40" s="83">
        <v>47084</v>
      </c>
      <c r="Q40" s="83">
        <v>70531</v>
      </c>
      <c r="R40" s="83">
        <v>866860</v>
      </c>
    </row>
    <row r="41" spans="2:20" ht="15" customHeight="1" x14ac:dyDescent="0.2">
      <c r="C41" s="76" t="s">
        <v>40</v>
      </c>
      <c r="F41" s="84">
        <v>65206</v>
      </c>
      <c r="G41" s="84">
        <v>7074</v>
      </c>
      <c r="H41" s="84">
        <v>-5462</v>
      </c>
      <c r="I41" s="84">
        <v>-1932</v>
      </c>
      <c r="J41" s="84">
        <v>5358</v>
      </c>
      <c r="K41" s="84">
        <v>-9098</v>
      </c>
      <c r="L41" s="84">
        <v>387</v>
      </c>
      <c r="M41" s="84">
        <v>-5504</v>
      </c>
      <c r="N41" s="84">
        <v>-5235</v>
      </c>
      <c r="O41" s="84">
        <v>-733</v>
      </c>
      <c r="P41" s="84">
        <v>11251</v>
      </c>
      <c r="Q41" s="84">
        <v>8734</v>
      </c>
      <c r="R41" s="84">
        <v>70046</v>
      </c>
    </row>
    <row r="42" spans="2:20" ht="15" customHeight="1" x14ac:dyDescent="0.2">
      <c r="D42" s="76" t="s">
        <v>41</v>
      </c>
      <c r="F42" s="85">
        <v>66733</v>
      </c>
      <c r="G42" s="85">
        <v>14705</v>
      </c>
      <c r="H42" s="85">
        <v>1629</v>
      </c>
      <c r="I42" s="85">
        <v>647</v>
      </c>
      <c r="J42" s="85">
        <v>11529</v>
      </c>
      <c r="K42" s="85">
        <v>-3295</v>
      </c>
      <c r="L42" s="85">
        <v>1816</v>
      </c>
      <c r="M42" s="85">
        <v>2062</v>
      </c>
      <c r="N42" s="85">
        <v>1607</v>
      </c>
      <c r="O42" s="85">
        <v>1991</v>
      </c>
      <c r="P42" s="85">
        <v>16916</v>
      </c>
      <c r="Q42" s="85">
        <v>40280</v>
      </c>
      <c r="R42" s="85">
        <v>156620</v>
      </c>
    </row>
    <row r="43" spans="2:20" ht="15" customHeight="1" x14ac:dyDescent="0.2">
      <c r="D43" s="76" t="s">
        <v>98</v>
      </c>
      <c r="F43" s="85">
        <v>1527</v>
      </c>
      <c r="G43" s="85">
        <v>7631</v>
      </c>
      <c r="H43" s="85">
        <v>7091</v>
      </c>
      <c r="I43" s="85">
        <v>2579</v>
      </c>
      <c r="J43" s="85">
        <v>6171</v>
      </c>
      <c r="K43" s="85">
        <v>5803</v>
      </c>
      <c r="L43" s="85">
        <v>1429</v>
      </c>
      <c r="M43" s="85">
        <v>7566</v>
      </c>
      <c r="N43" s="85">
        <v>6842</v>
      </c>
      <c r="O43" s="85">
        <v>2724</v>
      </c>
      <c r="P43" s="85">
        <v>5665</v>
      </c>
      <c r="Q43" s="85">
        <v>31546</v>
      </c>
      <c r="R43" s="85">
        <v>86574</v>
      </c>
    </row>
    <row r="44" spans="2:20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20" ht="15" customHeight="1" x14ac:dyDescent="0.2">
      <c r="C45" s="76" t="s">
        <v>43</v>
      </c>
      <c r="F45" s="84">
        <v>15278</v>
      </c>
      <c r="G45" s="84">
        <v>38775</v>
      </c>
      <c r="H45" s="84">
        <v>188102</v>
      </c>
      <c r="I45" s="84">
        <v>21258</v>
      </c>
      <c r="J45" s="84">
        <v>18730</v>
      </c>
      <c r="K45" s="84">
        <v>12909</v>
      </c>
      <c r="L45" s="84">
        <v>67325</v>
      </c>
      <c r="M45" s="84">
        <v>50893</v>
      </c>
      <c r="N45" s="84">
        <v>89429</v>
      </c>
      <c r="O45" s="84">
        <v>196485</v>
      </c>
      <c r="P45" s="84">
        <v>35833</v>
      </c>
      <c r="Q45" s="84">
        <v>61797</v>
      </c>
      <c r="R45" s="84">
        <v>796814</v>
      </c>
    </row>
    <row r="46" spans="2:20" ht="15" customHeight="1" x14ac:dyDescent="0.2">
      <c r="D46" s="76" t="s">
        <v>44</v>
      </c>
      <c r="F46" s="85">
        <v>15278</v>
      </c>
      <c r="G46" s="85">
        <v>38775</v>
      </c>
      <c r="H46" s="85">
        <v>188102</v>
      </c>
      <c r="I46" s="85">
        <v>21720</v>
      </c>
      <c r="J46" s="85">
        <v>18730</v>
      </c>
      <c r="K46" s="85">
        <v>12909</v>
      </c>
      <c r="L46" s="85">
        <v>67538</v>
      </c>
      <c r="M46" s="85">
        <v>51129</v>
      </c>
      <c r="N46" s="85">
        <v>89429</v>
      </c>
      <c r="O46" s="85">
        <v>196781</v>
      </c>
      <c r="P46" s="85">
        <v>35972</v>
      </c>
      <c r="Q46" s="85">
        <v>62164</v>
      </c>
      <c r="R46" s="85">
        <v>798527</v>
      </c>
    </row>
    <row r="47" spans="2:20" ht="15" customHeight="1" x14ac:dyDescent="0.2">
      <c r="D47" s="76" t="s">
        <v>45</v>
      </c>
      <c r="F47" s="85">
        <v>0</v>
      </c>
      <c r="G47" s="85">
        <v>0</v>
      </c>
      <c r="H47" s="85">
        <v>0</v>
      </c>
      <c r="I47" s="85">
        <v>462</v>
      </c>
      <c r="J47" s="85">
        <v>0</v>
      </c>
      <c r="K47" s="85">
        <v>0</v>
      </c>
      <c r="L47" s="85">
        <v>213</v>
      </c>
      <c r="M47" s="85">
        <v>236</v>
      </c>
      <c r="N47" s="85">
        <v>0</v>
      </c>
      <c r="O47" s="85">
        <v>296</v>
      </c>
      <c r="P47" s="85">
        <v>139</v>
      </c>
      <c r="Q47" s="85">
        <v>367</v>
      </c>
      <c r="R47" s="85">
        <v>1713</v>
      </c>
    </row>
    <row r="48" spans="2:20" ht="15" customHeight="1" x14ac:dyDescent="0.2">
      <c r="E48" s="6" t="s">
        <v>68</v>
      </c>
      <c r="F48" s="85">
        <v>4877</v>
      </c>
      <c r="G48" s="85">
        <v>88362</v>
      </c>
      <c r="H48" s="85">
        <v>0</v>
      </c>
      <c r="I48" s="85">
        <v>18106</v>
      </c>
      <c r="J48" s="85">
        <v>0</v>
      </c>
      <c r="K48" s="85">
        <v>0</v>
      </c>
      <c r="L48" s="85">
        <v>3432</v>
      </c>
      <c r="M48" s="85">
        <v>40283</v>
      </c>
      <c r="N48" s="85">
        <v>39970</v>
      </c>
      <c r="O48" s="85">
        <v>1469</v>
      </c>
      <c r="P48" s="85">
        <v>3003</v>
      </c>
      <c r="Q48" s="85">
        <v>367</v>
      </c>
      <c r="R48" s="85">
        <v>199869</v>
      </c>
    </row>
    <row r="49" spans="1:18" ht="15" customHeight="1" x14ac:dyDescent="0.2">
      <c r="E49" s="22" t="s">
        <v>81</v>
      </c>
      <c r="F49" s="85">
        <v>4877</v>
      </c>
      <c r="G49" s="85">
        <v>88362</v>
      </c>
      <c r="H49" s="85">
        <v>0</v>
      </c>
      <c r="I49" s="85">
        <v>17644</v>
      </c>
      <c r="J49" s="85">
        <v>0</v>
      </c>
      <c r="K49" s="85">
        <v>0</v>
      </c>
      <c r="L49" s="85">
        <v>3219</v>
      </c>
      <c r="M49" s="85">
        <v>40047</v>
      </c>
      <c r="N49" s="85">
        <v>39970</v>
      </c>
      <c r="O49" s="85">
        <v>1173</v>
      </c>
      <c r="P49" s="85">
        <v>2864</v>
      </c>
      <c r="Q49" s="85">
        <v>0</v>
      </c>
      <c r="R49" s="85">
        <v>198156</v>
      </c>
    </row>
    <row r="50" spans="1:18" ht="15" customHeight="1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 ht="15" customHeight="1" x14ac:dyDescent="0.25">
      <c r="B51" s="82" t="s">
        <v>47</v>
      </c>
      <c r="C51" s="82"/>
      <c r="D51" s="82"/>
      <c r="E51" s="82"/>
      <c r="F51" s="83">
        <v>22237</v>
      </c>
      <c r="G51" s="83">
        <v>-21188</v>
      </c>
      <c r="H51" s="83">
        <v>163636</v>
      </c>
      <c r="I51" s="83">
        <v>23134</v>
      </c>
      <c r="J51" s="83">
        <v>-37881</v>
      </c>
      <c r="K51" s="83">
        <v>-9146</v>
      </c>
      <c r="L51" s="83">
        <v>-998</v>
      </c>
      <c r="M51" s="83">
        <v>-39538</v>
      </c>
      <c r="N51" s="83">
        <v>-4943</v>
      </c>
      <c r="O51" s="83">
        <v>235336</v>
      </c>
      <c r="P51" s="83">
        <v>10422</v>
      </c>
      <c r="Q51" s="83">
        <v>-49286</v>
      </c>
      <c r="R51" s="83">
        <v>291785</v>
      </c>
    </row>
    <row r="52" spans="1:18" x14ac:dyDescent="0.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</row>
    <row r="53" spans="1:18" x14ac:dyDescent="0.2">
      <c r="B53" s="79" t="s">
        <v>48</v>
      </c>
    </row>
    <row r="54" spans="1:18" ht="14.25" customHeight="1" x14ac:dyDescent="0.2">
      <c r="B54" s="79"/>
      <c r="C54" s="189" t="s">
        <v>111</v>
      </c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</row>
    <row r="55" spans="1:18" ht="20.25" customHeight="1" x14ac:dyDescent="0.2">
      <c r="B55" s="7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</row>
    <row r="57" spans="1:18" x14ac:dyDescent="0.2">
      <c r="B57" s="86" t="s">
        <v>52</v>
      </c>
    </row>
    <row r="58" spans="1:18" x14ac:dyDescent="0.2">
      <c r="B58" s="86" t="s">
        <v>107</v>
      </c>
    </row>
  </sheetData>
  <mergeCells count="3">
    <mergeCell ref="A4:E4"/>
    <mergeCell ref="A6:E6"/>
    <mergeCell ref="C54:Q55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MJ58"/>
  <sheetViews>
    <sheetView zoomScaleNormal="100" workbookViewId="0">
      <selection activeCell="F7" sqref="F7"/>
    </sheetView>
  </sheetViews>
  <sheetFormatPr defaultColWidth="9.140625" defaultRowHeight="14.25" x14ac:dyDescent="0.2"/>
  <cols>
    <col min="1" max="1" width="1.42578125" style="76" customWidth="1"/>
    <col min="2" max="2" width="2" style="76" customWidth="1"/>
    <col min="3" max="3" width="1.85546875" style="76" customWidth="1"/>
    <col min="4" max="4" width="2.140625" style="76" customWidth="1"/>
    <col min="5" max="5" width="28" style="76" customWidth="1"/>
    <col min="6" max="7" width="10" style="76" customWidth="1"/>
    <col min="8" max="11" width="9.42578125" style="76" customWidth="1"/>
    <col min="12" max="13" width="10" style="76" customWidth="1"/>
    <col min="14" max="14" width="9.42578125" style="76" customWidth="1"/>
    <col min="15" max="15" width="10" style="76" customWidth="1"/>
    <col min="16" max="16" width="9.42578125" style="76" customWidth="1"/>
    <col min="17" max="17" width="10" style="76" customWidth="1"/>
    <col min="18" max="18" width="11" style="76" customWidth="1"/>
    <col min="19" max="19" width="0.7109375" style="76" customWidth="1"/>
    <col min="20" max="1024" width="9.140625" style="76"/>
  </cols>
  <sheetData>
    <row r="1" spans="1:19" ht="15" x14ac:dyDescent="0.25">
      <c r="A1" s="102" t="s">
        <v>53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15" x14ac:dyDescent="0.25">
      <c r="A2" s="102" t="s">
        <v>114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19" x14ac:dyDescent="0.2">
      <c r="A3" s="103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spans="1:19" x14ac:dyDescent="0.2">
      <c r="A4" s="186" t="s">
        <v>96</v>
      </c>
      <c r="B4" s="186"/>
      <c r="C4" s="186"/>
      <c r="D4" s="186"/>
      <c r="E4" s="186"/>
    </row>
    <row r="5" spans="1:19" ht="6" customHeight="1" x14ac:dyDescent="0.2"/>
    <row r="6" spans="1:19" ht="21" customHeight="1" x14ac:dyDescent="0.2">
      <c r="A6" s="188" t="s">
        <v>3</v>
      </c>
      <c r="B6" s="188"/>
      <c r="C6" s="188"/>
      <c r="D6" s="188"/>
      <c r="E6" s="188"/>
      <c r="F6" s="2" t="s">
        <v>108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65</v>
      </c>
      <c r="O6" s="2" t="s">
        <v>13</v>
      </c>
      <c r="P6" s="2" t="s">
        <v>56</v>
      </c>
      <c r="Q6" s="2" t="s">
        <v>57</v>
      </c>
      <c r="R6" s="2" t="s">
        <v>14</v>
      </c>
      <c r="S6" s="101"/>
    </row>
    <row r="7" spans="1:19" ht="15" customHeight="1" x14ac:dyDescent="0.2">
      <c r="O7" s="85"/>
    </row>
    <row r="8" spans="1:19" ht="15" customHeight="1" x14ac:dyDescent="0.25">
      <c r="B8" s="82" t="s">
        <v>15</v>
      </c>
      <c r="C8" s="82"/>
      <c r="D8" s="82"/>
      <c r="E8" s="82"/>
      <c r="F8" s="83">
        <f t="shared" ref="F8:R8" si="0">F9+F19+F26</f>
        <v>135911</v>
      </c>
      <c r="G8" s="83">
        <f t="shared" si="0"/>
        <v>80015</v>
      </c>
      <c r="H8" s="83">
        <f t="shared" si="0"/>
        <v>107152</v>
      </c>
      <c r="I8" s="83">
        <f t="shared" si="0"/>
        <v>138335</v>
      </c>
      <c r="J8" s="83">
        <f t="shared" si="0"/>
        <v>120088</v>
      </c>
      <c r="K8" s="83">
        <f t="shared" si="0"/>
        <v>100139</v>
      </c>
      <c r="L8" s="83">
        <f t="shared" si="0"/>
        <v>106963</v>
      </c>
      <c r="M8" s="83">
        <f t="shared" si="0"/>
        <v>124148</v>
      </c>
      <c r="N8" s="83">
        <f t="shared" si="0"/>
        <v>104337</v>
      </c>
      <c r="O8" s="83">
        <f t="shared" si="0"/>
        <v>103939</v>
      </c>
      <c r="P8" s="83">
        <f t="shared" si="0"/>
        <v>128745</v>
      </c>
      <c r="Q8" s="83">
        <f t="shared" si="0"/>
        <v>110170</v>
      </c>
      <c r="R8" s="83">
        <f t="shared" si="0"/>
        <v>1359942</v>
      </c>
    </row>
    <row r="9" spans="1:19" ht="15" customHeight="1" x14ac:dyDescent="0.2">
      <c r="C9" s="76" t="s">
        <v>16</v>
      </c>
      <c r="F9" s="84">
        <v>96020</v>
      </c>
      <c r="G9" s="84">
        <v>72987</v>
      </c>
      <c r="H9" s="84">
        <v>96645</v>
      </c>
      <c r="I9" s="84">
        <v>126782</v>
      </c>
      <c r="J9" s="84">
        <v>111085</v>
      </c>
      <c r="K9" s="84">
        <v>89921</v>
      </c>
      <c r="L9" s="84">
        <v>96164</v>
      </c>
      <c r="M9" s="84">
        <v>111108</v>
      </c>
      <c r="N9" s="84">
        <v>90648</v>
      </c>
      <c r="O9" s="84">
        <v>94365</v>
      </c>
      <c r="P9" s="84">
        <v>119238</v>
      </c>
      <c r="Q9" s="84">
        <v>97103</v>
      </c>
      <c r="R9" s="84">
        <v>1202066</v>
      </c>
    </row>
    <row r="10" spans="1:19" ht="15" customHeight="1" x14ac:dyDescent="0.2">
      <c r="D10" s="76" t="s">
        <v>17</v>
      </c>
      <c r="F10" s="85">
        <v>74569</v>
      </c>
      <c r="G10" s="85">
        <v>53418</v>
      </c>
      <c r="H10" s="85">
        <v>71562</v>
      </c>
      <c r="I10" s="85">
        <v>103393</v>
      </c>
      <c r="J10" s="85">
        <v>88150</v>
      </c>
      <c r="K10" s="85">
        <v>66904</v>
      </c>
      <c r="L10" s="85">
        <v>73789</v>
      </c>
      <c r="M10" s="85">
        <v>87928</v>
      </c>
      <c r="N10" s="85">
        <v>66547</v>
      </c>
      <c r="O10" s="85">
        <v>70504</v>
      </c>
      <c r="P10" s="85">
        <v>92751</v>
      </c>
      <c r="Q10" s="85">
        <v>74631</v>
      </c>
      <c r="R10" s="85">
        <v>924146</v>
      </c>
    </row>
    <row r="11" spans="1:19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" customHeight="1" x14ac:dyDescent="0.2">
      <c r="E12" s="76" t="s">
        <v>19</v>
      </c>
      <c r="F12" s="85">
        <v>1134</v>
      </c>
      <c r="G12" s="85">
        <v>589</v>
      </c>
      <c r="H12" s="85">
        <v>303</v>
      </c>
      <c r="I12" s="85">
        <v>819</v>
      </c>
      <c r="J12" s="85">
        <v>703</v>
      </c>
      <c r="K12" s="85">
        <v>312</v>
      </c>
      <c r="L12" s="85">
        <v>279</v>
      </c>
      <c r="M12" s="85">
        <v>1749</v>
      </c>
      <c r="N12" s="85">
        <v>343</v>
      </c>
      <c r="O12" s="85">
        <v>364</v>
      </c>
      <c r="P12" s="85">
        <v>642</v>
      </c>
      <c r="Q12" s="85">
        <v>465</v>
      </c>
      <c r="R12" s="85">
        <v>7702</v>
      </c>
    </row>
    <row r="13" spans="1:19" ht="15" customHeight="1" x14ac:dyDescent="0.2">
      <c r="E13" s="76" t="s">
        <v>20</v>
      </c>
      <c r="F13" s="85">
        <v>3</v>
      </c>
      <c r="G13" s="85">
        <v>15</v>
      </c>
      <c r="H13" s="85">
        <v>7574</v>
      </c>
      <c r="I13" s="85">
        <v>657</v>
      </c>
      <c r="J13" s="85">
        <v>31</v>
      </c>
      <c r="K13" s="85">
        <v>602</v>
      </c>
      <c r="L13" s="85">
        <v>282</v>
      </c>
      <c r="M13" s="85">
        <v>159</v>
      </c>
      <c r="N13" s="85">
        <v>328</v>
      </c>
      <c r="O13" s="85">
        <v>2296</v>
      </c>
      <c r="P13" s="85">
        <v>1664</v>
      </c>
      <c r="Q13" s="85">
        <v>2812</v>
      </c>
      <c r="R13" s="85">
        <v>16423</v>
      </c>
    </row>
    <row r="14" spans="1:19" ht="15" customHeight="1" x14ac:dyDescent="0.2">
      <c r="D14" s="76" t="s">
        <v>21</v>
      </c>
      <c r="F14" s="85">
        <v>20535</v>
      </c>
      <c r="G14" s="85">
        <v>18583</v>
      </c>
      <c r="H14" s="85">
        <v>23500</v>
      </c>
      <c r="I14" s="85">
        <v>22440</v>
      </c>
      <c r="J14" s="85">
        <v>21836</v>
      </c>
      <c r="K14" s="85">
        <v>21663</v>
      </c>
      <c r="L14" s="85">
        <v>21283</v>
      </c>
      <c r="M14" s="85">
        <v>22152</v>
      </c>
      <c r="N14" s="85">
        <v>22615</v>
      </c>
      <c r="O14" s="85">
        <v>22843</v>
      </c>
      <c r="P14" s="85">
        <v>25510</v>
      </c>
      <c r="Q14" s="85">
        <v>22148</v>
      </c>
      <c r="R14" s="85">
        <v>265108</v>
      </c>
    </row>
    <row r="15" spans="1:19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" customHeight="1" x14ac:dyDescent="0.2">
      <c r="E16" s="76" t="s">
        <v>20</v>
      </c>
      <c r="F16" s="85">
        <v>0</v>
      </c>
      <c r="G16" s="85">
        <v>0</v>
      </c>
      <c r="H16" s="85">
        <v>473</v>
      </c>
      <c r="I16" s="85">
        <v>1052</v>
      </c>
      <c r="J16" s="85">
        <v>512</v>
      </c>
      <c r="K16" s="85">
        <v>0</v>
      </c>
      <c r="L16" s="85">
        <v>180</v>
      </c>
      <c r="M16" s="85">
        <v>1155</v>
      </c>
      <c r="N16" s="85">
        <v>207</v>
      </c>
      <c r="O16" s="85">
        <v>1096</v>
      </c>
      <c r="P16" s="85">
        <v>1873</v>
      </c>
      <c r="Q16" s="85">
        <v>2860</v>
      </c>
      <c r="R16" s="85">
        <v>9408</v>
      </c>
    </row>
    <row r="17" spans="2:21" ht="15" customHeight="1" x14ac:dyDescent="0.2">
      <c r="D17" s="76" t="s">
        <v>106</v>
      </c>
      <c r="F17" s="85">
        <v>916</v>
      </c>
      <c r="G17" s="85">
        <v>986</v>
      </c>
      <c r="H17" s="85">
        <v>1583</v>
      </c>
      <c r="I17" s="85">
        <v>949</v>
      </c>
      <c r="J17" s="85">
        <v>1099</v>
      </c>
      <c r="K17" s="85">
        <v>1354</v>
      </c>
      <c r="L17" s="85">
        <v>1092</v>
      </c>
      <c r="M17" s="85">
        <v>1028</v>
      </c>
      <c r="N17" s="85">
        <v>1486</v>
      </c>
      <c r="O17" s="85">
        <v>1018</v>
      </c>
      <c r="P17" s="85">
        <v>977</v>
      </c>
      <c r="Q17" s="85">
        <v>324</v>
      </c>
      <c r="R17" s="85">
        <v>12812</v>
      </c>
    </row>
    <row r="18" spans="2:21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5" customHeight="1" x14ac:dyDescent="0.2">
      <c r="C19" s="76" t="s">
        <v>23</v>
      </c>
      <c r="F19" s="84">
        <f t="shared" ref="F19:R19" si="1">SUM(F20:F24)</f>
        <v>39890</v>
      </c>
      <c r="G19" s="84">
        <f t="shared" si="1"/>
        <v>7028</v>
      </c>
      <c r="H19" s="84">
        <f t="shared" si="1"/>
        <v>10507</v>
      </c>
      <c r="I19" s="84">
        <f t="shared" si="1"/>
        <v>11551</v>
      </c>
      <c r="J19" s="84">
        <f t="shared" si="1"/>
        <v>9003</v>
      </c>
      <c r="K19" s="84">
        <f t="shared" si="1"/>
        <v>10218</v>
      </c>
      <c r="L19" s="84">
        <f t="shared" si="1"/>
        <v>10769</v>
      </c>
      <c r="M19" s="84">
        <f t="shared" si="1"/>
        <v>13029</v>
      </c>
      <c r="N19" s="84">
        <f t="shared" si="1"/>
        <v>13683</v>
      </c>
      <c r="O19" s="84">
        <f t="shared" si="1"/>
        <v>9573.0000000000018</v>
      </c>
      <c r="P19" s="84">
        <f t="shared" si="1"/>
        <v>9506</v>
      </c>
      <c r="Q19" s="84">
        <f t="shared" si="1"/>
        <v>12864</v>
      </c>
      <c r="R19" s="84">
        <f t="shared" si="1"/>
        <v>157621</v>
      </c>
    </row>
    <row r="20" spans="2:21" ht="15" customHeight="1" x14ac:dyDescent="0.2">
      <c r="D20" s="76" t="s">
        <v>24</v>
      </c>
      <c r="F20" s="85">
        <v>30981</v>
      </c>
      <c r="G20" s="85">
        <v>2621</v>
      </c>
      <c r="H20" s="85">
        <v>4529</v>
      </c>
      <c r="I20" s="85">
        <v>6247</v>
      </c>
      <c r="J20" s="85">
        <v>4046</v>
      </c>
      <c r="K20" s="85">
        <v>2350</v>
      </c>
      <c r="L20" s="85">
        <v>5814</v>
      </c>
      <c r="M20" s="85">
        <v>4504</v>
      </c>
      <c r="N20" s="85">
        <v>5779</v>
      </c>
      <c r="O20" s="85">
        <v>2623</v>
      </c>
      <c r="P20" s="85">
        <v>2725</v>
      </c>
      <c r="Q20" s="85">
        <v>3336</v>
      </c>
      <c r="R20" s="85">
        <f>SUM(F20:Q20)</f>
        <v>75555</v>
      </c>
      <c r="T20" s="85"/>
    </row>
    <row r="21" spans="2:21" ht="15" customHeight="1" x14ac:dyDescent="0.2">
      <c r="D21" s="76" t="s">
        <v>26</v>
      </c>
      <c r="F21" s="85">
        <v>585</v>
      </c>
      <c r="G21" s="85">
        <v>16</v>
      </c>
      <c r="H21" s="85">
        <v>69</v>
      </c>
      <c r="I21" s="85">
        <v>5</v>
      </c>
      <c r="J21" s="85">
        <v>2</v>
      </c>
      <c r="K21" s="85">
        <v>5</v>
      </c>
      <c r="L21" s="85">
        <v>0</v>
      </c>
      <c r="M21" s="85">
        <v>21</v>
      </c>
      <c r="N21" s="85">
        <v>22</v>
      </c>
      <c r="O21" s="85">
        <v>5</v>
      </c>
      <c r="P21" s="85">
        <v>0</v>
      </c>
      <c r="Q21" s="85">
        <v>200</v>
      </c>
      <c r="R21" s="85">
        <f>SUM(F21:Q21)</f>
        <v>930</v>
      </c>
      <c r="T21" s="85"/>
    </row>
    <row r="22" spans="2:21" ht="15" customHeight="1" x14ac:dyDescent="0.2">
      <c r="D22" s="76" t="s">
        <v>27</v>
      </c>
      <c r="E22" s="86"/>
      <c r="F22" s="85">
        <v>3327.681</v>
      </c>
      <c r="G22" s="85">
        <v>843.62099999999998</v>
      </c>
      <c r="H22" s="85">
        <v>1796.125</v>
      </c>
      <c r="I22" s="85">
        <v>2891.2860000000001</v>
      </c>
      <c r="J22" s="85">
        <v>2160.7669999999998</v>
      </c>
      <c r="K22" s="85">
        <v>2489.2779999999998</v>
      </c>
      <c r="L22" s="85">
        <v>830.83500000000004</v>
      </c>
      <c r="M22" s="85">
        <v>2737.4650000000001</v>
      </c>
      <c r="N22" s="85">
        <v>3060.5650000000001</v>
      </c>
      <c r="O22" s="85">
        <v>3066.3249999999998</v>
      </c>
      <c r="P22" s="85">
        <v>3072.252</v>
      </c>
      <c r="Q22" s="85">
        <v>2092.777</v>
      </c>
      <c r="R22" s="85">
        <f>SUM(F22:Q22)</f>
        <v>28368.976999999999</v>
      </c>
      <c r="T22" s="85"/>
    </row>
    <row r="23" spans="2:21" ht="15" customHeight="1" x14ac:dyDescent="0.2">
      <c r="D23" s="76" t="s">
        <v>113</v>
      </c>
      <c r="F23" s="85">
        <v>2053</v>
      </c>
      <c r="G23" s="85">
        <v>2224</v>
      </c>
      <c r="H23" s="85">
        <v>2656</v>
      </c>
      <c r="I23" s="85">
        <v>1675</v>
      </c>
      <c r="J23" s="85">
        <v>1825</v>
      </c>
      <c r="K23" s="85">
        <v>1840</v>
      </c>
      <c r="L23" s="85">
        <v>2108</v>
      </c>
      <c r="M23" s="85">
        <v>2431</v>
      </c>
      <c r="N23" s="85">
        <v>1896</v>
      </c>
      <c r="O23" s="85">
        <v>3790</v>
      </c>
      <c r="P23" s="85">
        <v>1818</v>
      </c>
      <c r="Q23" s="85">
        <v>1732</v>
      </c>
      <c r="R23" s="85">
        <f>SUM(F23:Q23)</f>
        <v>26048</v>
      </c>
    </row>
    <row r="24" spans="2:21" ht="15" customHeight="1" x14ac:dyDescent="0.2">
      <c r="D24" s="76" t="s">
        <v>106</v>
      </c>
      <c r="F24" s="85">
        <v>2943.319</v>
      </c>
      <c r="G24" s="85">
        <v>1323.3789999999999</v>
      </c>
      <c r="H24" s="85">
        <v>1456.875</v>
      </c>
      <c r="I24" s="85">
        <v>732.71400000000006</v>
      </c>
      <c r="J24" s="85">
        <v>969.23299999999995</v>
      </c>
      <c r="K24" s="85">
        <v>3533.7220000000002</v>
      </c>
      <c r="L24" s="85">
        <v>2016.165</v>
      </c>
      <c r="M24" s="85">
        <v>3335.5349999999999</v>
      </c>
      <c r="N24" s="85">
        <v>2925.4349999999999</v>
      </c>
      <c r="O24" s="85">
        <v>88.675000000000196</v>
      </c>
      <c r="P24" s="85">
        <v>1890.748</v>
      </c>
      <c r="Q24" s="85">
        <v>5503.223</v>
      </c>
      <c r="R24" s="85">
        <f>SUM(F24:Q24)</f>
        <v>26719.023000000001</v>
      </c>
    </row>
    <row r="25" spans="2:21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5" customHeight="1" x14ac:dyDescent="0.2">
      <c r="C26" s="76" t="s">
        <v>29</v>
      </c>
      <c r="F26" s="85">
        <v>1</v>
      </c>
      <c r="G26" s="85">
        <v>0</v>
      </c>
      <c r="H26" s="85">
        <v>0</v>
      </c>
      <c r="I26" s="85">
        <v>2</v>
      </c>
      <c r="J26" s="85">
        <v>0</v>
      </c>
      <c r="K26" s="85">
        <v>0</v>
      </c>
      <c r="L26" s="85">
        <v>30</v>
      </c>
      <c r="M26" s="85">
        <v>11</v>
      </c>
      <c r="N26" s="85">
        <v>6</v>
      </c>
      <c r="O26" s="85">
        <v>1</v>
      </c>
      <c r="P26" s="85">
        <v>1</v>
      </c>
      <c r="Q26" s="85">
        <v>203</v>
      </c>
      <c r="R26" s="85">
        <v>255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5">
      <c r="B28" s="82" t="s">
        <v>30</v>
      </c>
      <c r="C28" s="82"/>
      <c r="D28" s="82"/>
      <c r="E28" s="82"/>
      <c r="F28" s="83">
        <f t="shared" ref="F28:R28" si="2">SUM(F30:F36)</f>
        <v>122487</v>
      </c>
      <c r="G28" s="83">
        <f t="shared" si="2"/>
        <v>101505</v>
      </c>
      <c r="H28" s="83">
        <f t="shared" si="2"/>
        <v>125283</v>
      </c>
      <c r="I28" s="83">
        <f t="shared" si="2"/>
        <v>112077</v>
      </c>
      <c r="J28" s="83">
        <f t="shared" si="2"/>
        <v>129689</v>
      </c>
      <c r="K28" s="83">
        <f t="shared" si="2"/>
        <v>107830</v>
      </c>
      <c r="L28" s="83">
        <f t="shared" si="2"/>
        <v>133445</v>
      </c>
      <c r="M28" s="83">
        <f t="shared" si="2"/>
        <v>114928</v>
      </c>
      <c r="N28" s="83">
        <f t="shared" si="2"/>
        <v>122838</v>
      </c>
      <c r="O28" s="83">
        <f t="shared" si="2"/>
        <v>125196</v>
      </c>
      <c r="P28" s="83">
        <f t="shared" si="2"/>
        <v>150748</v>
      </c>
      <c r="Q28" s="83">
        <f t="shared" si="2"/>
        <v>211670</v>
      </c>
      <c r="R28" s="83">
        <f t="shared" si="2"/>
        <v>1557696</v>
      </c>
      <c r="T28" s="85"/>
    </row>
    <row r="29" spans="2:21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5" customHeight="1" x14ac:dyDescent="0.2">
      <c r="D30" s="76" t="s">
        <v>31</v>
      </c>
      <c r="F30" s="85">
        <v>25409</v>
      </c>
      <c r="G30" s="85">
        <v>26340</v>
      </c>
      <c r="H30" s="85">
        <v>24627</v>
      </c>
      <c r="I30" s="85">
        <v>24450</v>
      </c>
      <c r="J30" s="85">
        <v>28499</v>
      </c>
      <c r="K30" s="85">
        <v>25869</v>
      </c>
      <c r="L30" s="85">
        <v>25563</v>
      </c>
      <c r="M30" s="85">
        <v>24994</v>
      </c>
      <c r="N30" s="85">
        <v>24314</v>
      </c>
      <c r="O30" s="85">
        <v>25628</v>
      </c>
      <c r="P30" s="85">
        <v>26106</v>
      </c>
      <c r="Q30" s="85">
        <v>33315</v>
      </c>
      <c r="R30" s="85">
        <f t="shared" ref="R30:R36" si="3">SUM(F30:Q30)</f>
        <v>315114</v>
      </c>
    </row>
    <row r="31" spans="2:21" ht="15" customHeight="1" x14ac:dyDescent="0.2">
      <c r="D31" s="76" t="s">
        <v>32</v>
      </c>
      <c r="F31" s="85">
        <v>35837</v>
      </c>
      <c r="G31" s="85">
        <v>22151</v>
      </c>
      <c r="H31" s="85">
        <v>32732</v>
      </c>
      <c r="I31" s="85">
        <v>11432</v>
      </c>
      <c r="J31" s="85">
        <v>15645</v>
      </c>
      <c r="K31" s="85">
        <v>16705</v>
      </c>
      <c r="L31" s="85">
        <v>41199</v>
      </c>
      <c r="M31" s="85">
        <v>20906</v>
      </c>
      <c r="N31" s="85">
        <v>25835</v>
      </c>
      <c r="O31" s="85">
        <v>12657</v>
      </c>
      <c r="P31" s="85">
        <v>16408</v>
      </c>
      <c r="Q31" s="85">
        <v>27489</v>
      </c>
      <c r="R31" s="85">
        <f t="shared" si="3"/>
        <v>278996</v>
      </c>
    </row>
    <row r="32" spans="2:21" ht="15" customHeight="1" x14ac:dyDescent="0.2">
      <c r="D32" s="76" t="s">
        <v>33</v>
      </c>
      <c r="F32" s="85">
        <v>1137</v>
      </c>
      <c r="G32" s="85">
        <v>604</v>
      </c>
      <c r="H32" s="85">
        <v>8350</v>
      </c>
      <c r="I32" s="85">
        <v>2528</v>
      </c>
      <c r="J32" s="85">
        <v>1246</v>
      </c>
      <c r="K32" s="85">
        <v>914</v>
      </c>
      <c r="L32" s="85">
        <v>741</v>
      </c>
      <c r="M32" s="85">
        <v>3063</v>
      </c>
      <c r="N32" s="85">
        <v>878</v>
      </c>
      <c r="O32" s="85">
        <v>3756</v>
      </c>
      <c r="P32" s="85">
        <v>4179</v>
      </c>
      <c r="Q32" s="85">
        <v>6137</v>
      </c>
      <c r="R32" s="85">
        <f t="shared" si="3"/>
        <v>33533</v>
      </c>
    </row>
    <row r="33" spans="2:20" ht="15" customHeight="1" x14ac:dyDescent="0.2">
      <c r="D33" s="76" t="s">
        <v>78</v>
      </c>
      <c r="F33" s="85">
        <v>1123</v>
      </c>
      <c r="G33" s="85">
        <v>3193</v>
      </c>
      <c r="H33" s="85">
        <v>2757</v>
      </c>
      <c r="I33" s="85">
        <v>110</v>
      </c>
      <c r="J33" s="85">
        <v>5491</v>
      </c>
      <c r="K33" s="85">
        <v>1488</v>
      </c>
      <c r="L33" s="85">
        <v>1103</v>
      </c>
      <c r="M33" s="85">
        <v>2137</v>
      </c>
      <c r="N33" s="85">
        <v>1708</v>
      </c>
      <c r="O33" s="85">
        <v>12630</v>
      </c>
      <c r="P33" s="85">
        <v>13469</v>
      </c>
      <c r="Q33" s="85">
        <v>8496</v>
      </c>
      <c r="R33" s="85">
        <f t="shared" si="3"/>
        <v>53705</v>
      </c>
    </row>
    <row r="34" spans="2:20" ht="15" customHeight="1" x14ac:dyDescent="0.2">
      <c r="D34" s="76" t="s">
        <v>35</v>
      </c>
      <c r="F34" s="85">
        <v>0</v>
      </c>
      <c r="G34" s="85">
        <v>0</v>
      </c>
      <c r="H34" s="85">
        <v>0</v>
      </c>
      <c r="I34" s="85">
        <v>116</v>
      </c>
      <c r="J34" s="85">
        <v>0</v>
      </c>
      <c r="K34" s="85">
        <v>0</v>
      </c>
      <c r="L34" s="85">
        <v>188</v>
      </c>
      <c r="M34" s="85">
        <v>0</v>
      </c>
      <c r="N34" s="85">
        <v>0</v>
      </c>
      <c r="O34" s="85">
        <v>11028</v>
      </c>
      <c r="P34" s="85">
        <v>1046</v>
      </c>
      <c r="Q34" s="85">
        <v>511</v>
      </c>
      <c r="R34" s="85">
        <f t="shared" si="3"/>
        <v>12889</v>
      </c>
    </row>
    <row r="35" spans="2:20" ht="15" customHeight="1" x14ac:dyDescent="0.2">
      <c r="D35" s="76" t="s">
        <v>79</v>
      </c>
      <c r="F35" s="85">
        <v>663</v>
      </c>
      <c r="G35" s="85">
        <v>318</v>
      </c>
      <c r="H35" s="85">
        <v>1441</v>
      </c>
      <c r="I35" s="85">
        <v>3664</v>
      </c>
      <c r="J35" s="85">
        <v>4106</v>
      </c>
      <c r="K35" s="85">
        <v>2168</v>
      </c>
      <c r="L35" s="85">
        <v>915</v>
      </c>
      <c r="M35" s="85">
        <v>282</v>
      </c>
      <c r="N35" s="85">
        <v>1644</v>
      </c>
      <c r="O35" s="85">
        <v>1093</v>
      </c>
      <c r="P35" s="85">
        <v>705</v>
      </c>
      <c r="Q35" s="85">
        <v>1056</v>
      </c>
      <c r="R35" s="85">
        <f t="shared" si="3"/>
        <v>18055</v>
      </c>
    </row>
    <row r="36" spans="2:20" ht="15" customHeight="1" x14ac:dyDescent="0.2">
      <c r="D36" s="6" t="s">
        <v>80</v>
      </c>
      <c r="F36" s="85">
        <v>58318</v>
      </c>
      <c r="G36" s="85">
        <v>48899</v>
      </c>
      <c r="H36" s="85">
        <v>55376</v>
      </c>
      <c r="I36" s="85">
        <v>69777</v>
      </c>
      <c r="J36" s="85">
        <v>74702</v>
      </c>
      <c r="K36" s="85">
        <v>60686</v>
      </c>
      <c r="L36" s="85">
        <v>63736</v>
      </c>
      <c r="M36" s="85">
        <v>63546</v>
      </c>
      <c r="N36" s="85">
        <v>68459</v>
      </c>
      <c r="O36" s="85">
        <v>58404</v>
      </c>
      <c r="P36" s="85">
        <v>88835</v>
      </c>
      <c r="Q36" s="85">
        <v>134666</v>
      </c>
      <c r="R36" s="85">
        <f t="shared" si="3"/>
        <v>845404</v>
      </c>
      <c r="T36" s="85"/>
    </row>
    <row r="37" spans="2:20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</row>
    <row r="38" spans="2:20" ht="15" customHeight="1" x14ac:dyDescent="0.25">
      <c r="B38" s="82" t="s">
        <v>38</v>
      </c>
      <c r="C38" s="82"/>
      <c r="D38" s="82"/>
      <c r="E38" s="82"/>
      <c r="F38" s="88">
        <f t="shared" ref="F38:Q38" si="4">+F8-F28</f>
        <v>13424</v>
      </c>
      <c r="G38" s="88">
        <f t="shared" si="4"/>
        <v>-21490</v>
      </c>
      <c r="H38" s="88">
        <f t="shared" si="4"/>
        <v>-18131</v>
      </c>
      <c r="I38" s="88">
        <f t="shared" si="4"/>
        <v>26258</v>
      </c>
      <c r="J38" s="88">
        <f t="shared" si="4"/>
        <v>-9601</v>
      </c>
      <c r="K38" s="88">
        <f t="shared" si="4"/>
        <v>-7691</v>
      </c>
      <c r="L38" s="88">
        <f t="shared" si="4"/>
        <v>-26482</v>
      </c>
      <c r="M38" s="88">
        <f t="shared" si="4"/>
        <v>9220</v>
      </c>
      <c r="N38" s="88">
        <f t="shared" si="4"/>
        <v>-18501</v>
      </c>
      <c r="O38" s="88">
        <f t="shared" si="4"/>
        <v>-21257</v>
      </c>
      <c r="P38" s="88">
        <f t="shared" si="4"/>
        <v>-22003</v>
      </c>
      <c r="Q38" s="88">
        <f t="shared" si="4"/>
        <v>-101500</v>
      </c>
      <c r="R38" s="88">
        <f>SUM(F38:Q38)</f>
        <v>-197754</v>
      </c>
    </row>
    <row r="39" spans="2:20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20" ht="15" customHeight="1" x14ac:dyDescent="0.25">
      <c r="B40" s="82" t="s">
        <v>39</v>
      </c>
      <c r="C40" s="82"/>
      <c r="D40" s="82"/>
      <c r="E40" s="82"/>
      <c r="F40" s="83">
        <v>-64709</v>
      </c>
      <c r="G40" s="83">
        <v>-102965</v>
      </c>
      <c r="H40" s="83">
        <v>103661</v>
      </c>
      <c r="I40" s="83">
        <v>33287</v>
      </c>
      <c r="J40" s="83">
        <v>34410</v>
      </c>
      <c r="K40" s="83">
        <v>19625</v>
      </c>
      <c r="L40" s="83">
        <v>10274</v>
      </c>
      <c r="M40" s="83">
        <v>-18154</v>
      </c>
      <c r="N40" s="83">
        <v>-5701</v>
      </c>
      <c r="O40" s="83">
        <v>90460</v>
      </c>
      <c r="P40" s="83">
        <v>-532</v>
      </c>
      <c r="Q40" s="83">
        <v>15607</v>
      </c>
      <c r="R40" s="83">
        <v>115263</v>
      </c>
    </row>
    <row r="41" spans="2:20" ht="15" customHeight="1" x14ac:dyDescent="0.2">
      <c r="C41" s="76" t="s">
        <v>40</v>
      </c>
      <c r="F41" s="84">
        <v>54449</v>
      </c>
      <c r="G41" s="84">
        <v>-61362</v>
      </c>
      <c r="H41" s="84">
        <v>61279</v>
      </c>
      <c r="I41" s="84">
        <v>658</v>
      </c>
      <c r="J41" s="84">
        <v>-3178</v>
      </c>
      <c r="K41" s="84">
        <v>-3262</v>
      </c>
      <c r="L41" s="84">
        <v>2494</v>
      </c>
      <c r="M41" s="84">
        <v>5139</v>
      </c>
      <c r="N41" s="84">
        <v>4133</v>
      </c>
      <c r="O41" s="84">
        <v>1158</v>
      </c>
      <c r="P41" s="84">
        <v>-4545</v>
      </c>
      <c r="Q41" s="84">
        <v>-5803</v>
      </c>
      <c r="R41" s="84">
        <v>51160</v>
      </c>
    </row>
    <row r="42" spans="2:20" ht="15" customHeight="1" x14ac:dyDescent="0.2">
      <c r="D42" s="76" t="s">
        <v>41</v>
      </c>
      <c r="F42" s="85">
        <v>55765</v>
      </c>
      <c r="G42" s="85">
        <v>1828</v>
      </c>
      <c r="H42" s="85">
        <v>67583</v>
      </c>
      <c r="I42" s="85">
        <v>3129</v>
      </c>
      <c r="J42" s="85">
        <v>2489</v>
      </c>
      <c r="K42" s="85">
        <v>3156</v>
      </c>
      <c r="L42" s="85">
        <v>3742</v>
      </c>
      <c r="M42" s="85">
        <v>13057</v>
      </c>
      <c r="N42" s="85">
        <v>10729</v>
      </c>
      <c r="O42" s="85">
        <v>3967</v>
      </c>
      <c r="P42" s="85">
        <v>1670</v>
      </c>
      <c r="Q42" s="85">
        <v>27204</v>
      </c>
      <c r="R42" s="85">
        <v>194319</v>
      </c>
    </row>
    <row r="43" spans="2:20" ht="15" customHeight="1" x14ac:dyDescent="0.2">
      <c r="D43" s="76" t="s">
        <v>98</v>
      </c>
      <c r="F43" s="85">
        <v>1316</v>
      </c>
      <c r="G43" s="85">
        <v>63190</v>
      </c>
      <c r="H43" s="85">
        <v>6304</v>
      </c>
      <c r="I43" s="85">
        <v>2471</v>
      </c>
      <c r="J43" s="85">
        <v>5667</v>
      </c>
      <c r="K43" s="85">
        <v>6418</v>
      </c>
      <c r="L43" s="85">
        <v>1248</v>
      </c>
      <c r="M43" s="85">
        <v>7918</v>
      </c>
      <c r="N43" s="85">
        <v>6596</v>
      </c>
      <c r="O43" s="85">
        <v>2809</v>
      </c>
      <c r="P43" s="85">
        <v>6215</v>
      </c>
      <c r="Q43" s="85">
        <v>33007</v>
      </c>
      <c r="R43" s="85">
        <v>143159</v>
      </c>
    </row>
    <row r="44" spans="2:20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20" ht="15" customHeight="1" x14ac:dyDescent="0.2">
      <c r="C45" s="76" t="s">
        <v>43</v>
      </c>
      <c r="F45" s="84">
        <v>-119158</v>
      </c>
      <c r="G45" s="84">
        <v>-41603</v>
      </c>
      <c r="H45" s="84">
        <v>42382</v>
      </c>
      <c r="I45" s="84">
        <v>32629</v>
      </c>
      <c r="J45" s="84">
        <v>37588</v>
      </c>
      <c r="K45" s="84">
        <v>22887</v>
      </c>
      <c r="L45" s="84">
        <v>7780</v>
      </c>
      <c r="M45" s="84">
        <v>-23293</v>
      </c>
      <c r="N45" s="84">
        <v>-9834</v>
      </c>
      <c r="O45" s="84">
        <v>89302</v>
      </c>
      <c r="P45" s="84">
        <v>4013</v>
      </c>
      <c r="Q45" s="84">
        <v>21410</v>
      </c>
      <c r="R45" s="84">
        <v>64103</v>
      </c>
    </row>
    <row r="46" spans="2:20" ht="15" customHeight="1" x14ac:dyDescent="0.2">
      <c r="D46" s="76" t="s">
        <v>44</v>
      </c>
      <c r="F46" s="85">
        <v>-30515</v>
      </c>
      <c r="G46" s="85">
        <v>-10428</v>
      </c>
      <c r="H46" s="85">
        <v>93099</v>
      </c>
      <c r="I46" s="85">
        <v>36949</v>
      </c>
      <c r="J46" s="85">
        <v>50981</v>
      </c>
      <c r="K46" s="85">
        <v>23542</v>
      </c>
      <c r="L46" s="85">
        <v>8480</v>
      </c>
      <c r="M46" s="85">
        <v>21069</v>
      </c>
      <c r="N46" s="85">
        <v>30141</v>
      </c>
      <c r="O46" s="85">
        <v>96183</v>
      </c>
      <c r="P46" s="85">
        <v>14842</v>
      </c>
      <c r="Q46" s="85">
        <v>30355</v>
      </c>
      <c r="R46" s="85">
        <v>364698</v>
      </c>
    </row>
    <row r="47" spans="2:20" ht="15" customHeight="1" x14ac:dyDescent="0.2">
      <c r="D47" s="76" t="s">
        <v>98</v>
      </c>
      <c r="F47" s="85">
        <v>88643</v>
      </c>
      <c r="G47" s="85">
        <v>31175</v>
      </c>
      <c r="H47" s="85">
        <v>50717</v>
      </c>
      <c r="I47" s="85">
        <v>4320</v>
      </c>
      <c r="J47" s="85">
        <v>13393</v>
      </c>
      <c r="K47" s="85">
        <v>655</v>
      </c>
      <c r="L47" s="85">
        <v>700</v>
      </c>
      <c r="M47" s="85">
        <v>44362</v>
      </c>
      <c r="N47" s="85">
        <v>39975</v>
      </c>
      <c r="O47" s="85">
        <v>6881</v>
      </c>
      <c r="P47" s="85">
        <v>10829</v>
      </c>
      <c r="Q47" s="85">
        <v>8945</v>
      </c>
      <c r="R47" s="85">
        <v>300595</v>
      </c>
    </row>
    <row r="48" spans="2:20" ht="15" customHeight="1" x14ac:dyDescent="0.2"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8" ht="15" customHeight="1" x14ac:dyDescent="0.25">
      <c r="B49" s="82" t="s">
        <v>47</v>
      </c>
      <c r="C49" s="82"/>
      <c r="D49" s="82"/>
      <c r="E49" s="82"/>
      <c r="F49" s="83">
        <v>78836</v>
      </c>
      <c r="G49" s="83">
        <v>-79379</v>
      </c>
      <c r="H49" s="83">
        <v>78119</v>
      </c>
      <c r="I49" s="83">
        <v>43974</v>
      </c>
      <c r="J49" s="83">
        <v>181584</v>
      </c>
      <c r="K49" s="83">
        <v>16019</v>
      </c>
      <c r="L49" s="83">
        <v>-148369</v>
      </c>
      <c r="M49" s="83">
        <v>-192547</v>
      </c>
      <c r="N49" s="83">
        <v>33663</v>
      </c>
      <c r="O49" s="83">
        <v>-103437</v>
      </c>
      <c r="P49" s="83">
        <v>-39372</v>
      </c>
      <c r="Q49" s="83">
        <v>51244</v>
      </c>
      <c r="R49" s="83">
        <v>-79665</v>
      </c>
    </row>
    <row r="50" spans="1:18" x14ac:dyDescent="0.2">
      <c r="F50" s="85"/>
      <c r="G50" s="85"/>
      <c r="H50" s="85"/>
      <c r="I50" s="85"/>
    </row>
    <row r="51" spans="1:18" x14ac:dyDescent="0.2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</row>
    <row r="52" spans="1:18" x14ac:dyDescent="0.2">
      <c r="B52" s="79" t="s">
        <v>48</v>
      </c>
    </row>
    <row r="53" spans="1:18" x14ac:dyDescent="0.2">
      <c r="B53" s="79"/>
      <c r="C53" s="86" t="s">
        <v>99</v>
      </c>
    </row>
    <row r="54" spans="1:18" x14ac:dyDescent="0.2">
      <c r="B54" s="86"/>
      <c r="C54" s="86" t="s">
        <v>100</v>
      </c>
    </row>
    <row r="57" spans="1:18" x14ac:dyDescent="0.2">
      <c r="B57" s="86" t="s">
        <v>52</v>
      </c>
    </row>
    <row r="58" spans="1:18" x14ac:dyDescent="0.2">
      <c r="B58" s="86" t="s">
        <v>107</v>
      </c>
    </row>
  </sheetData>
  <mergeCells count="2">
    <mergeCell ref="A4:E4"/>
    <mergeCell ref="A6:E6"/>
  </mergeCells>
  <printOptions horizontalCentered="1"/>
  <pageMargins left="0" right="0" top="1.10208333333333" bottom="0.78749999999999998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MJ60"/>
  <sheetViews>
    <sheetView zoomScaleNormal="100" workbookViewId="0">
      <selection activeCell="R42" sqref="R42"/>
    </sheetView>
  </sheetViews>
  <sheetFormatPr defaultColWidth="9.140625" defaultRowHeight="14.25" x14ac:dyDescent="0.2"/>
  <cols>
    <col min="1" max="1" width="1.42578125" style="76" customWidth="1"/>
    <col min="2" max="2" width="2" style="76" customWidth="1"/>
    <col min="3" max="3" width="1.85546875" style="76" customWidth="1"/>
    <col min="4" max="4" width="2.140625" style="76" customWidth="1"/>
    <col min="5" max="5" width="33.42578125" style="76" customWidth="1"/>
    <col min="6" max="11" width="9.42578125" style="76" customWidth="1"/>
    <col min="12" max="13" width="10" style="76" customWidth="1"/>
    <col min="14" max="14" width="9.42578125" style="76" customWidth="1"/>
    <col min="15" max="15" width="10" style="76" customWidth="1"/>
    <col min="16" max="16" width="9.42578125" style="76" customWidth="1"/>
    <col min="17" max="17" width="10" style="76" customWidth="1"/>
    <col min="18" max="18" width="11" style="76" customWidth="1"/>
    <col min="19" max="19" width="0.7109375" style="76" customWidth="1"/>
    <col min="20" max="1024" width="9.140625" style="76"/>
  </cols>
  <sheetData>
    <row r="1" spans="1:19" ht="15" x14ac:dyDescent="0.25">
      <c r="A1" s="102" t="s">
        <v>53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15" x14ac:dyDescent="0.25">
      <c r="A2" s="102" t="s">
        <v>114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19" x14ac:dyDescent="0.2">
      <c r="A3" s="103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spans="1:19" x14ac:dyDescent="0.2">
      <c r="A4" s="186" t="s">
        <v>55</v>
      </c>
      <c r="B4" s="186"/>
      <c r="C4" s="186"/>
      <c r="D4" s="186"/>
      <c r="E4" s="186"/>
    </row>
    <row r="5" spans="1:19" ht="9.75" customHeight="1" x14ac:dyDescent="0.2"/>
    <row r="6" spans="1:19" ht="20.25" customHeight="1" x14ac:dyDescent="0.2">
      <c r="A6" s="188" t="s">
        <v>3</v>
      </c>
      <c r="B6" s="188"/>
      <c r="C6" s="188"/>
      <c r="D6" s="188"/>
      <c r="E6" s="188"/>
      <c r="F6" s="2" t="s">
        <v>108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65</v>
      </c>
      <c r="O6" s="2" t="s">
        <v>13</v>
      </c>
      <c r="P6" s="2" t="s">
        <v>56</v>
      </c>
      <c r="Q6" s="2" t="s">
        <v>57</v>
      </c>
      <c r="R6" s="2" t="s">
        <v>14</v>
      </c>
      <c r="S6" s="101"/>
    </row>
    <row r="7" spans="1:19" ht="15" customHeight="1" x14ac:dyDescent="0.2">
      <c r="O7" s="85"/>
    </row>
    <row r="8" spans="1:19" ht="15" customHeight="1" x14ac:dyDescent="0.25">
      <c r="B8" s="82" t="s">
        <v>15</v>
      </c>
      <c r="C8" s="82"/>
      <c r="D8" s="82"/>
      <c r="E8" s="82"/>
      <c r="F8" s="83">
        <f t="shared" ref="F8:S8" si="0">F9+F19+F26</f>
        <v>135911</v>
      </c>
      <c r="G8" s="83">
        <f t="shared" si="0"/>
        <v>80015</v>
      </c>
      <c r="H8" s="83">
        <f t="shared" si="0"/>
        <v>107152</v>
      </c>
      <c r="I8" s="83">
        <f t="shared" si="0"/>
        <v>138335</v>
      </c>
      <c r="J8" s="83">
        <f t="shared" si="0"/>
        <v>120088</v>
      </c>
      <c r="K8" s="83">
        <f t="shared" si="0"/>
        <v>100139</v>
      </c>
      <c r="L8" s="83">
        <f t="shared" si="0"/>
        <v>106963</v>
      </c>
      <c r="M8" s="83">
        <f t="shared" si="0"/>
        <v>124148</v>
      </c>
      <c r="N8" s="83">
        <f t="shared" si="0"/>
        <v>104337</v>
      </c>
      <c r="O8" s="83">
        <f t="shared" si="0"/>
        <v>103939</v>
      </c>
      <c r="P8" s="83">
        <f t="shared" si="0"/>
        <v>128745</v>
      </c>
      <c r="Q8" s="83">
        <f t="shared" si="0"/>
        <v>110170</v>
      </c>
      <c r="R8" s="83">
        <f t="shared" si="0"/>
        <v>1359942</v>
      </c>
      <c r="S8" s="83">
        <f t="shared" si="0"/>
        <v>0</v>
      </c>
    </row>
    <row r="9" spans="1:19" ht="15" customHeight="1" x14ac:dyDescent="0.2">
      <c r="C9" s="76" t="s">
        <v>16</v>
      </c>
      <c r="F9" s="84">
        <f t="shared" ref="F9:R9" si="1">F10+F14+F17</f>
        <v>96020</v>
      </c>
      <c r="G9" s="84">
        <f t="shared" si="1"/>
        <v>72987</v>
      </c>
      <c r="H9" s="84">
        <f t="shared" si="1"/>
        <v>96645</v>
      </c>
      <c r="I9" s="84">
        <f t="shared" si="1"/>
        <v>126782</v>
      </c>
      <c r="J9" s="84">
        <f t="shared" si="1"/>
        <v>111085</v>
      </c>
      <c r="K9" s="84">
        <f t="shared" si="1"/>
        <v>89921</v>
      </c>
      <c r="L9" s="84">
        <f t="shared" si="1"/>
        <v>96164</v>
      </c>
      <c r="M9" s="84">
        <f t="shared" si="1"/>
        <v>111108</v>
      </c>
      <c r="N9" s="84">
        <f t="shared" si="1"/>
        <v>90648</v>
      </c>
      <c r="O9" s="84">
        <f t="shared" si="1"/>
        <v>94365</v>
      </c>
      <c r="P9" s="84">
        <f t="shared" si="1"/>
        <v>119238</v>
      </c>
      <c r="Q9" s="84">
        <f t="shared" si="1"/>
        <v>97103</v>
      </c>
      <c r="R9" s="84">
        <f t="shared" si="1"/>
        <v>1202066</v>
      </c>
    </row>
    <row r="10" spans="1:19" ht="15" customHeight="1" x14ac:dyDescent="0.2">
      <c r="D10" s="76" t="s">
        <v>17</v>
      </c>
      <c r="F10" s="85">
        <v>74569</v>
      </c>
      <c r="G10" s="85">
        <v>53418</v>
      </c>
      <c r="H10" s="85">
        <v>71562</v>
      </c>
      <c r="I10" s="85">
        <v>103393</v>
      </c>
      <c r="J10" s="85">
        <v>88150</v>
      </c>
      <c r="K10" s="85">
        <v>66904</v>
      </c>
      <c r="L10" s="85">
        <v>73789</v>
      </c>
      <c r="M10" s="85">
        <v>87928</v>
      </c>
      <c r="N10" s="85">
        <v>66547</v>
      </c>
      <c r="O10" s="85">
        <v>70504</v>
      </c>
      <c r="P10" s="85">
        <v>92751</v>
      </c>
      <c r="Q10" s="85">
        <v>74631</v>
      </c>
      <c r="R10" s="85">
        <f>SUM(F10:Q10)</f>
        <v>924146</v>
      </c>
    </row>
    <row r="11" spans="1:19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" customHeight="1" x14ac:dyDescent="0.2">
      <c r="E12" s="76" t="s">
        <v>19</v>
      </c>
      <c r="F12" s="85">
        <v>1134</v>
      </c>
      <c r="G12" s="85">
        <v>589</v>
      </c>
      <c r="H12" s="85">
        <v>303</v>
      </c>
      <c r="I12" s="85">
        <v>819</v>
      </c>
      <c r="J12" s="85">
        <v>703</v>
      </c>
      <c r="K12" s="85">
        <v>312</v>
      </c>
      <c r="L12" s="85">
        <v>279</v>
      </c>
      <c r="M12" s="85">
        <v>1749</v>
      </c>
      <c r="N12" s="85">
        <v>343</v>
      </c>
      <c r="O12" s="85">
        <v>364</v>
      </c>
      <c r="P12" s="85">
        <v>642</v>
      </c>
      <c r="Q12" s="85">
        <v>465</v>
      </c>
      <c r="R12" s="85">
        <f>SUM(F12:Q12)</f>
        <v>7702</v>
      </c>
    </row>
    <row r="13" spans="1:19" ht="15" customHeight="1" x14ac:dyDescent="0.2">
      <c r="E13" s="76" t="s">
        <v>20</v>
      </c>
      <c r="F13" s="85">
        <v>3</v>
      </c>
      <c r="G13" s="85">
        <v>15</v>
      </c>
      <c r="H13" s="85">
        <v>7574</v>
      </c>
      <c r="I13" s="85">
        <v>657</v>
      </c>
      <c r="J13" s="85">
        <v>31</v>
      </c>
      <c r="K13" s="85">
        <v>602</v>
      </c>
      <c r="L13" s="85">
        <v>282</v>
      </c>
      <c r="M13" s="85">
        <v>159</v>
      </c>
      <c r="N13" s="85">
        <v>328</v>
      </c>
      <c r="O13" s="85">
        <v>2296</v>
      </c>
      <c r="P13" s="85">
        <v>1664</v>
      </c>
      <c r="Q13" s="85">
        <v>2812</v>
      </c>
      <c r="R13" s="85">
        <f>SUM(F13:Q13)</f>
        <v>16423</v>
      </c>
    </row>
    <row r="14" spans="1:19" ht="15" customHeight="1" x14ac:dyDescent="0.2">
      <c r="D14" s="76" t="s">
        <v>21</v>
      </c>
      <c r="F14" s="85">
        <v>20535</v>
      </c>
      <c r="G14" s="85">
        <v>18583</v>
      </c>
      <c r="H14" s="85">
        <v>23500</v>
      </c>
      <c r="I14" s="85">
        <v>22440</v>
      </c>
      <c r="J14" s="85">
        <v>21836</v>
      </c>
      <c r="K14" s="85">
        <v>21663</v>
      </c>
      <c r="L14" s="85">
        <v>21283</v>
      </c>
      <c r="M14" s="85">
        <v>22152</v>
      </c>
      <c r="N14" s="85">
        <v>22615</v>
      </c>
      <c r="O14" s="85">
        <v>22843</v>
      </c>
      <c r="P14" s="85">
        <v>25510</v>
      </c>
      <c r="Q14" s="85">
        <v>22148</v>
      </c>
      <c r="R14" s="85">
        <f>SUM(F14:Q14)</f>
        <v>265108</v>
      </c>
    </row>
    <row r="15" spans="1:19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" customHeight="1" x14ac:dyDescent="0.2">
      <c r="E16" s="76" t="s">
        <v>20</v>
      </c>
      <c r="F16" s="85">
        <v>0</v>
      </c>
      <c r="G16" s="85">
        <v>0</v>
      </c>
      <c r="H16" s="85">
        <v>473</v>
      </c>
      <c r="I16" s="85">
        <v>1052</v>
      </c>
      <c r="J16" s="85">
        <v>512</v>
      </c>
      <c r="K16" s="85">
        <v>0</v>
      </c>
      <c r="L16" s="85">
        <v>180</v>
      </c>
      <c r="M16" s="85">
        <v>1155</v>
      </c>
      <c r="N16" s="85">
        <v>207</v>
      </c>
      <c r="O16" s="85">
        <v>1096</v>
      </c>
      <c r="P16" s="85">
        <v>1873</v>
      </c>
      <c r="Q16" s="85">
        <v>2860</v>
      </c>
      <c r="R16" s="85">
        <f>SUM(F16:Q16)</f>
        <v>9408</v>
      </c>
    </row>
    <row r="17" spans="2:21" ht="15" customHeight="1" x14ac:dyDescent="0.2">
      <c r="D17" s="76" t="s">
        <v>106</v>
      </c>
      <c r="F17" s="85">
        <v>916</v>
      </c>
      <c r="G17" s="85">
        <v>986</v>
      </c>
      <c r="H17" s="85">
        <v>1583</v>
      </c>
      <c r="I17" s="85">
        <v>949</v>
      </c>
      <c r="J17" s="85">
        <v>1099</v>
      </c>
      <c r="K17" s="85">
        <v>1354</v>
      </c>
      <c r="L17" s="85">
        <v>1092</v>
      </c>
      <c r="M17" s="85">
        <v>1028</v>
      </c>
      <c r="N17" s="85">
        <v>1486</v>
      </c>
      <c r="O17" s="85">
        <v>1018</v>
      </c>
      <c r="P17" s="85">
        <v>977</v>
      </c>
      <c r="Q17" s="85">
        <v>324</v>
      </c>
      <c r="R17" s="85">
        <f>SUM(F17:Q17)</f>
        <v>12812</v>
      </c>
    </row>
    <row r="18" spans="2:21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5" customHeight="1" x14ac:dyDescent="0.2">
      <c r="C19" s="76" t="s">
        <v>23</v>
      </c>
      <c r="F19" s="84">
        <f t="shared" ref="F19:R19" si="2">SUM(F20:F24)</f>
        <v>39890</v>
      </c>
      <c r="G19" s="84">
        <f t="shared" si="2"/>
        <v>7028</v>
      </c>
      <c r="H19" s="84">
        <f t="shared" si="2"/>
        <v>10507</v>
      </c>
      <c r="I19" s="84">
        <f t="shared" si="2"/>
        <v>11551</v>
      </c>
      <c r="J19" s="84">
        <f t="shared" si="2"/>
        <v>9003</v>
      </c>
      <c r="K19" s="84">
        <f t="shared" si="2"/>
        <v>10218</v>
      </c>
      <c r="L19" s="84">
        <f t="shared" si="2"/>
        <v>10769</v>
      </c>
      <c r="M19" s="84">
        <f t="shared" si="2"/>
        <v>13029</v>
      </c>
      <c r="N19" s="84">
        <f t="shared" si="2"/>
        <v>13683</v>
      </c>
      <c r="O19" s="84">
        <f t="shared" si="2"/>
        <v>9573.0000000000018</v>
      </c>
      <c r="P19" s="84">
        <f t="shared" si="2"/>
        <v>9506</v>
      </c>
      <c r="Q19" s="84">
        <f t="shared" si="2"/>
        <v>12864</v>
      </c>
      <c r="R19" s="84">
        <f t="shared" si="2"/>
        <v>157621</v>
      </c>
    </row>
    <row r="20" spans="2:21" ht="15" customHeight="1" x14ac:dyDescent="0.2">
      <c r="D20" s="76" t="s">
        <v>24</v>
      </c>
      <c r="F20" s="85">
        <v>30981</v>
      </c>
      <c r="G20" s="85">
        <v>2621</v>
      </c>
      <c r="H20" s="85">
        <v>4529</v>
      </c>
      <c r="I20" s="85">
        <v>6247</v>
      </c>
      <c r="J20" s="85">
        <v>4046</v>
      </c>
      <c r="K20" s="85">
        <v>2350</v>
      </c>
      <c r="L20" s="85">
        <v>5814</v>
      </c>
      <c r="M20" s="85">
        <v>4504</v>
      </c>
      <c r="N20" s="85">
        <v>5779</v>
      </c>
      <c r="O20" s="85">
        <v>2623</v>
      </c>
      <c r="P20" s="85">
        <v>2725</v>
      </c>
      <c r="Q20" s="85">
        <v>3336</v>
      </c>
      <c r="R20" s="85">
        <f>SUM(F20:Q20)</f>
        <v>75555</v>
      </c>
    </row>
    <row r="21" spans="2:21" ht="15" customHeight="1" x14ac:dyDescent="0.2">
      <c r="D21" s="76" t="s">
        <v>26</v>
      </c>
      <c r="F21" s="85">
        <v>585</v>
      </c>
      <c r="G21" s="85">
        <v>16</v>
      </c>
      <c r="H21" s="85">
        <v>69</v>
      </c>
      <c r="I21" s="85">
        <v>5</v>
      </c>
      <c r="J21" s="85">
        <v>2</v>
      </c>
      <c r="K21" s="85">
        <v>5</v>
      </c>
      <c r="L21" s="85">
        <v>0</v>
      </c>
      <c r="M21" s="85">
        <v>21</v>
      </c>
      <c r="N21" s="85">
        <v>22</v>
      </c>
      <c r="O21" s="85">
        <v>5</v>
      </c>
      <c r="P21" s="85">
        <v>0</v>
      </c>
      <c r="Q21" s="85">
        <v>200</v>
      </c>
      <c r="R21" s="85">
        <f>SUM(F21:Q21)</f>
        <v>930</v>
      </c>
      <c r="T21" s="85"/>
    </row>
    <row r="22" spans="2:21" ht="15" customHeight="1" x14ac:dyDescent="0.2">
      <c r="D22" s="76" t="s">
        <v>27</v>
      </c>
      <c r="E22" s="86"/>
      <c r="F22" s="85">
        <v>3327.681</v>
      </c>
      <c r="G22" s="85">
        <v>843.62099999999998</v>
      </c>
      <c r="H22" s="85">
        <v>1796.125</v>
      </c>
      <c r="I22" s="85">
        <v>2891.2860000000001</v>
      </c>
      <c r="J22" s="85">
        <v>2160.7669999999998</v>
      </c>
      <c r="K22" s="85">
        <v>2489.2779999999998</v>
      </c>
      <c r="L22" s="85">
        <v>830.83500000000004</v>
      </c>
      <c r="M22" s="85">
        <v>2737.4650000000001</v>
      </c>
      <c r="N22" s="85">
        <v>3060.5650000000001</v>
      </c>
      <c r="O22" s="85">
        <v>3066.3249999999998</v>
      </c>
      <c r="P22" s="85">
        <v>3072.252</v>
      </c>
      <c r="Q22" s="85">
        <v>2092.777</v>
      </c>
      <c r="R22" s="85">
        <f>SUM(F22:Q22)</f>
        <v>28368.976999999999</v>
      </c>
      <c r="T22" s="85"/>
    </row>
    <row r="23" spans="2:21" ht="15" customHeight="1" x14ac:dyDescent="0.2">
      <c r="D23" s="76" t="s">
        <v>113</v>
      </c>
      <c r="F23" s="85">
        <v>2053</v>
      </c>
      <c r="G23" s="85">
        <v>2224</v>
      </c>
      <c r="H23" s="85">
        <v>2656</v>
      </c>
      <c r="I23" s="85">
        <v>1675</v>
      </c>
      <c r="J23" s="85">
        <v>1825</v>
      </c>
      <c r="K23" s="85">
        <v>1840</v>
      </c>
      <c r="L23" s="85">
        <v>2108</v>
      </c>
      <c r="M23" s="85">
        <v>2431</v>
      </c>
      <c r="N23" s="85">
        <v>1896</v>
      </c>
      <c r="O23" s="85">
        <v>3790</v>
      </c>
      <c r="P23" s="85">
        <v>1818</v>
      </c>
      <c r="Q23" s="85">
        <v>1732</v>
      </c>
      <c r="R23" s="85">
        <f>SUM(F23:Q23)</f>
        <v>26048</v>
      </c>
    </row>
    <row r="24" spans="2:21" ht="15" customHeight="1" x14ac:dyDescent="0.2">
      <c r="D24" s="76" t="s">
        <v>106</v>
      </c>
      <c r="F24" s="85">
        <v>2943.319</v>
      </c>
      <c r="G24" s="85">
        <v>1323.3789999999999</v>
      </c>
      <c r="H24" s="85">
        <v>1456.875</v>
      </c>
      <c r="I24" s="85">
        <v>732.71400000000006</v>
      </c>
      <c r="J24" s="85">
        <v>969.23299999999995</v>
      </c>
      <c r="K24" s="85">
        <v>3533.7220000000002</v>
      </c>
      <c r="L24" s="85">
        <v>2016.165</v>
      </c>
      <c r="M24" s="85">
        <v>3335.5349999999999</v>
      </c>
      <c r="N24" s="85">
        <v>2925.4349999999999</v>
      </c>
      <c r="O24" s="85">
        <v>88.675000000000196</v>
      </c>
      <c r="P24" s="85">
        <v>1890.748</v>
      </c>
      <c r="Q24" s="85">
        <v>5503.223</v>
      </c>
      <c r="R24" s="85">
        <f>SUM(F24:Q24)</f>
        <v>26719.023000000001</v>
      </c>
    </row>
    <row r="25" spans="2:21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5" customHeight="1" x14ac:dyDescent="0.2">
      <c r="C26" s="76" t="s">
        <v>29</v>
      </c>
      <c r="F26" s="85">
        <v>1</v>
      </c>
      <c r="G26" s="85">
        <v>0</v>
      </c>
      <c r="H26" s="85">
        <v>0</v>
      </c>
      <c r="I26" s="85">
        <v>2</v>
      </c>
      <c r="J26" s="85">
        <v>0</v>
      </c>
      <c r="K26" s="85">
        <v>0</v>
      </c>
      <c r="L26" s="85">
        <v>30</v>
      </c>
      <c r="M26" s="85">
        <v>11</v>
      </c>
      <c r="N26" s="85">
        <v>6</v>
      </c>
      <c r="O26" s="85">
        <v>1</v>
      </c>
      <c r="P26" s="85">
        <v>1</v>
      </c>
      <c r="Q26" s="85">
        <v>203</v>
      </c>
      <c r="R26" s="85">
        <v>255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5">
      <c r="B28" s="82" t="s">
        <v>30</v>
      </c>
      <c r="C28" s="82"/>
      <c r="D28" s="82"/>
      <c r="E28" s="82"/>
      <c r="F28" s="83">
        <f t="shared" ref="F28:S28" si="3">SUM(F30:F36)</f>
        <v>122487</v>
      </c>
      <c r="G28" s="83">
        <f t="shared" si="3"/>
        <v>101505</v>
      </c>
      <c r="H28" s="83">
        <f t="shared" si="3"/>
        <v>125283</v>
      </c>
      <c r="I28" s="83">
        <f t="shared" si="3"/>
        <v>112077</v>
      </c>
      <c r="J28" s="83">
        <f t="shared" si="3"/>
        <v>129689</v>
      </c>
      <c r="K28" s="83">
        <f t="shared" si="3"/>
        <v>107830</v>
      </c>
      <c r="L28" s="83">
        <f t="shared" si="3"/>
        <v>133445</v>
      </c>
      <c r="M28" s="83">
        <f t="shared" si="3"/>
        <v>114928</v>
      </c>
      <c r="N28" s="83">
        <f t="shared" si="3"/>
        <v>122838</v>
      </c>
      <c r="O28" s="83">
        <f t="shared" si="3"/>
        <v>125196</v>
      </c>
      <c r="P28" s="83">
        <f t="shared" si="3"/>
        <v>150748</v>
      </c>
      <c r="Q28" s="83">
        <f t="shared" si="3"/>
        <v>211670</v>
      </c>
      <c r="R28" s="83">
        <f t="shared" si="3"/>
        <v>1557696</v>
      </c>
      <c r="S28" s="83">
        <f t="shared" si="3"/>
        <v>0</v>
      </c>
      <c r="T28" s="85"/>
    </row>
    <row r="29" spans="2:21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5" customHeight="1" x14ac:dyDescent="0.2">
      <c r="D30" s="76" t="s">
        <v>31</v>
      </c>
      <c r="F30" s="85">
        <v>25409</v>
      </c>
      <c r="G30" s="85">
        <v>26340</v>
      </c>
      <c r="H30" s="85">
        <v>24627</v>
      </c>
      <c r="I30" s="85">
        <v>24450</v>
      </c>
      <c r="J30" s="85">
        <v>28499</v>
      </c>
      <c r="K30" s="85">
        <v>25869</v>
      </c>
      <c r="L30" s="85">
        <v>25563</v>
      </c>
      <c r="M30" s="85">
        <v>24994</v>
      </c>
      <c r="N30" s="85">
        <v>24314</v>
      </c>
      <c r="O30" s="85">
        <v>25628</v>
      </c>
      <c r="P30" s="85">
        <v>26106</v>
      </c>
      <c r="Q30" s="85">
        <v>33315</v>
      </c>
      <c r="R30" s="85">
        <f t="shared" ref="R30:R36" si="4">SUM(F30:Q30)</f>
        <v>315114</v>
      </c>
    </row>
    <row r="31" spans="2:21" ht="15" customHeight="1" x14ac:dyDescent="0.2">
      <c r="D31" s="76" t="s">
        <v>32</v>
      </c>
      <c r="F31" s="85">
        <v>35837</v>
      </c>
      <c r="G31" s="85">
        <v>22151</v>
      </c>
      <c r="H31" s="85">
        <v>32732</v>
      </c>
      <c r="I31" s="85">
        <v>11432</v>
      </c>
      <c r="J31" s="85">
        <v>15645</v>
      </c>
      <c r="K31" s="85">
        <v>16705</v>
      </c>
      <c r="L31" s="85">
        <v>41199</v>
      </c>
      <c r="M31" s="85">
        <v>20906</v>
      </c>
      <c r="N31" s="85">
        <v>25835</v>
      </c>
      <c r="O31" s="85">
        <v>12657</v>
      </c>
      <c r="P31" s="85">
        <v>16408</v>
      </c>
      <c r="Q31" s="85">
        <v>27489</v>
      </c>
      <c r="R31" s="85">
        <f t="shared" si="4"/>
        <v>278996</v>
      </c>
    </row>
    <row r="32" spans="2:21" ht="15" customHeight="1" x14ac:dyDescent="0.2">
      <c r="D32" s="76" t="s">
        <v>33</v>
      </c>
      <c r="F32" s="85">
        <v>1137</v>
      </c>
      <c r="G32" s="85">
        <v>604</v>
      </c>
      <c r="H32" s="85">
        <v>8350</v>
      </c>
      <c r="I32" s="85">
        <v>2528</v>
      </c>
      <c r="J32" s="85">
        <v>1246</v>
      </c>
      <c r="K32" s="85">
        <v>914</v>
      </c>
      <c r="L32" s="85">
        <v>741</v>
      </c>
      <c r="M32" s="85">
        <v>3063</v>
      </c>
      <c r="N32" s="85">
        <v>878</v>
      </c>
      <c r="O32" s="85">
        <v>3756</v>
      </c>
      <c r="P32" s="85">
        <v>4179</v>
      </c>
      <c r="Q32" s="85">
        <v>6137</v>
      </c>
      <c r="R32" s="85">
        <f t="shared" si="4"/>
        <v>33533</v>
      </c>
    </row>
    <row r="33" spans="2:20" ht="15" customHeight="1" x14ac:dyDescent="0.2">
      <c r="D33" s="76" t="s">
        <v>78</v>
      </c>
      <c r="F33" s="85">
        <v>1123</v>
      </c>
      <c r="G33" s="85">
        <v>3193</v>
      </c>
      <c r="H33" s="85">
        <v>2757</v>
      </c>
      <c r="I33" s="85">
        <v>110</v>
      </c>
      <c r="J33" s="85">
        <v>5491</v>
      </c>
      <c r="K33" s="85">
        <v>1488</v>
      </c>
      <c r="L33" s="85">
        <v>1103</v>
      </c>
      <c r="M33" s="85">
        <v>2137</v>
      </c>
      <c r="N33" s="85">
        <v>1708</v>
      </c>
      <c r="O33" s="85">
        <v>12630</v>
      </c>
      <c r="P33" s="85">
        <v>13469</v>
      </c>
      <c r="Q33" s="85">
        <v>8496</v>
      </c>
      <c r="R33" s="85">
        <f t="shared" si="4"/>
        <v>53705</v>
      </c>
    </row>
    <row r="34" spans="2:20" ht="15" customHeight="1" x14ac:dyDescent="0.2">
      <c r="D34" s="76" t="s">
        <v>35</v>
      </c>
      <c r="F34" s="85">
        <v>0</v>
      </c>
      <c r="G34" s="85">
        <v>0</v>
      </c>
      <c r="H34" s="85">
        <v>0</v>
      </c>
      <c r="I34" s="85">
        <v>116</v>
      </c>
      <c r="J34" s="85">
        <v>0</v>
      </c>
      <c r="K34" s="85">
        <v>0</v>
      </c>
      <c r="L34" s="85">
        <v>188</v>
      </c>
      <c r="M34" s="85">
        <v>0</v>
      </c>
      <c r="N34" s="85">
        <v>0</v>
      </c>
      <c r="O34" s="85">
        <v>11028</v>
      </c>
      <c r="P34" s="85">
        <v>1046</v>
      </c>
      <c r="Q34" s="85">
        <v>511</v>
      </c>
      <c r="R34" s="85">
        <f t="shared" si="4"/>
        <v>12889</v>
      </c>
    </row>
    <row r="35" spans="2:20" ht="15" customHeight="1" x14ac:dyDescent="0.2">
      <c r="D35" s="76" t="s">
        <v>79</v>
      </c>
      <c r="F35" s="85">
        <v>663</v>
      </c>
      <c r="G35" s="85">
        <v>318</v>
      </c>
      <c r="H35" s="85">
        <v>1441</v>
      </c>
      <c r="I35" s="85">
        <v>3664</v>
      </c>
      <c r="J35" s="85">
        <v>4106</v>
      </c>
      <c r="K35" s="85">
        <v>2168</v>
      </c>
      <c r="L35" s="85">
        <v>915</v>
      </c>
      <c r="M35" s="85">
        <v>282</v>
      </c>
      <c r="N35" s="85">
        <v>1644</v>
      </c>
      <c r="O35" s="85">
        <v>1093</v>
      </c>
      <c r="P35" s="85">
        <v>705</v>
      </c>
      <c r="Q35" s="85">
        <v>1056</v>
      </c>
      <c r="R35" s="85">
        <f t="shared" si="4"/>
        <v>18055</v>
      </c>
    </row>
    <row r="36" spans="2:20" ht="15" customHeight="1" x14ac:dyDescent="0.2">
      <c r="D36" s="6" t="s">
        <v>80</v>
      </c>
      <c r="F36" s="85">
        <v>58318</v>
      </c>
      <c r="G36" s="85">
        <v>48899</v>
      </c>
      <c r="H36" s="85">
        <v>55376</v>
      </c>
      <c r="I36" s="85">
        <v>69777</v>
      </c>
      <c r="J36" s="85">
        <v>74702</v>
      </c>
      <c r="K36" s="85">
        <v>60686</v>
      </c>
      <c r="L36" s="85">
        <v>63736</v>
      </c>
      <c r="M36" s="85">
        <v>63546</v>
      </c>
      <c r="N36" s="85">
        <v>68459</v>
      </c>
      <c r="O36" s="85">
        <v>58404</v>
      </c>
      <c r="P36" s="85">
        <v>88835</v>
      </c>
      <c r="Q36" s="85">
        <v>134666</v>
      </c>
      <c r="R36" s="85">
        <f t="shared" si="4"/>
        <v>845404</v>
      </c>
      <c r="T36" s="85"/>
    </row>
    <row r="37" spans="2:20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</row>
    <row r="38" spans="2:20" ht="15" customHeight="1" x14ac:dyDescent="0.25">
      <c r="B38" s="82" t="s">
        <v>38</v>
      </c>
      <c r="C38" s="82"/>
      <c r="D38" s="82"/>
      <c r="E38" s="82"/>
      <c r="F38" s="88">
        <f t="shared" ref="F38:Q38" si="5">+F8-F28</f>
        <v>13424</v>
      </c>
      <c r="G38" s="88">
        <f t="shared" si="5"/>
        <v>-21490</v>
      </c>
      <c r="H38" s="88">
        <f t="shared" si="5"/>
        <v>-18131</v>
      </c>
      <c r="I38" s="88">
        <f t="shared" si="5"/>
        <v>26258</v>
      </c>
      <c r="J38" s="88">
        <f t="shared" si="5"/>
        <v>-9601</v>
      </c>
      <c r="K38" s="88">
        <f t="shared" si="5"/>
        <v>-7691</v>
      </c>
      <c r="L38" s="88">
        <f t="shared" si="5"/>
        <v>-26482</v>
      </c>
      <c r="M38" s="88">
        <f t="shared" si="5"/>
        <v>9220</v>
      </c>
      <c r="N38" s="88">
        <f t="shared" si="5"/>
        <v>-18501</v>
      </c>
      <c r="O38" s="88">
        <f t="shared" si="5"/>
        <v>-21257</v>
      </c>
      <c r="P38" s="88">
        <f t="shared" si="5"/>
        <v>-22003</v>
      </c>
      <c r="Q38" s="88">
        <f t="shared" si="5"/>
        <v>-101500</v>
      </c>
      <c r="R38" s="88">
        <f>SUM(F38:Q38)</f>
        <v>-197754</v>
      </c>
    </row>
    <row r="39" spans="2:20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20" ht="15" customHeight="1" x14ac:dyDescent="0.25">
      <c r="B40" s="82" t="s">
        <v>39</v>
      </c>
      <c r="C40" s="82"/>
      <c r="D40" s="82"/>
      <c r="E40" s="82"/>
      <c r="F40" s="83">
        <v>23934</v>
      </c>
      <c r="G40" s="83">
        <v>-71790</v>
      </c>
      <c r="H40" s="83">
        <v>154063</v>
      </c>
      <c r="I40" s="83">
        <v>37397</v>
      </c>
      <c r="J40" s="83">
        <v>47665</v>
      </c>
      <c r="K40" s="83">
        <v>20280</v>
      </c>
      <c r="L40" s="83">
        <v>10974</v>
      </c>
      <c r="M40" s="83">
        <v>26208</v>
      </c>
      <c r="N40" s="83">
        <v>33686</v>
      </c>
      <c r="O40" s="83">
        <v>97341</v>
      </c>
      <c r="P40" s="83">
        <v>9960</v>
      </c>
      <c r="Q40" s="83">
        <v>24178</v>
      </c>
      <c r="R40" s="83">
        <v>413896</v>
      </c>
    </row>
    <row r="41" spans="2:20" ht="15" customHeight="1" x14ac:dyDescent="0.2">
      <c r="C41" s="76" t="s">
        <v>40</v>
      </c>
      <c r="F41" s="84">
        <v>54449</v>
      </c>
      <c r="G41" s="84">
        <v>-61362</v>
      </c>
      <c r="H41" s="84">
        <v>61279</v>
      </c>
      <c r="I41" s="84">
        <v>658</v>
      </c>
      <c r="J41" s="84">
        <v>-3178</v>
      </c>
      <c r="K41" s="84">
        <v>-3262</v>
      </c>
      <c r="L41" s="84">
        <v>2494</v>
      </c>
      <c r="M41" s="84">
        <v>5139</v>
      </c>
      <c r="N41" s="84">
        <v>4133</v>
      </c>
      <c r="O41" s="84">
        <v>1158</v>
      </c>
      <c r="P41" s="84">
        <v>-4545</v>
      </c>
      <c r="Q41" s="84">
        <v>-5803</v>
      </c>
      <c r="R41" s="84">
        <v>51160</v>
      </c>
    </row>
    <row r="42" spans="2:20" ht="15" customHeight="1" x14ac:dyDescent="0.2">
      <c r="D42" s="76" t="s">
        <v>41</v>
      </c>
      <c r="F42" s="85">
        <v>55765</v>
      </c>
      <c r="G42" s="85">
        <v>1828</v>
      </c>
      <c r="H42" s="85">
        <v>67583</v>
      </c>
      <c r="I42" s="85">
        <v>3129</v>
      </c>
      <c r="J42" s="85">
        <v>2489</v>
      </c>
      <c r="K42" s="85">
        <v>3156</v>
      </c>
      <c r="L42" s="85">
        <v>3742</v>
      </c>
      <c r="M42" s="85">
        <v>13057</v>
      </c>
      <c r="N42" s="85">
        <v>10729</v>
      </c>
      <c r="O42" s="85">
        <v>5612</v>
      </c>
      <c r="P42" s="85">
        <v>1670</v>
      </c>
      <c r="Q42" s="85">
        <v>27204</v>
      </c>
      <c r="R42" s="85">
        <v>195964</v>
      </c>
    </row>
    <row r="43" spans="2:20" ht="15" customHeight="1" x14ac:dyDescent="0.2">
      <c r="D43" s="76" t="s">
        <v>98</v>
      </c>
      <c r="F43" s="85">
        <v>1316</v>
      </c>
      <c r="G43" s="85">
        <v>63190</v>
      </c>
      <c r="H43" s="85">
        <v>6304</v>
      </c>
      <c r="I43" s="85">
        <v>2471</v>
      </c>
      <c r="J43" s="85">
        <v>5667</v>
      </c>
      <c r="K43" s="85">
        <v>6418</v>
      </c>
      <c r="L43" s="85">
        <v>1248</v>
      </c>
      <c r="M43" s="85">
        <v>7918</v>
      </c>
      <c r="N43" s="85">
        <v>6596</v>
      </c>
      <c r="O43" s="85">
        <v>4454</v>
      </c>
      <c r="P43" s="85">
        <v>6215</v>
      </c>
      <c r="Q43" s="85">
        <v>33007</v>
      </c>
      <c r="R43" s="85">
        <v>144804</v>
      </c>
    </row>
    <row r="44" spans="2:20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20" ht="15" customHeight="1" x14ac:dyDescent="0.2">
      <c r="C45" s="76" t="s">
        <v>43</v>
      </c>
      <c r="F45" s="84">
        <v>-30515</v>
      </c>
      <c r="G45" s="84">
        <v>-10428</v>
      </c>
      <c r="H45" s="84">
        <v>92784</v>
      </c>
      <c r="I45" s="84">
        <v>36739</v>
      </c>
      <c r="J45" s="84">
        <v>50843</v>
      </c>
      <c r="K45" s="84">
        <v>23542</v>
      </c>
      <c r="L45" s="84">
        <v>8480</v>
      </c>
      <c r="M45" s="84">
        <v>21069</v>
      </c>
      <c r="N45" s="84">
        <v>29553</v>
      </c>
      <c r="O45" s="84">
        <v>96183</v>
      </c>
      <c r="P45" s="84">
        <v>14505</v>
      </c>
      <c r="Q45" s="84">
        <v>29981</v>
      </c>
      <c r="R45" s="84">
        <v>362736</v>
      </c>
    </row>
    <row r="46" spans="2:20" ht="15" customHeight="1" x14ac:dyDescent="0.2">
      <c r="D46" s="76" t="s">
        <v>44</v>
      </c>
      <c r="F46" s="85">
        <v>-30515</v>
      </c>
      <c r="G46" s="85">
        <v>-10428</v>
      </c>
      <c r="H46" s="85">
        <v>93099</v>
      </c>
      <c r="I46" s="85">
        <v>36949</v>
      </c>
      <c r="J46" s="85">
        <v>50981</v>
      </c>
      <c r="K46" s="85">
        <v>23542</v>
      </c>
      <c r="L46" s="85">
        <v>300953</v>
      </c>
      <c r="M46" s="85">
        <v>21069</v>
      </c>
      <c r="N46" s="85">
        <v>30141</v>
      </c>
      <c r="O46" s="85">
        <v>96183</v>
      </c>
      <c r="P46" s="85">
        <v>14842</v>
      </c>
      <c r="Q46" s="85">
        <v>30355</v>
      </c>
      <c r="R46" s="85">
        <v>657171</v>
      </c>
    </row>
    <row r="47" spans="2:20" ht="15" customHeight="1" x14ac:dyDescent="0.2">
      <c r="D47" s="76" t="s">
        <v>45</v>
      </c>
      <c r="F47" s="85">
        <v>0</v>
      </c>
      <c r="G47" s="85">
        <v>0</v>
      </c>
      <c r="H47" s="85">
        <v>315</v>
      </c>
      <c r="I47" s="85">
        <v>210</v>
      </c>
      <c r="J47" s="85">
        <v>138</v>
      </c>
      <c r="K47" s="85">
        <v>0</v>
      </c>
      <c r="L47" s="85">
        <v>292473</v>
      </c>
      <c r="M47" s="85">
        <v>0</v>
      </c>
      <c r="N47" s="85">
        <v>588</v>
      </c>
      <c r="O47" s="85">
        <v>0</v>
      </c>
      <c r="P47" s="85">
        <v>337</v>
      </c>
      <c r="Q47" s="85">
        <v>374</v>
      </c>
      <c r="R47" s="85">
        <v>294435</v>
      </c>
    </row>
    <row r="48" spans="2:20" ht="15" customHeight="1" x14ac:dyDescent="0.2">
      <c r="E48" s="6" t="s">
        <v>68</v>
      </c>
      <c r="F48" s="85">
        <v>12933</v>
      </c>
      <c r="G48" s="85">
        <v>0</v>
      </c>
      <c r="H48" s="85">
        <v>90920</v>
      </c>
      <c r="I48" s="85">
        <v>18091</v>
      </c>
      <c r="J48" s="85">
        <v>3136</v>
      </c>
      <c r="K48" s="85">
        <v>1415</v>
      </c>
      <c r="L48" s="85">
        <v>300744</v>
      </c>
      <c r="M48" s="85">
        <v>23351</v>
      </c>
      <c r="N48" s="85">
        <v>6931</v>
      </c>
      <c r="O48" s="85">
        <v>41425</v>
      </c>
      <c r="P48" s="85">
        <v>337</v>
      </c>
      <c r="Q48" s="85">
        <v>7486</v>
      </c>
      <c r="R48" s="85">
        <v>506769</v>
      </c>
    </row>
    <row r="49" spans="1:18" ht="15" customHeight="1" x14ac:dyDescent="0.2">
      <c r="E49" s="22" t="s">
        <v>81</v>
      </c>
      <c r="F49" s="85">
        <v>12933</v>
      </c>
      <c r="G49" s="85">
        <v>0</v>
      </c>
      <c r="H49" s="85">
        <v>90605</v>
      </c>
      <c r="I49" s="85">
        <v>17881</v>
      </c>
      <c r="J49" s="85">
        <v>2998</v>
      </c>
      <c r="K49" s="85">
        <v>1415</v>
      </c>
      <c r="L49" s="85">
        <v>8271</v>
      </c>
      <c r="M49" s="85">
        <v>23351</v>
      </c>
      <c r="N49" s="85">
        <v>6343</v>
      </c>
      <c r="O49" s="85">
        <v>41425</v>
      </c>
      <c r="P49" s="85">
        <v>0</v>
      </c>
      <c r="Q49" s="85">
        <v>7112</v>
      </c>
      <c r="R49" s="85">
        <v>212334</v>
      </c>
    </row>
    <row r="50" spans="1:18" ht="15" customHeight="1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 ht="15" customHeight="1" x14ac:dyDescent="0.25">
      <c r="B51" s="82" t="s">
        <v>47</v>
      </c>
      <c r="C51" s="82"/>
      <c r="D51" s="82"/>
      <c r="E51" s="82"/>
      <c r="F51" s="83">
        <v>78836</v>
      </c>
      <c r="G51" s="83">
        <v>-79379</v>
      </c>
      <c r="H51" s="83">
        <v>78119</v>
      </c>
      <c r="I51" s="83">
        <v>43974</v>
      </c>
      <c r="J51" s="83">
        <v>181584</v>
      </c>
      <c r="K51" s="83">
        <v>16019</v>
      </c>
      <c r="L51" s="83">
        <v>-148369</v>
      </c>
      <c r="M51" s="83">
        <v>-192547</v>
      </c>
      <c r="N51" s="83">
        <v>33663</v>
      </c>
      <c r="O51" s="83">
        <v>-103437</v>
      </c>
      <c r="P51" s="83">
        <v>-39372</v>
      </c>
      <c r="Q51" s="83">
        <v>51244</v>
      </c>
      <c r="R51" s="83">
        <v>-79665</v>
      </c>
    </row>
    <row r="52" spans="1:18" x14ac:dyDescent="0.2">
      <c r="F52" s="85"/>
      <c r="G52" s="85"/>
      <c r="H52" s="85"/>
      <c r="I52" s="85"/>
    </row>
    <row r="53" spans="1:18" x14ac:dyDescent="0.2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</row>
    <row r="54" spans="1:18" x14ac:dyDescent="0.2">
      <c r="B54" s="79" t="s">
        <v>48</v>
      </c>
    </row>
    <row r="55" spans="1:18" ht="14.25" customHeight="1" x14ac:dyDescent="0.2">
      <c r="B55" s="79"/>
      <c r="C55" s="189" t="s">
        <v>111</v>
      </c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</row>
    <row r="56" spans="1:18" ht="15.75" customHeight="1" x14ac:dyDescent="0.2">
      <c r="B56" s="7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</row>
    <row r="59" spans="1:18" x14ac:dyDescent="0.2">
      <c r="B59" s="86" t="s">
        <v>52</v>
      </c>
    </row>
    <row r="60" spans="1:18" x14ac:dyDescent="0.2">
      <c r="B60" s="86" t="s">
        <v>107</v>
      </c>
    </row>
  </sheetData>
  <mergeCells count="3">
    <mergeCell ref="A4:E4"/>
    <mergeCell ref="A6:E6"/>
    <mergeCell ref="C55:Q56"/>
  </mergeCells>
  <printOptions horizontalCentered="1"/>
  <pageMargins left="0" right="0" top="0.905555555555556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MJ59"/>
  <sheetViews>
    <sheetView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28" style="76" customWidth="1"/>
    <col min="6" max="6" width="9.140625" style="76"/>
    <col min="7" max="7" width="9.85546875" style="76" customWidth="1"/>
    <col min="8" max="17" width="9.140625" style="76"/>
    <col min="18" max="18" width="10.85546875" style="76" customWidth="1"/>
    <col min="19" max="19" width="0.7109375" style="76" customWidth="1"/>
    <col min="20" max="1024" width="9.140625" style="76"/>
  </cols>
  <sheetData>
    <row r="1" spans="1:19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115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186" t="s">
        <v>96</v>
      </c>
      <c r="B4" s="186"/>
      <c r="C4" s="186"/>
      <c r="D4" s="186"/>
      <c r="E4" s="186"/>
    </row>
    <row r="5" spans="1:19" ht="7.5" customHeight="1" x14ac:dyDescent="0.2">
      <c r="B5" s="78"/>
    </row>
    <row r="6" spans="1:19" ht="6" customHeight="1" x14ac:dyDescent="0.2"/>
    <row r="7" spans="1:19" ht="21.75" customHeight="1" x14ac:dyDescent="0.2">
      <c r="A7" s="188" t="s">
        <v>3</v>
      </c>
      <c r="B7" s="188"/>
      <c r="C7" s="188"/>
      <c r="D7" s="188"/>
      <c r="E7" s="188"/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65</v>
      </c>
      <c r="O7" s="2" t="s">
        <v>13</v>
      </c>
      <c r="P7" s="2" t="s">
        <v>56</v>
      </c>
      <c r="Q7" s="2" t="s">
        <v>57</v>
      </c>
      <c r="R7" s="2" t="s">
        <v>14</v>
      </c>
      <c r="S7" s="101"/>
    </row>
    <row r="8" spans="1:19" s="93" customFormat="1" ht="15" customHeight="1" x14ac:dyDescent="0.2"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</row>
    <row r="9" spans="1:19" ht="15" customHeight="1" x14ac:dyDescent="0.25">
      <c r="B9" s="82" t="s">
        <v>15</v>
      </c>
      <c r="C9" s="82"/>
      <c r="D9" s="82"/>
      <c r="E9" s="82"/>
      <c r="F9" s="83">
        <f t="shared" ref="F9:R9" si="0">F10+F20+F27</f>
        <v>92265</v>
      </c>
      <c r="G9" s="83">
        <f t="shared" si="0"/>
        <v>76699</v>
      </c>
      <c r="H9" s="83">
        <f t="shared" si="0"/>
        <v>96860</v>
      </c>
      <c r="I9" s="83">
        <f t="shared" si="0"/>
        <v>124468</v>
      </c>
      <c r="J9" s="83">
        <f t="shared" si="0"/>
        <v>109717</v>
      </c>
      <c r="K9" s="83">
        <f t="shared" si="0"/>
        <v>92095</v>
      </c>
      <c r="L9" s="83">
        <f t="shared" si="0"/>
        <v>102908</v>
      </c>
      <c r="M9" s="83">
        <f t="shared" si="0"/>
        <v>107806</v>
      </c>
      <c r="N9" s="83">
        <f t="shared" si="0"/>
        <v>91898</v>
      </c>
      <c r="O9" s="83">
        <f t="shared" si="0"/>
        <v>98503</v>
      </c>
      <c r="P9" s="83">
        <f t="shared" si="0"/>
        <v>111535</v>
      </c>
      <c r="Q9" s="83">
        <f t="shared" si="0"/>
        <v>103172</v>
      </c>
      <c r="R9" s="83">
        <f t="shared" si="0"/>
        <v>1207926</v>
      </c>
    </row>
    <row r="10" spans="1:19" ht="15" customHeight="1" x14ac:dyDescent="0.2">
      <c r="C10" s="76" t="s">
        <v>16</v>
      </c>
      <c r="F10" s="84">
        <f t="shared" ref="F10:R10" si="1">F11+F15+F18</f>
        <v>82953</v>
      </c>
      <c r="G10" s="84">
        <f t="shared" si="1"/>
        <v>70209</v>
      </c>
      <c r="H10" s="84">
        <f t="shared" si="1"/>
        <v>84227</v>
      </c>
      <c r="I10" s="84">
        <f t="shared" si="1"/>
        <v>114850</v>
      </c>
      <c r="J10" s="84">
        <f t="shared" si="1"/>
        <v>104080</v>
      </c>
      <c r="K10" s="84">
        <f t="shared" si="1"/>
        <v>83942</v>
      </c>
      <c r="L10" s="84">
        <f t="shared" si="1"/>
        <v>87139</v>
      </c>
      <c r="M10" s="84">
        <f t="shared" si="1"/>
        <v>98164</v>
      </c>
      <c r="N10" s="84">
        <f t="shared" si="1"/>
        <v>82224</v>
      </c>
      <c r="O10" s="84">
        <f t="shared" si="1"/>
        <v>87076</v>
      </c>
      <c r="P10" s="84">
        <f t="shared" si="1"/>
        <v>103413</v>
      </c>
      <c r="Q10" s="84">
        <f t="shared" si="1"/>
        <v>95366</v>
      </c>
      <c r="R10" s="84">
        <f t="shared" si="1"/>
        <v>1093643</v>
      </c>
    </row>
    <row r="11" spans="1:19" ht="15" customHeight="1" x14ac:dyDescent="0.2">
      <c r="D11" s="76" t="s">
        <v>17</v>
      </c>
      <c r="F11" s="85">
        <v>64606</v>
      </c>
      <c r="G11" s="85">
        <v>50975</v>
      </c>
      <c r="H11" s="85">
        <v>58311</v>
      </c>
      <c r="I11" s="85">
        <v>91162</v>
      </c>
      <c r="J11" s="85">
        <v>79049</v>
      </c>
      <c r="K11" s="85">
        <v>59366</v>
      </c>
      <c r="L11" s="85">
        <v>63813</v>
      </c>
      <c r="M11" s="85">
        <v>79090</v>
      </c>
      <c r="N11" s="85">
        <v>60958</v>
      </c>
      <c r="O11" s="85">
        <v>63565</v>
      </c>
      <c r="P11" s="85">
        <v>82430</v>
      </c>
      <c r="Q11" s="85">
        <v>69298</v>
      </c>
      <c r="R11" s="85">
        <f>SUM(F11:Q11)</f>
        <v>822623</v>
      </c>
    </row>
    <row r="12" spans="1:19" ht="15" customHeight="1" x14ac:dyDescent="0.2">
      <c r="E12" s="86" t="s">
        <v>18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</row>
    <row r="13" spans="1:19" ht="15" customHeight="1" x14ac:dyDescent="0.2">
      <c r="E13" s="76" t="s">
        <v>19</v>
      </c>
      <c r="F13" s="85">
        <v>0</v>
      </c>
      <c r="G13" s="85">
        <v>270</v>
      </c>
      <c r="H13" s="85">
        <v>730</v>
      </c>
      <c r="I13" s="85">
        <v>1117</v>
      </c>
      <c r="J13" s="85">
        <v>1452</v>
      </c>
      <c r="K13" s="85">
        <v>348</v>
      </c>
      <c r="L13" s="85">
        <v>274</v>
      </c>
      <c r="M13" s="85">
        <v>288</v>
      </c>
      <c r="N13" s="85">
        <v>907</v>
      </c>
      <c r="O13" s="85">
        <v>538</v>
      </c>
      <c r="P13" s="85">
        <v>1107</v>
      </c>
      <c r="Q13" s="85">
        <v>239</v>
      </c>
      <c r="R13" s="85">
        <f>SUM(F13:Q13)</f>
        <v>7270</v>
      </c>
    </row>
    <row r="14" spans="1:19" ht="15" customHeight="1" x14ac:dyDescent="0.2">
      <c r="E14" s="76" t="s">
        <v>20</v>
      </c>
      <c r="F14" s="85">
        <v>0</v>
      </c>
      <c r="G14" s="85">
        <v>0</v>
      </c>
      <c r="H14" s="85">
        <v>0</v>
      </c>
      <c r="I14" s="85">
        <v>0</v>
      </c>
      <c r="J14" s="85">
        <v>113</v>
      </c>
      <c r="K14" s="85">
        <v>1459</v>
      </c>
      <c r="L14" s="85">
        <v>1139</v>
      </c>
      <c r="M14" s="85">
        <v>93</v>
      </c>
      <c r="N14" s="85">
        <v>244</v>
      </c>
      <c r="O14" s="85">
        <v>1778</v>
      </c>
      <c r="P14" s="85">
        <v>306</v>
      </c>
      <c r="Q14" s="85">
        <v>2825</v>
      </c>
      <c r="R14" s="85">
        <f>SUM(F14:Q14)</f>
        <v>7957</v>
      </c>
    </row>
    <row r="15" spans="1:19" ht="15" customHeight="1" x14ac:dyDescent="0.2">
      <c r="D15" s="76" t="s">
        <v>21</v>
      </c>
      <c r="F15" s="85">
        <v>17605</v>
      </c>
      <c r="G15" s="85">
        <v>18076</v>
      </c>
      <c r="H15" s="85">
        <v>24900</v>
      </c>
      <c r="I15" s="85">
        <v>22773</v>
      </c>
      <c r="J15" s="85">
        <v>24119</v>
      </c>
      <c r="K15" s="85">
        <v>23249</v>
      </c>
      <c r="L15" s="85">
        <v>22238</v>
      </c>
      <c r="M15" s="85">
        <v>17762</v>
      </c>
      <c r="N15" s="85">
        <v>20232</v>
      </c>
      <c r="O15" s="85">
        <v>22577</v>
      </c>
      <c r="P15" s="85">
        <v>19969</v>
      </c>
      <c r="Q15" s="85">
        <v>25741</v>
      </c>
      <c r="R15" s="85">
        <f>SUM(F15:Q15)</f>
        <v>259241</v>
      </c>
    </row>
    <row r="16" spans="1:19" ht="15" customHeight="1" x14ac:dyDescent="0.2">
      <c r="E16" s="86" t="s">
        <v>18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2:21" ht="15" customHeight="1" x14ac:dyDescent="0.2">
      <c r="E17" s="76" t="s">
        <v>20</v>
      </c>
      <c r="F17" s="85">
        <v>1</v>
      </c>
      <c r="G17" s="85">
        <v>29</v>
      </c>
      <c r="H17" s="85">
        <v>5845</v>
      </c>
      <c r="I17" s="85">
        <v>3866</v>
      </c>
      <c r="J17" s="85">
        <v>5576</v>
      </c>
      <c r="K17" s="85">
        <v>4234</v>
      </c>
      <c r="L17" s="85">
        <v>418</v>
      </c>
      <c r="M17" s="85">
        <v>22</v>
      </c>
      <c r="N17" s="85">
        <v>751</v>
      </c>
      <c r="O17" s="85">
        <v>4586</v>
      </c>
      <c r="P17" s="85">
        <v>825</v>
      </c>
      <c r="Q17" s="85">
        <v>5583</v>
      </c>
      <c r="R17" s="85">
        <f>SUM(F17:Q17)</f>
        <v>31736</v>
      </c>
    </row>
    <row r="18" spans="2:21" ht="15" customHeight="1" x14ac:dyDescent="0.2">
      <c r="D18" s="76" t="s">
        <v>106</v>
      </c>
      <c r="F18" s="85">
        <v>742</v>
      </c>
      <c r="G18" s="85">
        <v>1158</v>
      </c>
      <c r="H18" s="85">
        <v>1016</v>
      </c>
      <c r="I18" s="85">
        <v>915</v>
      </c>
      <c r="J18" s="85">
        <v>912</v>
      </c>
      <c r="K18" s="85">
        <v>1327</v>
      </c>
      <c r="L18" s="85">
        <v>1088</v>
      </c>
      <c r="M18" s="85">
        <v>1312</v>
      </c>
      <c r="N18" s="85">
        <v>1034</v>
      </c>
      <c r="O18" s="85">
        <v>934</v>
      </c>
      <c r="P18" s="85">
        <v>1014</v>
      </c>
      <c r="Q18" s="85">
        <v>327</v>
      </c>
      <c r="R18" s="85">
        <f>SUM(F18:Q18)</f>
        <v>11779</v>
      </c>
    </row>
    <row r="19" spans="2:21" ht="15" customHeight="1" x14ac:dyDescent="0.2"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U19" s="76" t="s">
        <v>58</v>
      </c>
    </row>
    <row r="20" spans="2:21" ht="15" customHeight="1" x14ac:dyDescent="0.2">
      <c r="C20" s="76" t="s">
        <v>23</v>
      </c>
      <c r="F20" s="84">
        <f t="shared" ref="F20:R20" si="2">SUM(F21:F25)</f>
        <v>9312</v>
      </c>
      <c r="G20" s="84">
        <f t="shared" si="2"/>
        <v>6345</v>
      </c>
      <c r="H20" s="84">
        <f t="shared" si="2"/>
        <v>12593</v>
      </c>
      <c r="I20" s="84">
        <f t="shared" si="2"/>
        <v>9595</v>
      </c>
      <c r="J20" s="84">
        <f t="shared" si="2"/>
        <v>5570</v>
      </c>
      <c r="K20" s="84">
        <f t="shared" si="2"/>
        <v>8063</v>
      </c>
      <c r="L20" s="84">
        <f t="shared" si="2"/>
        <v>15764</v>
      </c>
      <c r="M20" s="84">
        <f t="shared" si="2"/>
        <v>9642</v>
      </c>
      <c r="N20" s="84">
        <f t="shared" si="2"/>
        <v>9673</v>
      </c>
      <c r="O20" s="84">
        <f t="shared" si="2"/>
        <v>11425</v>
      </c>
      <c r="P20" s="84">
        <f t="shared" si="2"/>
        <v>8122</v>
      </c>
      <c r="Q20" s="84">
        <f t="shared" si="2"/>
        <v>7773</v>
      </c>
      <c r="R20" s="84">
        <f t="shared" si="2"/>
        <v>113877</v>
      </c>
    </row>
    <row r="21" spans="2:21" ht="15" customHeight="1" x14ac:dyDescent="0.2">
      <c r="D21" s="76" t="s">
        <v>24</v>
      </c>
      <c r="F21" s="85">
        <v>5068</v>
      </c>
      <c r="G21" s="85">
        <v>2977</v>
      </c>
      <c r="H21" s="85">
        <v>5777</v>
      </c>
      <c r="I21" s="85">
        <v>5149</v>
      </c>
      <c r="J21" s="85">
        <v>2639</v>
      </c>
      <c r="K21" s="85">
        <v>3495</v>
      </c>
      <c r="L21" s="85">
        <v>9614</v>
      </c>
      <c r="M21" s="85">
        <v>4369</v>
      </c>
      <c r="N21" s="85">
        <v>4357</v>
      </c>
      <c r="O21" s="85">
        <v>4179</v>
      </c>
      <c r="P21" s="85">
        <v>2845</v>
      </c>
      <c r="Q21" s="85">
        <v>3846</v>
      </c>
      <c r="R21" s="85">
        <f>SUM(F21:Q21)</f>
        <v>54315</v>
      </c>
    </row>
    <row r="22" spans="2:21" ht="15" customHeight="1" x14ac:dyDescent="0.2">
      <c r="D22" s="76" t="s">
        <v>26</v>
      </c>
      <c r="F22" s="85">
        <v>0</v>
      </c>
      <c r="G22" s="85">
        <v>0</v>
      </c>
      <c r="H22" s="85">
        <v>0</v>
      </c>
      <c r="I22" s="85">
        <v>95</v>
      </c>
      <c r="J22" s="85">
        <v>0</v>
      </c>
      <c r="K22" s="85">
        <v>51</v>
      </c>
      <c r="L22" s="85">
        <v>105</v>
      </c>
      <c r="M22" s="85">
        <v>176</v>
      </c>
      <c r="N22" s="85">
        <v>14</v>
      </c>
      <c r="O22" s="85">
        <v>111</v>
      </c>
      <c r="P22" s="85">
        <v>0</v>
      </c>
      <c r="Q22" s="85">
        <v>362</v>
      </c>
      <c r="R22" s="85">
        <f>SUM(F22:Q22)</f>
        <v>914</v>
      </c>
      <c r="T22" s="85"/>
    </row>
    <row r="23" spans="2:21" ht="15" customHeight="1" x14ac:dyDescent="0.2">
      <c r="D23" s="76" t="s">
        <v>27</v>
      </c>
      <c r="E23" s="86"/>
      <c r="F23" s="85">
        <v>1207.0250000000001</v>
      </c>
      <c r="G23" s="85">
        <v>4.851</v>
      </c>
      <c r="H23" s="85">
        <v>3196.6579999999999</v>
      </c>
      <c r="I23" s="85">
        <v>1101.0999999999999</v>
      </c>
      <c r="J23" s="85">
        <v>0</v>
      </c>
      <c r="K23" s="85">
        <v>1817.0440000000001</v>
      </c>
      <c r="L23" s="85">
        <v>2504.4690000000001</v>
      </c>
      <c r="M23" s="85">
        <v>1971.6389999999999</v>
      </c>
      <c r="N23" s="85">
        <v>1548.325</v>
      </c>
      <c r="O23" s="85">
        <v>1981.5260000000001</v>
      </c>
      <c r="P23" s="85">
        <v>2425.4929999999999</v>
      </c>
      <c r="Q23" s="85">
        <v>-473.51900000000001</v>
      </c>
      <c r="R23" s="85">
        <f>SUM(F23:Q23)</f>
        <v>17284.611000000001</v>
      </c>
      <c r="T23" s="85"/>
    </row>
    <row r="24" spans="2:21" ht="15" customHeight="1" x14ac:dyDescent="0.2">
      <c r="D24" s="76" t="s">
        <v>113</v>
      </c>
      <c r="F24" s="85">
        <v>1766</v>
      </c>
      <c r="G24" s="85">
        <v>2304</v>
      </c>
      <c r="H24" s="85">
        <v>1631</v>
      </c>
      <c r="I24" s="85">
        <v>1634</v>
      </c>
      <c r="J24" s="85">
        <v>1563</v>
      </c>
      <c r="K24" s="85">
        <v>1579</v>
      </c>
      <c r="L24" s="85">
        <v>1905</v>
      </c>
      <c r="M24" s="85">
        <v>1687</v>
      </c>
      <c r="N24" s="85">
        <v>1746</v>
      </c>
      <c r="O24" s="85">
        <v>3794</v>
      </c>
      <c r="P24" s="85">
        <v>1535</v>
      </c>
      <c r="Q24" s="85">
        <v>1676</v>
      </c>
      <c r="R24" s="85">
        <f>SUM(F24:Q24)</f>
        <v>22820</v>
      </c>
    </row>
    <row r="25" spans="2:21" ht="15" customHeight="1" x14ac:dyDescent="0.2">
      <c r="D25" s="76" t="s">
        <v>106</v>
      </c>
      <c r="F25" s="85">
        <f>4244-F23-F24</f>
        <v>1270.9749999999999</v>
      </c>
      <c r="G25" s="85">
        <f>3368-G23-G24</f>
        <v>1059.1489999999999</v>
      </c>
      <c r="H25" s="85">
        <f>6816-H23-H24</f>
        <v>1988.3420000000001</v>
      </c>
      <c r="I25" s="85">
        <f>4351-I23-I24</f>
        <v>1615.9</v>
      </c>
      <c r="J25" s="85">
        <f>2931-J23-J24</f>
        <v>1368</v>
      </c>
      <c r="K25" s="85">
        <f>4517-K23-K24</f>
        <v>1120.9560000000001</v>
      </c>
      <c r="L25" s="85">
        <f>6045-L23-L24</f>
        <v>1635.5309999999999</v>
      </c>
      <c r="M25" s="85">
        <f>5097-M23-M24</f>
        <v>1438.3609999999999</v>
      </c>
      <c r="N25" s="85">
        <f>5302-N23-N24</f>
        <v>2007.6750000000002</v>
      </c>
      <c r="O25" s="85">
        <f>7135-O23-O24</f>
        <v>1359.4740000000002</v>
      </c>
      <c r="P25" s="85">
        <f>5277-P23-P24</f>
        <v>1316.5070000000001</v>
      </c>
      <c r="Q25" s="85">
        <f>3565-Q23-Q24</f>
        <v>2362.5190000000002</v>
      </c>
      <c r="R25" s="85">
        <f>SUM(F25:Q25)</f>
        <v>18543.388999999999</v>
      </c>
    </row>
    <row r="26" spans="2:21" ht="15" customHeight="1" x14ac:dyDescent="0.2"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</row>
    <row r="27" spans="2:21" ht="15" customHeight="1" x14ac:dyDescent="0.2">
      <c r="C27" s="76" t="s">
        <v>29</v>
      </c>
      <c r="F27" s="85">
        <v>0</v>
      </c>
      <c r="G27" s="85">
        <v>145</v>
      </c>
      <c r="H27" s="85">
        <v>40</v>
      </c>
      <c r="I27" s="85">
        <v>23</v>
      </c>
      <c r="J27" s="85">
        <v>67</v>
      </c>
      <c r="K27" s="85">
        <v>90</v>
      </c>
      <c r="L27" s="85">
        <v>5</v>
      </c>
      <c r="M27" s="85">
        <v>0</v>
      </c>
      <c r="N27" s="85">
        <v>1</v>
      </c>
      <c r="O27" s="85">
        <v>2</v>
      </c>
      <c r="P27" s="85">
        <v>0</v>
      </c>
      <c r="Q27" s="85">
        <v>33</v>
      </c>
      <c r="R27" s="85">
        <f>SUM(F27:Q27)</f>
        <v>406</v>
      </c>
    </row>
    <row r="28" spans="2:21" ht="15" customHeight="1" x14ac:dyDescent="0.2"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</row>
    <row r="29" spans="2:21" ht="15" customHeight="1" x14ac:dyDescent="0.25">
      <c r="B29" s="82" t="s">
        <v>30</v>
      </c>
      <c r="C29" s="82"/>
      <c r="D29" s="82"/>
      <c r="E29" s="82"/>
      <c r="F29" s="83">
        <f t="shared" ref="F29:R29" si="3">SUM(F31:F37)</f>
        <v>129390</v>
      </c>
      <c r="G29" s="83">
        <f t="shared" si="3"/>
        <v>109887</v>
      </c>
      <c r="H29" s="83">
        <f t="shared" si="3"/>
        <v>160726</v>
      </c>
      <c r="I29" s="83">
        <f t="shared" si="3"/>
        <v>121869</v>
      </c>
      <c r="J29" s="83">
        <f t="shared" si="3"/>
        <v>140244</v>
      </c>
      <c r="K29" s="83">
        <f t="shared" si="3"/>
        <v>126717</v>
      </c>
      <c r="L29" s="83">
        <f t="shared" si="3"/>
        <v>135602</v>
      </c>
      <c r="M29" s="83">
        <f t="shared" si="3"/>
        <v>106487</v>
      </c>
      <c r="N29" s="83">
        <f t="shared" si="3"/>
        <v>123582</v>
      </c>
      <c r="O29" s="83">
        <f t="shared" si="3"/>
        <v>109017</v>
      </c>
      <c r="P29" s="83">
        <f t="shared" si="3"/>
        <v>111053</v>
      </c>
      <c r="Q29" s="83">
        <f t="shared" si="3"/>
        <v>147810</v>
      </c>
      <c r="R29" s="83">
        <f t="shared" si="3"/>
        <v>1522384</v>
      </c>
      <c r="T29" s="85"/>
    </row>
    <row r="30" spans="2:21" ht="15" customHeight="1" x14ac:dyDescent="0.2"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</row>
    <row r="31" spans="2:21" ht="15" customHeight="1" x14ac:dyDescent="0.2">
      <c r="D31" s="76" t="s">
        <v>31</v>
      </c>
      <c r="F31" s="85">
        <v>22521</v>
      </c>
      <c r="G31" s="85">
        <v>22193</v>
      </c>
      <c r="H31" s="85">
        <v>25724</v>
      </c>
      <c r="I31" s="85">
        <v>22088</v>
      </c>
      <c r="J31" s="85">
        <v>26413</v>
      </c>
      <c r="K31" s="85">
        <v>25891</v>
      </c>
      <c r="L31" s="85">
        <v>23144</v>
      </c>
      <c r="M31" s="85">
        <v>22149</v>
      </c>
      <c r="N31" s="85">
        <v>22343</v>
      </c>
      <c r="O31" s="85">
        <v>22297</v>
      </c>
      <c r="P31" s="85">
        <v>22443</v>
      </c>
      <c r="Q31" s="85">
        <v>22346</v>
      </c>
      <c r="R31" s="85">
        <f t="shared" ref="R31:R37" si="4">SUM(F31:Q31)</f>
        <v>279552</v>
      </c>
    </row>
    <row r="32" spans="2:21" ht="15" customHeight="1" x14ac:dyDescent="0.2">
      <c r="D32" s="76" t="s">
        <v>32</v>
      </c>
      <c r="F32" s="85">
        <v>37602</v>
      </c>
      <c r="G32" s="85">
        <v>31399</v>
      </c>
      <c r="H32" s="85">
        <v>39897</v>
      </c>
      <c r="I32" s="85">
        <v>15654</v>
      </c>
      <c r="J32" s="85">
        <v>11817</v>
      </c>
      <c r="K32" s="85">
        <v>10333</v>
      </c>
      <c r="L32" s="85">
        <v>42760</v>
      </c>
      <c r="M32" s="85">
        <v>23264</v>
      </c>
      <c r="N32" s="85">
        <v>31823</v>
      </c>
      <c r="O32" s="85">
        <v>13985</v>
      </c>
      <c r="P32" s="85">
        <v>16441</v>
      </c>
      <c r="Q32" s="85">
        <v>19269</v>
      </c>
      <c r="R32" s="85">
        <f t="shared" si="4"/>
        <v>294244</v>
      </c>
    </row>
    <row r="33" spans="2:18" ht="15" customHeight="1" x14ac:dyDescent="0.2">
      <c r="D33" s="76" t="s">
        <v>33</v>
      </c>
      <c r="F33" s="85">
        <v>1</v>
      </c>
      <c r="G33" s="85">
        <v>299</v>
      </c>
      <c r="H33" s="85">
        <v>6575</v>
      </c>
      <c r="I33" s="85">
        <v>4983</v>
      </c>
      <c r="J33" s="85">
        <v>7141</v>
      </c>
      <c r="K33" s="85">
        <v>6041</v>
      </c>
      <c r="L33" s="85">
        <v>1831</v>
      </c>
      <c r="M33" s="85">
        <v>403</v>
      </c>
      <c r="N33" s="85">
        <v>1902</v>
      </c>
      <c r="O33" s="85">
        <v>6902</v>
      </c>
      <c r="P33" s="85">
        <v>2238</v>
      </c>
      <c r="Q33" s="85">
        <v>8647</v>
      </c>
      <c r="R33" s="85">
        <f t="shared" si="4"/>
        <v>46963</v>
      </c>
    </row>
    <row r="34" spans="2:18" ht="15" customHeight="1" x14ac:dyDescent="0.2">
      <c r="D34" s="76" t="s">
        <v>78</v>
      </c>
      <c r="F34" s="85">
        <v>800</v>
      </c>
      <c r="G34" s="85">
        <v>34</v>
      </c>
      <c r="H34" s="85">
        <v>2490</v>
      </c>
      <c r="I34" s="85">
        <v>1110</v>
      </c>
      <c r="J34" s="85">
        <v>2846</v>
      </c>
      <c r="K34" s="85">
        <v>183</v>
      </c>
      <c r="L34" s="85">
        <v>1803</v>
      </c>
      <c r="M34" s="85">
        <v>86</v>
      </c>
      <c r="N34" s="85">
        <v>319</v>
      </c>
      <c r="O34" s="85">
        <v>6282</v>
      </c>
      <c r="P34" s="85">
        <v>367</v>
      </c>
      <c r="Q34" s="85">
        <v>4685</v>
      </c>
      <c r="R34" s="85">
        <f t="shared" si="4"/>
        <v>21005</v>
      </c>
    </row>
    <row r="35" spans="2:18" ht="15" customHeight="1" x14ac:dyDescent="0.2">
      <c r="D35" s="76" t="s">
        <v>35</v>
      </c>
      <c r="F35" s="85">
        <v>0</v>
      </c>
      <c r="G35" s="85">
        <v>0</v>
      </c>
      <c r="H35" s="85">
        <v>449</v>
      </c>
      <c r="I35" s="85">
        <v>0</v>
      </c>
      <c r="J35" s="85">
        <v>20</v>
      </c>
      <c r="K35" s="85">
        <v>357</v>
      </c>
      <c r="L35" s="85">
        <v>70</v>
      </c>
      <c r="M35" s="85">
        <v>1</v>
      </c>
      <c r="N35" s="85">
        <v>1</v>
      </c>
      <c r="O35" s="85">
        <v>1</v>
      </c>
      <c r="P35" s="85">
        <v>281</v>
      </c>
      <c r="Q35" s="85">
        <v>969</v>
      </c>
      <c r="R35" s="85">
        <f t="shared" si="4"/>
        <v>2149</v>
      </c>
    </row>
    <row r="36" spans="2:18" ht="15" customHeight="1" x14ac:dyDescent="0.2">
      <c r="D36" s="76" t="s">
        <v>79</v>
      </c>
      <c r="F36" s="85">
        <v>401</v>
      </c>
      <c r="G36" s="85">
        <v>840</v>
      </c>
      <c r="H36" s="85">
        <v>1447</v>
      </c>
      <c r="I36" s="85">
        <v>610</v>
      </c>
      <c r="J36" s="85">
        <v>375</v>
      </c>
      <c r="K36" s="85">
        <v>786</v>
      </c>
      <c r="L36" s="85">
        <v>428</v>
      </c>
      <c r="M36" s="85">
        <v>310</v>
      </c>
      <c r="N36" s="85">
        <v>1334</v>
      </c>
      <c r="O36" s="85">
        <v>962</v>
      </c>
      <c r="P36" s="85">
        <v>699</v>
      </c>
      <c r="Q36" s="85">
        <v>1066</v>
      </c>
      <c r="R36" s="85">
        <f t="shared" si="4"/>
        <v>9258</v>
      </c>
    </row>
    <row r="37" spans="2:18" ht="15" customHeight="1" x14ac:dyDescent="0.2">
      <c r="D37" s="6" t="s">
        <v>80</v>
      </c>
      <c r="F37" s="85">
        <v>68065</v>
      </c>
      <c r="G37" s="85">
        <v>55122</v>
      </c>
      <c r="H37" s="85">
        <v>84144</v>
      </c>
      <c r="I37" s="85">
        <v>77424</v>
      </c>
      <c r="J37" s="85">
        <v>91632</v>
      </c>
      <c r="K37" s="85">
        <v>83126</v>
      </c>
      <c r="L37" s="85">
        <v>65566</v>
      </c>
      <c r="M37" s="85">
        <v>60274</v>
      </c>
      <c r="N37" s="85">
        <v>65860</v>
      </c>
      <c r="O37" s="85">
        <v>58588</v>
      </c>
      <c r="P37" s="85">
        <v>68584</v>
      </c>
      <c r="Q37" s="85">
        <v>90828</v>
      </c>
      <c r="R37" s="85">
        <f t="shared" si="4"/>
        <v>869213</v>
      </c>
    </row>
    <row r="38" spans="2:18" ht="15" customHeight="1" x14ac:dyDescent="0.2"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</row>
    <row r="39" spans="2:18" ht="15" customHeight="1" x14ac:dyDescent="0.25">
      <c r="B39" s="82" t="s">
        <v>38</v>
      </c>
      <c r="C39" s="82"/>
      <c r="D39" s="82"/>
      <c r="E39" s="82"/>
      <c r="F39" s="88">
        <f t="shared" ref="F39:Q39" si="5">F9-F29</f>
        <v>-37125</v>
      </c>
      <c r="G39" s="88">
        <f t="shared" si="5"/>
        <v>-33188</v>
      </c>
      <c r="H39" s="88">
        <f t="shared" si="5"/>
        <v>-63866</v>
      </c>
      <c r="I39" s="88">
        <f t="shared" si="5"/>
        <v>2599</v>
      </c>
      <c r="J39" s="88">
        <f t="shared" si="5"/>
        <v>-30527</v>
      </c>
      <c r="K39" s="88">
        <f t="shared" si="5"/>
        <v>-34622</v>
      </c>
      <c r="L39" s="88">
        <f t="shared" si="5"/>
        <v>-32694</v>
      </c>
      <c r="M39" s="88">
        <f t="shared" si="5"/>
        <v>1319</v>
      </c>
      <c r="N39" s="88">
        <f t="shared" si="5"/>
        <v>-31684</v>
      </c>
      <c r="O39" s="88">
        <f t="shared" si="5"/>
        <v>-10514</v>
      </c>
      <c r="P39" s="88">
        <f t="shared" si="5"/>
        <v>482</v>
      </c>
      <c r="Q39" s="88">
        <f t="shared" si="5"/>
        <v>-44638</v>
      </c>
      <c r="R39" s="88">
        <f>SUM(F39:Q39)</f>
        <v>-314458</v>
      </c>
    </row>
    <row r="40" spans="2:18" ht="15" customHeight="1" x14ac:dyDescent="0.2"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</row>
    <row r="41" spans="2:18" ht="15" customHeight="1" x14ac:dyDescent="0.25">
      <c r="B41" s="82" t="s">
        <v>39</v>
      </c>
      <c r="C41" s="82"/>
      <c r="D41" s="82"/>
      <c r="E41" s="82"/>
      <c r="F41" s="83">
        <v>-10751</v>
      </c>
      <c r="G41" s="83">
        <v>-58608</v>
      </c>
      <c r="H41" s="83">
        <v>123777</v>
      </c>
      <c r="I41" s="83">
        <v>27887</v>
      </c>
      <c r="J41" s="83">
        <v>41790</v>
      </c>
      <c r="K41" s="83">
        <v>17420</v>
      </c>
      <c r="L41" s="83">
        <v>34388</v>
      </c>
      <c r="M41" s="83">
        <v>98899</v>
      </c>
      <c r="N41" s="83">
        <v>34705</v>
      </c>
      <c r="O41" s="83">
        <v>17300</v>
      </c>
      <c r="P41" s="83">
        <v>9707</v>
      </c>
      <c r="Q41" s="83">
        <v>15132</v>
      </c>
      <c r="R41" s="83">
        <v>351646</v>
      </c>
    </row>
    <row r="42" spans="2:18" ht="15" customHeight="1" x14ac:dyDescent="0.2">
      <c r="C42" s="76" t="s">
        <v>40</v>
      </c>
      <c r="F42" s="84">
        <v>70658</v>
      </c>
      <c r="G42" s="84">
        <v>-47614</v>
      </c>
      <c r="H42" s="84">
        <v>31854</v>
      </c>
      <c r="I42" s="84">
        <v>1334</v>
      </c>
      <c r="J42" s="84">
        <v>4865</v>
      </c>
      <c r="K42" s="84">
        <v>-3157</v>
      </c>
      <c r="L42" s="84">
        <v>357</v>
      </c>
      <c r="M42" s="84">
        <v>-3982</v>
      </c>
      <c r="N42" s="84">
        <v>48861</v>
      </c>
      <c r="O42" s="84">
        <v>27402</v>
      </c>
      <c r="P42" s="84">
        <v>-4264</v>
      </c>
      <c r="Q42" s="84">
        <v>6734</v>
      </c>
      <c r="R42" s="84">
        <v>133048</v>
      </c>
    </row>
    <row r="43" spans="2:18" ht="15" customHeight="1" x14ac:dyDescent="0.2">
      <c r="D43" s="76" t="s">
        <v>41</v>
      </c>
      <c r="F43" s="85">
        <v>72955</v>
      </c>
      <c r="G43" s="85">
        <v>380</v>
      </c>
      <c r="H43" s="85">
        <v>64642</v>
      </c>
      <c r="I43" s="85">
        <v>2693</v>
      </c>
      <c r="J43" s="85">
        <v>9760</v>
      </c>
      <c r="K43" s="85">
        <v>2550</v>
      </c>
      <c r="L43" s="85">
        <v>1793</v>
      </c>
      <c r="M43" s="85">
        <v>3334</v>
      </c>
      <c r="N43" s="85">
        <v>55731</v>
      </c>
      <c r="O43" s="85">
        <v>30131</v>
      </c>
      <c r="P43" s="85">
        <v>285</v>
      </c>
      <c r="Q43" s="85">
        <v>13103</v>
      </c>
      <c r="R43" s="85">
        <v>257357</v>
      </c>
    </row>
    <row r="44" spans="2:18" ht="15" customHeight="1" x14ac:dyDescent="0.2">
      <c r="D44" s="76" t="s">
        <v>98</v>
      </c>
      <c r="F44" s="85">
        <v>2297</v>
      </c>
      <c r="G44" s="85">
        <v>47994</v>
      </c>
      <c r="H44" s="85">
        <v>32788</v>
      </c>
      <c r="I44" s="85">
        <v>1359</v>
      </c>
      <c r="J44" s="85">
        <v>4895</v>
      </c>
      <c r="K44" s="85">
        <v>5707</v>
      </c>
      <c r="L44" s="85">
        <v>1436</v>
      </c>
      <c r="M44" s="85">
        <v>7316</v>
      </c>
      <c r="N44" s="85">
        <v>6870</v>
      </c>
      <c r="O44" s="85">
        <v>2729</v>
      </c>
      <c r="P44" s="85">
        <v>4549</v>
      </c>
      <c r="Q44" s="85">
        <v>6369</v>
      </c>
      <c r="R44" s="85">
        <v>124309</v>
      </c>
    </row>
    <row r="45" spans="2:18" ht="15" customHeight="1" x14ac:dyDescent="0.2"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</row>
    <row r="46" spans="2:18" ht="15" customHeight="1" x14ac:dyDescent="0.2">
      <c r="C46" s="76" t="s">
        <v>43</v>
      </c>
      <c r="F46" s="84">
        <v>-81409</v>
      </c>
      <c r="G46" s="84">
        <v>-10994</v>
      </c>
      <c r="H46" s="84">
        <v>91923</v>
      </c>
      <c r="I46" s="84">
        <v>26553</v>
      </c>
      <c r="J46" s="84">
        <v>36925</v>
      </c>
      <c r="K46" s="84">
        <v>20577</v>
      </c>
      <c r="L46" s="84">
        <v>34031</v>
      </c>
      <c r="M46" s="84">
        <v>102881</v>
      </c>
      <c r="N46" s="84">
        <v>-14156</v>
      </c>
      <c r="O46" s="84">
        <v>-10102</v>
      </c>
      <c r="P46" s="84">
        <v>13971</v>
      </c>
      <c r="Q46" s="84">
        <v>8398</v>
      </c>
      <c r="R46" s="84">
        <v>218598</v>
      </c>
    </row>
    <row r="47" spans="2:18" ht="15" customHeight="1" x14ac:dyDescent="0.2">
      <c r="D47" s="76" t="s">
        <v>44</v>
      </c>
      <c r="F47" s="85">
        <v>-27200</v>
      </c>
      <c r="G47" s="85">
        <v>37096</v>
      </c>
      <c r="H47" s="85">
        <v>136987</v>
      </c>
      <c r="I47" s="85">
        <v>35307</v>
      </c>
      <c r="J47" s="85">
        <v>44370</v>
      </c>
      <c r="K47" s="85">
        <v>21415</v>
      </c>
      <c r="L47" s="85">
        <v>37193</v>
      </c>
      <c r="M47" s="85">
        <v>141389</v>
      </c>
      <c r="N47" s="85">
        <v>31844</v>
      </c>
      <c r="O47" s="85">
        <v>-668</v>
      </c>
      <c r="P47" s="85">
        <v>19927</v>
      </c>
      <c r="Q47" s="85">
        <v>12184</v>
      </c>
      <c r="R47" s="85">
        <v>489844</v>
      </c>
    </row>
    <row r="48" spans="2:18" ht="15" customHeight="1" x14ac:dyDescent="0.2">
      <c r="D48" s="76" t="s">
        <v>98</v>
      </c>
      <c r="F48" s="85">
        <v>54209</v>
      </c>
      <c r="G48" s="85">
        <v>48090</v>
      </c>
      <c r="H48" s="85">
        <v>45064</v>
      </c>
      <c r="I48" s="85">
        <v>8754</v>
      </c>
      <c r="J48" s="85">
        <v>7445</v>
      </c>
      <c r="K48" s="85">
        <v>838</v>
      </c>
      <c r="L48" s="85">
        <v>3162</v>
      </c>
      <c r="M48" s="85">
        <v>38508</v>
      </c>
      <c r="N48" s="85">
        <v>46000</v>
      </c>
      <c r="O48" s="85">
        <v>9434</v>
      </c>
      <c r="P48" s="85">
        <v>5956</v>
      </c>
      <c r="Q48" s="85">
        <v>3786</v>
      </c>
      <c r="R48" s="85">
        <v>271246</v>
      </c>
    </row>
    <row r="49" spans="1:18" ht="15" customHeight="1" x14ac:dyDescent="0.2"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</row>
    <row r="50" spans="1:18" ht="15" customHeight="1" x14ac:dyDescent="0.25">
      <c r="B50" s="82" t="s">
        <v>47</v>
      </c>
      <c r="C50" s="82"/>
      <c r="D50" s="82"/>
      <c r="E50" s="82"/>
      <c r="F50" s="83">
        <v>44608</v>
      </c>
      <c r="G50" s="83">
        <v>-106554</v>
      </c>
      <c r="H50" s="83">
        <v>13533</v>
      </c>
      <c r="I50" s="83">
        <v>21642</v>
      </c>
      <c r="J50" s="83">
        <v>-4878</v>
      </c>
      <c r="K50" s="83">
        <v>-1313</v>
      </c>
      <c r="L50" s="83">
        <v>42579</v>
      </c>
      <c r="M50" s="83">
        <v>66291</v>
      </c>
      <c r="N50" s="83">
        <v>-7280</v>
      </c>
      <c r="O50" s="83">
        <v>16567</v>
      </c>
      <c r="P50" s="83">
        <v>-2644</v>
      </c>
      <c r="Q50" s="83">
        <v>-45385</v>
      </c>
      <c r="R50" s="83">
        <v>37166</v>
      </c>
    </row>
    <row r="51" spans="1:18" x14ac:dyDescent="0.2">
      <c r="F51" s="85"/>
      <c r="G51" s="85"/>
      <c r="H51" s="85"/>
      <c r="I51" s="85"/>
    </row>
    <row r="52" spans="1:18" x14ac:dyDescent="0.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</row>
    <row r="53" spans="1:18" x14ac:dyDescent="0.2">
      <c r="B53" s="79" t="s">
        <v>48</v>
      </c>
    </row>
    <row r="54" spans="1:18" x14ac:dyDescent="0.2">
      <c r="B54" s="105"/>
      <c r="C54" s="86" t="s">
        <v>99</v>
      </c>
    </row>
    <row r="55" spans="1:18" x14ac:dyDescent="0.2">
      <c r="B55" s="86"/>
      <c r="C55" s="86" t="s">
        <v>100</v>
      </c>
    </row>
    <row r="58" spans="1:18" x14ac:dyDescent="0.2">
      <c r="B58" s="86" t="s">
        <v>52</v>
      </c>
    </row>
    <row r="59" spans="1:18" x14ac:dyDescent="0.2">
      <c r="B59" s="86" t="s">
        <v>107</v>
      </c>
    </row>
  </sheetData>
  <mergeCells count="2">
    <mergeCell ref="A4:E4"/>
    <mergeCell ref="A7:E7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MJ59"/>
  <sheetViews>
    <sheetView zoomScaleNormal="100" workbookViewId="0">
      <selection activeCell="F7" sqref="F7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33.42578125" style="76" customWidth="1"/>
    <col min="6" max="6" width="9.140625" style="76"/>
    <col min="7" max="7" width="9.85546875" style="76" customWidth="1"/>
    <col min="8" max="17" width="9.140625" style="76"/>
    <col min="18" max="18" width="10.85546875" style="76" customWidth="1"/>
    <col min="19" max="20" width="9.7109375" style="76" customWidth="1"/>
    <col min="21" max="1024" width="9.140625" style="76"/>
  </cols>
  <sheetData>
    <row r="1" spans="1:18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8" ht="15" x14ac:dyDescent="0.25">
      <c r="A2" s="77" t="s">
        <v>115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8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8" x14ac:dyDescent="0.2">
      <c r="A4" s="93" t="s">
        <v>55</v>
      </c>
      <c r="B4" s="78"/>
    </row>
    <row r="5" spans="1:18" ht="6" customHeight="1" x14ac:dyDescent="0.2"/>
    <row r="6" spans="1:18" ht="21" customHeight="1" x14ac:dyDescent="0.2">
      <c r="A6" s="188" t="s">
        <v>3</v>
      </c>
      <c r="B6" s="188"/>
      <c r="C6" s="188"/>
      <c r="D6" s="188"/>
      <c r="E6" s="188"/>
      <c r="F6" s="106" t="s">
        <v>116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65</v>
      </c>
      <c r="O6" s="2" t="s">
        <v>13</v>
      </c>
      <c r="P6" s="2" t="s">
        <v>56</v>
      </c>
      <c r="Q6" s="2" t="s">
        <v>57</v>
      </c>
      <c r="R6" s="81" t="s">
        <v>14</v>
      </c>
    </row>
    <row r="7" spans="1:18" ht="15" customHeight="1" x14ac:dyDescent="0.2">
      <c r="O7" s="85"/>
    </row>
    <row r="8" spans="1:18" ht="15" customHeight="1" x14ac:dyDescent="0.25">
      <c r="B8" s="82" t="s">
        <v>15</v>
      </c>
      <c r="C8" s="82"/>
      <c r="D8" s="82"/>
      <c r="E8" s="82"/>
      <c r="F8" s="83">
        <f t="shared" ref="F8:R8" si="0">F9+F19+F26</f>
        <v>92265</v>
      </c>
      <c r="G8" s="83">
        <f t="shared" si="0"/>
        <v>76699</v>
      </c>
      <c r="H8" s="83">
        <f t="shared" si="0"/>
        <v>96860</v>
      </c>
      <c r="I8" s="83">
        <f t="shared" si="0"/>
        <v>124468</v>
      </c>
      <c r="J8" s="83">
        <f t="shared" si="0"/>
        <v>109717</v>
      </c>
      <c r="K8" s="83">
        <f t="shared" si="0"/>
        <v>92095</v>
      </c>
      <c r="L8" s="83">
        <f t="shared" si="0"/>
        <v>102908</v>
      </c>
      <c r="M8" s="83">
        <f t="shared" si="0"/>
        <v>107806</v>
      </c>
      <c r="N8" s="83">
        <f t="shared" si="0"/>
        <v>91898</v>
      </c>
      <c r="O8" s="83">
        <f t="shared" si="0"/>
        <v>98503</v>
      </c>
      <c r="P8" s="83">
        <f t="shared" si="0"/>
        <v>111535</v>
      </c>
      <c r="Q8" s="83">
        <f t="shared" si="0"/>
        <v>103172</v>
      </c>
      <c r="R8" s="83">
        <f t="shared" si="0"/>
        <v>1207926</v>
      </c>
    </row>
    <row r="9" spans="1:18" ht="15" customHeight="1" x14ac:dyDescent="0.2">
      <c r="C9" s="76" t="s">
        <v>16</v>
      </c>
      <c r="F9" s="84">
        <f t="shared" ref="F9:R9" si="1">F10+F14+F17</f>
        <v>82953</v>
      </c>
      <c r="G9" s="84">
        <f t="shared" si="1"/>
        <v>70209</v>
      </c>
      <c r="H9" s="84">
        <f t="shared" si="1"/>
        <v>84227</v>
      </c>
      <c r="I9" s="84">
        <f t="shared" si="1"/>
        <v>114850</v>
      </c>
      <c r="J9" s="84">
        <f t="shared" si="1"/>
        <v>104080</v>
      </c>
      <c r="K9" s="84">
        <f t="shared" si="1"/>
        <v>83942</v>
      </c>
      <c r="L9" s="84">
        <f t="shared" si="1"/>
        <v>87139</v>
      </c>
      <c r="M9" s="84">
        <f t="shared" si="1"/>
        <v>98164</v>
      </c>
      <c r="N9" s="84">
        <f t="shared" si="1"/>
        <v>82224</v>
      </c>
      <c r="O9" s="84">
        <f t="shared" si="1"/>
        <v>87076</v>
      </c>
      <c r="P9" s="84">
        <f t="shared" si="1"/>
        <v>103413</v>
      </c>
      <c r="Q9" s="84">
        <f t="shared" si="1"/>
        <v>95366</v>
      </c>
      <c r="R9" s="84">
        <f t="shared" si="1"/>
        <v>1093643</v>
      </c>
    </row>
    <row r="10" spans="1:18" ht="15" customHeight="1" x14ac:dyDescent="0.2">
      <c r="D10" s="76" t="s">
        <v>17</v>
      </c>
      <c r="F10" s="85">
        <v>64606</v>
      </c>
      <c r="G10" s="85">
        <v>50975</v>
      </c>
      <c r="H10" s="85">
        <v>58311</v>
      </c>
      <c r="I10" s="85">
        <v>91162</v>
      </c>
      <c r="J10" s="85">
        <v>79049</v>
      </c>
      <c r="K10" s="85">
        <v>59366</v>
      </c>
      <c r="L10" s="85">
        <v>63813</v>
      </c>
      <c r="M10" s="85">
        <v>79090</v>
      </c>
      <c r="N10" s="85">
        <v>60958</v>
      </c>
      <c r="O10" s="85">
        <v>63565</v>
      </c>
      <c r="P10" s="85">
        <v>82430</v>
      </c>
      <c r="Q10" s="85">
        <v>69298</v>
      </c>
      <c r="R10" s="85">
        <f>SUM(F10:Q10)</f>
        <v>822623</v>
      </c>
    </row>
    <row r="11" spans="1:18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8" ht="15" customHeight="1" x14ac:dyDescent="0.2">
      <c r="E12" s="76" t="s">
        <v>19</v>
      </c>
      <c r="F12" s="85">
        <v>0</v>
      </c>
      <c r="G12" s="85">
        <v>270</v>
      </c>
      <c r="H12" s="85">
        <v>730</v>
      </c>
      <c r="I12" s="85">
        <v>1117</v>
      </c>
      <c r="J12" s="85">
        <v>1452</v>
      </c>
      <c r="K12" s="85">
        <v>348</v>
      </c>
      <c r="L12" s="85">
        <v>274</v>
      </c>
      <c r="M12" s="85">
        <v>288</v>
      </c>
      <c r="N12" s="85">
        <v>907</v>
      </c>
      <c r="O12" s="85">
        <v>538</v>
      </c>
      <c r="P12" s="85">
        <v>1107</v>
      </c>
      <c r="Q12" s="85">
        <v>239</v>
      </c>
      <c r="R12" s="85">
        <f>SUM(F12:Q12)</f>
        <v>7270</v>
      </c>
    </row>
    <row r="13" spans="1:18" ht="15" customHeight="1" x14ac:dyDescent="0.2">
      <c r="E13" s="76" t="s">
        <v>20</v>
      </c>
      <c r="F13" s="85">
        <v>0</v>
      </c>
      <c r="G13" s="85">
        <v>0</v>
      </c>
      <c r="H13" s="85">
        <v>0</v>
      </c>
      <c r="I13" s="85">
        <v>0</v>
      </c>
      <c r="J13" s="85">
        <v>113</v>
      </c>
      <c r="K13" s="85">
        <v>1459</v>
      </c>
      <c r="L13" s="85">
        <v>1139</v>
      </c>
      <c r="M13" s="85">
        <v>93</v>
      </c>
      <c r="N13" s="85">
        <v>244</v>
      </c>
      <c r="O13" s="85">
        <v>1778</v>
      </c>
      <c r="P13" s="85">
        <v>306</v>
      </c>
      <c r="Q13" s="85">
        <v>2825</v>
      </c>
      <c r="R13" s="85">
        <f>SUM(F13:Q13)</f>
        <v>7957</v>
      </c>
    </row>
    <row r="14" spans="1:18" ht="15" customHeight="1" x14ac:dyDescent="0.2">
      <c r="D14" s="76" t="s">
        <v>21</v>
      </c>
      <c r="F14" s="85">
        <v>17605</v>
      </c>
      <c r="G14" s="85">
        <v>18076</v>
      </c>
      <c r="H14" s="85">
        <v>24900</v>
      </c>
      <c r="I14" s="85">
        <v>22773</v>
      </c>
      <c r="J14" s="85">
        <v>24119</v>
      </c>
      <c r="K14" s="85">
        <v>23249</v>
      </c>
      <c r="L14" s="85">
        <v>22238</v>
      </c>
      <c r="M14" s="85">
        <v>17762</v>
      </c>
      <c r="N14" s="85">
        <v>20232</v>
      </c>
      <c r="O14" s="85">
        <v>22577</v>
      </c>
      <c r="P14" s="85">
        <v>19969</v>
      </c>
      <c r="Q14" s="85">
        <v>25741</v>
      </c>
      <c r="R14" s="85">
        <f>SUM(F14:Q14)</f>
        <v>259241</v>
      </c>
    </row>
    <row r="15" spans="1:18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8" ht="15" customHeight="1" x14ac:dyDescent="0.2">
      <c r="E16" s="76" t="s">
        <v>20</v>
      </c>
      <c r="F16" s="85">
        <v>1</v>
      </c>
      <c r="G16" s="85">
        <v>29</v>
      </c>
      <c r="H16" s="85">
        <v>5845</v>
      </c>
      <c r="I16" s="85">
        <v>3866</v>
      </c>
      <c r="J16" s="85">
        <v>5576</v>
      </c>
      <c r="K16" s="85">
        <v>4234</v>
      </c>
      <c r="L16" s="85">
        <v>418</v>
      </c>
      <c r="M16" s="85">
        <v>22</v>
      </c>
      <c r="N16" s="85">
        <v>751</v>
      </c>
      <c r="O16" s="85">
        <v>4586</v>
      </c>
      <c r="P16" s="85">
        <v>825</v>
      </c>
      <c r="Q16" s="85">
        <v>5583</v>
      </c>
      <c r="R16" s="85">
        <f>SUM(F16:Q16)</f>
        <v>31736</v>
      </c>
    </row>
    <row r="17" spans="2:20" ht="15" customHeight="1" x14ac:dyDescent="0.2">
      <c r="D17" s="76" t="s">
        <v>106</v>
      </c>
      <c r="F17" s="85">
        <v>742</v>
      </c>
      <c r="G17" s="85">
        <v>1158</v>
      </c>
      <c r="H17" s="85">
        <v>1016</v>
      </c>
      <c r="I17" s="85">
        <v>915</v>
      </c>
      <c r="J17" s="85">
        <v>912</v>
      </c>
      <c r="K17" s="85">
        <v>1327</v>
      </c>
      <c r="L17" s="85">
        <v>1088</v>
      </c>
      <c r="M17" s="85">
        <v>1312</v>
      </c>
      <c r="N17" s="85">
        <v>1034</v>
      </c>
      <c r="O17" s="85">
        <v>934</v>
      </c>
      <c r="P17" s="85">
        <v>1014</v>
      </c>
      <c r="Q17" s="85">
        <v>327</v>
      </c>
      <c r="R17" s="85">
        <f>SUM(F17:Q17)</f>
        <v>11779</v>
      </c>
    </row>
    <row r="18" spans="2:20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T18" s="76" t="s">
        <v>58</v>
      </c>
    </row>
    <row r="19" spans="2:20" ht="15" customHeight="1" x14ac:dyDescent="0.2">
      <c r="C19" s="76" t="s">
        <v>23</v>
      </c>
      <c r="F19" s="84">
        <f t="shared" ref="F19:R19" si="2">SUM(F20:F24)</f>
        <v>9312</v>
      </c>
      <c r="G19" s="84">
        <f t="shared" si="2"/>
        <v>6345</v>
      </c>
      <c r="H19" s="84">
        <f t="shared" si="2"/>
        <v>12593</v>
      </c>
      <c r="I19" s="84">
        <f t="shared" si="2"/>
        <v>9595</v>
      </c>
      <c r="J19" s="84">
        <f t="shared" si="2"/>
        <v>5570</v>
      </c>
      <c r="K19" s="84">
        <f t="shared" si="2"/>
        <v>8063</v>
      </c>
      <c r="L19" s="84">
        <f t="shared" si="2"/>
        <v>15764</v>
      </c>
      <c r="M19" s="84">
        <f t="shared" si="2"/>
        <v>9642</v>
      </c>
      <c r="N19" s="84">
        <f t="shared" si="2"/>
        <v>9673</v>
      </c>
      <c r="O19" s="84">
        <f t="shared" si="2"/>
        <v>11425</v>
      </c>
      <c r="P19" s="84">
        <f t="shared" si="2"/>
        <v>8122</v>
      </c>
      <c r="Q19" s="84">
        <f t="shared" si="2"/>
        <v>7773</v>
      </c>
      <c r="R19" s="84">
        <f t="shared" si="2"/>
        <v>113877</v>
      </c>
    </row>
    <row r="20" spans="2:20" ht="15" customHeight="1" x14ac:dyDescent="0.2">
      <c r="D20" s="76" t="s">
        <v>24</v>
      </c>
      <c r="F20" s="85">
        <v>5068</v>
      </c>
      <c r="G20" s="85">
        <v>2977</v>
      </c>
      <c r="H20" s="85">
        <v>5777</v>
      </c>
      <c r="I20" s="85">
        <v>5149</v>
      </c>
      <c r="J20" s="85">
        <v>2639</v>
      </c>
      <c r="K20" s="85">
        <v>3495</v>
      </c>
      <c r="L20" s="85">
        <v>9614</v>
      </c>
      <c r="M20" s="85">
        <v>4369</v>
      </c>
      <c r="N20" s="85">
        <v>4357</v>
      </c>
      <c r="O20" s="85">
        <v>4179</v>
      </c>
      <c r="P20" s="85">
        <v>2845</v>
      </c>
      <c r="Q20" s="85">
        <v>3846</v>
      </c>
      <c r="R20" s="85">
        <f>SUM(F20:Q20)</f>
        <v>54315</v>
      </c>
    </row>
    <row r="21" spans="2:20" ht="15" customHeight="1" x14ac:dyDescent="0.2">
      <c r="D21" s="76" t="s">
        <v>26</v>
      </c>
      <c r="F21" s="85">
        <v>0</v>
      </c>
      <c r="G21" s="85">
        <v>0</v>
      </c>
      <c r="H21" s="85">
        <v>0</v>
      </c>
      <c r="I21" s="85">
        <v>95</v>
      </c>
      <c r="J21" s="85">
        <v>0</v>
      </c>
      <c r="K21" s="85">
        <v>51</v>
      </c>
      <c r="L21" s="85">
        <v>105</v>
      </c>
      <c r="M21" s="85">
        <v>176</v>
      </c>
      <c r="N21" s="85">
        <v>14</v>
      </c>
      <c r="O21" s="85">
        <v>111</v>
      </c>
      <c r="P21" s="85">
        <v>0</v>
      </c>
      <c r="Q21" s="85">
        <v>362</v>
      </c>
      <c r="R21" s="85">
        <f>SUM(F21:Q21)</f>
        <v>914</v>
      </c>
      <c r="S21" s="85"/>
    </row>
    <row r="22" spans="2:20" ht="15" customHeight="1" x14ac:dyDescent="0.2">
      <c r="D22" s="76" t="s">
        <v>27</v>
      </c>
      <c r="E22" s="86"/>
      <c r="F22" s="85">
        <v>1207.0250000000001</v>
      </c>
      <c r="G22" s="85">
        <v>4.851</v>
      </c>
      <c r="H22" s="85">
        <v>3196.6579999999999</v>
      </c>
      <c r="I22" s="85">
        <v>1101.0999999999999</v>
      </c>
      <c r="J22" s="85">
        <v>0</v>
      </c>
      <c r="K22" s="85">
        <v>1817.0440000000001</v>
      </c>
      <c r="L22" s="85">
        <v>2504.4690000000001</v>
      </c>
      <c r="M22" s="85">
        <v>1971.6389999999999</v>
      </c>
      <c r="N22" s="85">
        <v>1548.325</v>
      </c>
      <c r="O22" s="85">
        <v>1981.5260000000001</v>
      </c>
      <c r="P22" s="85">
        <v>2425.4929999999999</v>
      </c>
      <c r="Q22" s="85">
        <v>-473.51900000000001</v>
      </c>
      <c r="R22" s="85">
        <f>SUM(F22:Q22)</f>
        <v>17284.611000000001</v>
      </c>
      <c r="S22" s="85"/>
    </row>
    <row r="23" spans="2:20" ht="15" customHeight="1" x14ac:dyDescent="0.2">
      <c r="D23" s="76" t="s">
        <v>113</v>
      </c>
      <c r="F23" s="85">
        <v>1766</v>
      </c>
      <c r="G23" s="85">
        <v>2304</v>
      </c>
      <c r="H23" s="85">
        <v>1631</v>
      </c>
      <c r="I23" s="85">
        <v>1634</v>
      </c>
      <c r="J23" s="85">
        <v>1563</v>
      </c>
      <c r="K23" s="85">
        <v>1579</v>
      </c>
      <c r="L23" s="85">
        <v>1905</v>
      </c>
      <c r="M23" s="85">
        <v>1687</v>
      </c>
      <c r="N23" s="85">
        <v>1746</v>
      </c>
      <c r="O23" s="85">
        <v>3794</v>
      </c>
      <c r="P23" s="85">
        <v>1535</v>
      </c>
      <c r="Q23" s="85">
        <v>1676</v>
      </c>
      <c r="R23" s="85">
        <f>SUM(F23:Q23)</f>
        <v>22820</v>
      </c>
    </row>
    <row r="24" spans="2:20" ht="15" customHeight="1" x14ac:dyDescent="0.2">
      <c r="D24" s="76" t="s">
        <v>106</v>
      </c>
      <c r="F24" s="85">
        <f>4244-F22-F23</f>
        <v>1270.9749999999999</v>
      </c>
      <c r="G24" s="85">
        <f>3368-G22-G23</f>
        <v>1059.1489999999999</v>
      </c>
      <c r="H24" s="85">
        <f>6816-H22-H23</f>
        <v>1988.3420000000001</v>
      </c>
      <c r="I24" s="85">
        <f>4351-I22-I23</f>
        <v>1615.9</v>
      </c>
      <c r="J24" s="85">
        <f>2931-J22-J23</f>
        <v>1368</v>
      </c>
      <c r="K24" s="85">
        <f>4517-K22-K23</f>
        <v>1120.9560000000001</v>
      </c>
      <c r="L24" s="85">
        <f>6045-L22-L23</f>
        <v>1635.5309999999999</v>
      </c>
      <c r="M24" s="85">
        <f>5097-M22-M23</f>
        <v>1438.3609999999999</v>
      </c>
      <c r="N24" s="85">
        <f>5302-N22-N23</f>
        <v>2007.6750000000002</v>
      </c>
      <c r="O24" s="85">
        <f>7135-O22-O23</f>
        <v>1359.4740000000002</v>
      </c>
      <c r="P24" s="85">
        <f>5277-P22-P23</f>
        <v>1316.5070000000001</v>
      </c>
      <c r="Q24" s="85">
        <f>3565-Q22-Q23</f>
        <v>2362.5190000000002</v>
      </c>
      <c r="R24" s="85">
        <f>SUM(F24:Q24)</f>
        <v>18543.388999999999</v>
      </c>
    </row>
    <row r="25" spans="2:20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0" ht="15" customHeight="1" x14ac:dyDescent="0.2">
      <c r="C26" s="76" t="s">
        <v>29</v>
      </c>
      <c r="F26" s="85">
        <v>0</v>
      </c>
      <c r="G26" s="85">
        <v>145</v>
      </c>
      <c r="H26" s="85">
        <v>40</v>
      </c>
      <c r="I26" s="85">
        <v>23</v>
      </c>
      <c r="J26" s="85">
        <v>67</v>
      </c>
      <c r="K26" s="85">
        <v>90</v>
      </c>
      <c r="L26" s="85">
        <v>5</v>
      </c>
      <c r="M26" s="85">
        <v>0</v>
      </c>
      <c r="N26" s="85">
        <v>1</v>
      </c>
      <c r="O26" s="85">
        <v>2</v>
      </c>
      <c r="P26" s="85">
        <v>0</v>
      </c>
      <c r="Q26" s="85">
        <v>33</v>
      </c>
      <c r="R26" s="85">
        <v>406</v>
      </c>
    </row>
    <row r="27" spans="2:20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0" ht="15" customHeight="1" x14ac:dyDescent="0.25">
      <c r="B28" s="82" t="s">
        <v>30</v>
      </c>
      <c r="C28" s="82"/>
      <c r="D28" s="82"/>
      <c r="E28" s="82"/>
      <c r="F28" s="83">
        <f t="shared" ref="F28:R28" si="3">SUM(F30:F36)</f>
        <v>129390</v>
      </c>
      <c r="G28" s="83">
        <f t="shared" si="3"/>
        <v>109887</v>
      </c>
      <c r="H28" s="83">
        <f t="shared" si="3"/>
        <v>160726</v>
      </c>
      <c r="I28" s="83">
        <f t="shared" si="3"/>
        <v>121869</v>
      </c>
      <c r="J28" s="83">
        <f t="shared" si="3"/>
        <v>140244</v>
      </c>
      <c r="K28" s="83">
        <f t="shared" si="3"/>
        <v>126717</v>
      </c>
      <c r="L28" s="83">
        <f t="shared" si="3"/>
        <v>135602</v>
      </c>
      <c r="M28" s="83">
        <f t="shared" si="3"/>
        <v>106487</v>
      </c>
      <c r="N28" s="83">
        <f t="shared" si="3"/>
        <v>123582</v>
      </c>
      <c r="O28" s="83">
        <f t="shared" si="3"/>
        <v>109017</v>
      </c>
      <c r="P28" s="83">
        <f t="shared" si="3"/>
        <v>111053</v>
      </c>
      <c r="Q28" s="83">
        <f t="shared" si="3"/>
        <v>147810</v>
      </c>
      <c r="R28" s="83">
        <f t="shared" si="3"/>
        <v>1522384</v>
      </c>
      <c r="S28" s="85"/>
    </row>
    <row r="29" spans="2:20" ht="15" customHeight="1" x14ac:dyDescent="0.2">
      <c r="C29" s="76" t="s">
        <v>18</v>
      </c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0" ht="15" customHeight="1" x14ac:dyDescent="0.2">
      <c r="D30" s="76" t="s">
        <v>31</v>
      </c>
      <c r="F30" s="85">
        <v>22521</v>
      </c>
      <c r="G30" s="85">
        <v>22193</v>
      </c>
      <c r="H30" s="85">
        <v>25724</v>
      </c>
      <c r="I30" s="85">
        <v>22088</v>
      </c>
      <c r="J30" s="85">
        <v>26413</v>
      </c>
      <c r="K30" s="85">
        <v>25891</v>
      </c>
      <c r="L30" s="85">
        <v>23144</v>
      </c>
      <c r="M30" s="85">
        <v>22149</v>
      </c>
      <c r="N30" s="85">
        <v>22343</v>
      </c>
      <c r="O30" s="85">
        <v>22297</v>
      </c>
      <c r="P30" s="85">
        <v>22443</v>
      </c>
      <c r="Q30" s="85">
        <v>22346</v>
      </c>
      <c r="R30" s="85">
        <f t="shared" ref="R30:R36" si="4">SUM(F30:Q30)</f>
        <v>279552</v>
      </c>
    </row>
    <row r="31" spans="2:20" ht="15" customHeight="1" x14ac:dyDescent="0.2">
      <c r="D31" s="76" t="s">
        <v>32</v>
      </c>
      <c r="F31" s="85">
        <v>37602</v>
      </c>
      <c r="G31" s="85">
        <v>31399</v>
      </c>
      <c r="H31" s="85">
        <v>39897</v>
      </c>
      <c r="I31" s="85">
        <v>15654</v>
      </c>
      <c r="J31" s="85">
        <v>11817</v>
      </c>
      <c r="K31" s="85">
        <v>10333</v>
      </c>
      <c r="L31" s="85">
        <v>42760</v>
      </c>
      <c r="M31" s="85">
        <v>23264</v>
      </c>
      <c r="N31" s="85">
        <v>31823</v>
      </c>
      <c r="O31" s="85">
        <v>13985</v>
      </c>
      <c r="P31" s="85">
        <v>16441</v>
      </c>
      <c r="Q31" s="85">
        <v>19269</v>
      </c>
      <c r="R31" s="85">
        <f t="shared" si="4"/>
        <v>294244</v>
      </c>
    </row>
    <row r="32" spans="2:20" ht="15" customHeight="1" x14ac:dyDescent="0.2">
      <c r="D32" s="76" t="s">
        <v>33</v>
      </c>
      <c r="F32" s="85">
        <v>1</v>
      </c>
      <c r="G32" s="85">
        <v>299</v>
      </c>
      <c r="H32" s="85">
        <v>6575</v>
      </c>
      <c r="I32" s="85">
        <v>4983</v>
      </c>
      <c r="J32" s="85">
        <v>7141</v>
      </c>
      <c r="K32" s="85">
        <v>6041</v>
      </c>
      <c r="L32" s="85">
        <v>1831</v>
      </c>
      <c r="M32" s="85">
        <v>403</v>
      </c>
      <c r="N32" s="85">
        <v>1902</v>
      </c>
      <c r="O32" s="85">
        <v>6902</v>
      </c>
      <c r="P32" s="85">
        <v>2238</v>
      </c>
      <c r="Q32" s="85">
        <v>8647</v>
      </c>
      <c r="R32" s="85">
        <f t="shared" si="4"/>
        <v>46963</v>
      </c>
    </row>
    <row r="33" spans="2:19" ht="15" customHeight="1" x14ac:dyDescent="0.2">
      <c r="D33" s="76" t="s">
        <v>78</v>
      </c>
      <c r="F33" s="85">
        <v>800</v>
      </c>
      <c r="G33" s="85">
        <v>34</v>
      </c>
      <c r="H33" s="85">
        <v>2490</v>
      </c>
      <c r="I33" s="85">
        <v>1110</v>
      </c>
      <c r="J33" s="85">
        <v>2846</v>
      </c>
      <c r="K33" s="85">
        <v>183</v>
      </c>
      <c r="L33" s="85">
        <v>1803</v>
      </c>
      <c r="M33" s="85">
        <v>86</v>
      </c>
      <c r="N33" s="85">
        <v>319</v>
      </c>
      <c r="O33" s="85">
        <v>6282</v>
      </c>
      <c r="P33" s="85">
        <v>367</v>
      </c>
      <c r="Q33" s="85">
        <v>4685</v>
      </c>
      <c r="R33" s="85">
        <f t="shared" si="4"/>
        <v>21005</v>
      </c>
    </row>
    <row r="34" spans="2:19" ht="15" customHeight="1" x14ac:dyDescent="0.2">
      <c r="D34" s="76" t="s">
        <v>35</v>
      </c>
      <c r="F34" s="85">
        <v>0</v>
      </c>
      <c r="G34" s="85">
        <v>0</v>
      </c>
      <c r="H34" s="85">
        <v>449</v>
      </c>
      <c r="I34" s="85">
        <v>0</v>
      </c>
      <c r="J34" s="85">
        <v>20</v>
      </c>
      <c r="K34" s="85">
        <v>357</v>
      </c>
      <c r="L34" s="85">
        <v>70</v>
      </c>
      <c r="M34" s="85">
        <v>1</v>
      </c>
      <c r="N34" s="85">
        <v>1</v>
      </c>
      <c r="O34" s="85">
        <v>1</v>
      </c>
      <c r="P34" s="85">
        <v>281</v>
      </c>
      <c r="Q34" s="85">
        <v>969</v>
      </c>
      <c r="R34" s="85">
        <f t="shared" si="4"/>
        <v>2149</v>
      </c>
    </row>
    <row r="35" spans="2:19" ht="15" customHeight="1" x14ac:dyDescent="0.2">
      <c r="D35" s="76" t="s">
        <v>79</v>
      </c>
      <c r="F35" s="85">
        <v>401</v>
      </c>
      <c r="G35" s="85">
        <v>840</v>
      </c>
      <c r="H35" s="85">
        <v>1447</v>
      </c>
      <c r="I35" s="85">
        <v>610</v>
      </c>
      <c r="J35" s="85">
        <v>375</v>
      </c>
      <c r="K35" s="85">
        <v>786</v>
      </c>
      <c r="L35" s="85">
        <v>428</v>
      </c>
      <c r="M35" s="85">
        <v>310</v>
      </c>
      <c r="N35" s="85">
        <v>1334</v>
      </c>
      <c r="O35" s="85">
        <v>962</v>
      </c>
      <c r="P35" s="85">
        <v>699</v>
      </c>
      <c r="Q35" s="85">
        <v>1066</v>
      </c>
      <c r="R35" s="85">
        <f t="shared" si="4"/>
        <v>9258</v>
      </c>
    </row>
    <row r="36" spans="2:19" ht="15" customHeight="1" x14ac:dyDescent="0.2">
      <c r="D36" s="6" t="s">
        <v>80</v>
      </c>
      <c r="F36" s="85">
        <v>68065</v>
      </c>
      <c r="G36" s="85">
        <v>55122</v>
      </c>
      <c r="H36" s="85">
        <v>84144</v>
      </c>
      <c r="I36" s="85">
        <v>77424</v>
      </c>
      <c r="J36" s="85">
        <v>91632</v>
      </c>
      <c r="K36" s="85">
        <v>83126</v>
      </c>
      <c r="L36" s="85">
        <v>65566</v>
      </c>
      <c r="M36" s="85">
        <v>60274</v>
      </c>
      <c r="N36" s="85">
        <v>65860</v>
      </c>
      <c r="O36" s="85">
        <v>58588</v>
      </c>
      <c r="P36" s="85">
        <v>68584</v>
      </c>
      <c r="Q36" s="85">
        <v>90828</v>
      </c>
      <c r="R36" s="85">
        <f t="shared" si="4"/>
        <v>869213</v>
      </c>
    </row>
    <row r="37" spans="2:19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</row>
    <row r="38" spans="2:19" ht="15" customHeight="1" x14ac:dyDescent="0.25">
      <c r="B38" s="82" t="s">
        <v>38</v>
      </c>
      <c r="C38" s="82"/>
      <c r="D38" s="82"/>
      <c r="E38" s="82"/>
      <c r="F38" s="88">
        <f t="shared" ref="F38:Q38" si="5">F8-F28</f>
        <v>-37125</v>
      </c>
      <c r="G38" s="88">
        <f t="shared" si="5"/>
        <v>-33188</v>
      </c>
      <c r="H38" s="88">
        <f t="shared" si="5"/>
        <v>-63866</v>
      </c>
      <c r="I38" s="88">
        <f t="shared" si="5"/>
        <v>2599</v>
      </c>
      <c r="J38" s="88">
        <f t="shared" si="5"/>
        <v>-30527</v>
      </c>
      <c r="K38" s="88">
        <f t="shared" si="5"/>
        <v>-34622</v>
      </c>
      <c r="L38" s="88">
        <f t="shared" si="5"/>
        <v>-32694</v>
      </c>
      <c r="M38" s="88">
        <f t="shared" si="5"/>
        <v>1319</v>
      </c>
      <c r="N38" s="88">
        <f t="shared" si="5"/>
        <v>-31684</v>
      </c>
      <c r="O38" s="88">
        <f t="shared" si="5"/>
        <v>-10514</v>
      </c>
      <c r="P38" s="88">
        <f t="shared" si="5"/>
        <v>482</v>
      </c>
      <c r="Q38" s="88">
        <f t="shared" si="5"/>
        <v>-44638</v>
      </c>
      <c r="R38" s="88">
        <f>SUM(F38:Q38)</f>
        <v>-314458</v>
      </c>
    </row>
    <row r="39" spans="2:19" ht="15" customHeight="1" x14ac:dyDescent="0.25"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</row>
    <row r="40" spans="2:19" ht="15" customHeight="1" x14ac:dyDescent="0.25">
      <c r="B40" s="82" t="s">
        <v>39</v>
      </c>
      <c r="C40" s="82"/>
      <c r="D40" s="82"/>
      <c r="E40" s="82"/>
      <c r="F40" s="83">
        <v>43458</v>
      </c>
      <c r="G40" s="83">
        <v>-10518</v>
      </c>
      <c r="H40" s="83">
        <v>168543</v>
      </c>
      <c r="I40" s="83">
        <v>36641</v>
      </c>
      <c r="J40" s="83">
        <v>48904</v>
      </c>
      <c r="K40" s="83">
        <v>18135</v>
      </c>
      <c r="L40" s="83">
        <v>37460</v>
      </c>
      <c r="M40" s="83">
        <v>137407</v>
      </c>
      <c r="N40" s="83">
        <v>80537</v>
      </c>
      <c r="O40" s="83">
        <v>26734</v>
      </c>
      <c r="P40" s="83">
        <v>15392</v>
      </c>
      <c r="Q40" s="83">
        <v>18695</v>
      </c>
      <c r="R40" s="83">
        <v>621388</v>
      </c>
    </row>
    <row r="41" spans="2:19" ht="15" customHeight="1" x14ac:dyDescent="0.2">
      <c r="C41" s="76" t="s">
        <v>40</v>
      </c>
      <c r="F41" s="84">
        <v>70658</v>
      </c>
      <c r="G41" s="84">
        <v>-47614</v>
      </c>
      <c r="H41" s="84">
        <v>31854</v>
      </c>
      <c r="I41" s="84">
        <v>1334</v>
      </c>
      <c r="J41" s="84">
        <v>4865</v>
      </c>
      <c r="K41" s="84">
        <v>-3157</v>
      </c>
      <c r="L41" s="84">
        <v>357</v>
      </c>
      <c r="M41" s="84">
        <v>-3982</v>
      </c>
      <c r="N41" s="84">
        <v>48861</v>
      </c>
      <c r="O41" s="84">
        <v>27402</v>
      </c>
      <c r="P41" s="84">
        <v>-4264</v>
      </c>
      <c r="Q41" s="84">
        <v>6734</v>
      </c>
      <c r="R41" s="84">
        <v>133048</v>
      </c>
    </row>
    <row r="42" spans="2:19" ht="15" customHeight="1" x14ac:dyDescent="0.2">
      <c r="D42" s="76" t="s">
        <v>41</v>
      </c>
      <c r="F42" s="85">
        <v>72955</v>
      </c>
      <c r="G42" s="85">
        <v>380</v>
      </c>
      <c r="H42" s="85">
        <v>64642</v>
      </c>
      <c r="I42" s="85">
        <v>2693</v>
      </c>
      <c r="J42" s="85">
        <v>9760</v>
      </c>
      <c r="K42" s="85">
        <v>2550</v>
      </c>
      <c r="L42" s="85">
        <v>1793</v>
      </c>
      <c r="M42" s="85">
        <v>3334</v>
      </c>
      <c r="N42" s="85">
        <v>55731</v>
      </c>
      <c r="O42" s="85">
        <v>135913</v>
      </c>
      <c r="P42" s="85">
        <v>285</v>
      </c>
      <c r="Q42" s="85">
        <v>7374</v>
      </c>
      <c r="R42" s="85">
        <v>357410</v>
      </c>
      <c r="S42" s="85"/>
    </row>
    <row r="43" spans="2:19" ht="15" customHeight="1" x14ac:dyDescent="0.2">
      <c r="D43" s="76" t="s">
        <v>98</v>
      </c>
      <c r="F43" s="85">
        <v>2297</v>
      </c>
      <c r="G43" s="85">
        <v>47994</v>
      </c>
      <c r="H43" s="85">
        <v>32788</v>
      </c>
      <c r="I43" s="85">
        <v>1359</v>
      </c>
      <c r="J43" s="85">
        <v>4895</v>
      </c>
      <c r="K43" s="85">
        <v>5707</v>
      </c>
      <c r="L43" s="85">
        <v>1436</v>
      </c>
      <c r="M43" s="85">
        <v>7316</v>
      </c>
      <c r="N43" s="85">
        <v>6870</v>
      </c>
      <c r="O43" s="85">
        <v>108511</v>
      </c>
      <c r="P43" s="85">
        <v>4549</v>
      </c>
      <c r="Q43" s="85">
        <v>640</v>
      </c>
      <c r="R43" s="85">
        <v>224362</v>
      </c>
    </row>
    <row r="44" spans="2:19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19" ht="15" customHeight="1" x14ac:dyDescent="0.2">
      <c r="C45" s="76" t="s">
        <v>43</v>
      </c>
      <c r="F45" s="84">
        <v>-27200</v>
      </c>
      <c r="G45" s="84">
        <v>37096</v>
      </c>
      <c r="H45" s="84">
        <v>136689</v>
      </c>
      <c r="I45" s="84">
        <v>35307</v>
      </c>
      <c r="J45" s="84">
        <v>44039</v>
      </c>
      <c r="K45" s="84">
        <v>21292</v>
      </c>
      <c r="L45" s="84">
        <v>37103</v>
      </c>
      <c r="M45" s="84">
        <v>141389</v>
      </c>
      <c r="N45" s="84">
        <v>31676</v>
      </c>
      <c r="O45" s="84">
        <v>-668</v>
      </c>
      <c r="P45" s="84">
        <v>19656</v>
      </c>
      <c r="Q45" s="84">
        <v>11961</v>
      </c>
      <c r="R45" s="84">
        <v>488340</v>
      </c>
    </row>
    <row r="46" spans="2:19" ht="15" customHeight="1" x14ac:dyDescent="0.2">
      <c r="D46" s="76" t="s">
        <v>44</v>
      </c>
      <c r="F46" s="85">
        <v>-27200</v>
      </c>
      <c r="G46" s="85">
        <v>37096</v>
      </c>
      <c r="H46" s="85">
        <v>136987</v>
      </c>
      <c r="I46" s="85">
        <v>35307</v>
      </c>
      <c r="J46" s="85">
        <v>44370</v>
      </c>
      <c r="K46" s="85">
        <v>21415</v>
      </c>
      <c r="L46" s="85">
        <v>37193</v>
      </c>
      <c r="M46" s="85">
        <v>141389</v>
      </c>
      <c r="N46" s="85">
        <v>31844</v>
      </c>
      <c r="O46" s="85">
        <v>-668</v>
      </c>
      <c r="P46" s="85">
        <v>19927</v>
      </c>
      <c r="Q46" s="85">
        <v>184097</v>
      </c>
      <c r="R46" s="85">
        <v>661757</v>
      </c>
    </row>
    <row r="47" spans="2:19" ht="15" customHeight="1" x14ac:dyDescent="0.2">
      <c r="D47" s="76" t="s">
        <v>45</v>
      </c>
      <c r="F47" s="85">
        <v>0</v>
      </c>
      <c r="G47" s="85">
        <v>0</v>
      </c>
      <c r="H47" s="85">
        <v>298</v>
      </c>
      <c r="I47" s="85">
        <v>0</v>
      </c>
      <c r="J47" s="85">
        <v>331</v>
      </c>
      <c r="K47" s="85">
        <v>123</v>
      </c>
      <c r="L47" s="85">
        <v>90</v>
      </c>
      <c r="M47" s="85">
        <v>0</v>
      </c>
      <c r="N47" s="85">
        <v>168</v>
      </c>
      <c r="O47" s="85">
        <v>0</v>
      </c>
      <c r="P47" s="85">
        <v>271</v>
      </c>
      <c r="Q47" s="85">
        <v>172136</v>
      </c>
      <c r="R47" s="85">
        <v>173417</v>
      </c>
    </row>
    <row r="48" spans="2:19" ht="15" customHeight="1" x14ac:dyDescent="0.2">
      <c r="E48" s="6" t="s">
        <v>68</v>
      </c>
      <c r="F48" s="85">
        <v>12306</v>
      </c>
      <c r="G48" s="85">
        <v>63839</v>
      </c>
      <c r="H48" s="85">
        <v>3964</v>
      </c>
      <c r="I48" s="85">
        <v>23768</v>
      </c>
      <c r="J48" s="85">
        <v>16534</v>
      </c>
      <c r="K48" s="85">
        <v>2493</v>
      </c>
      <c r="L48" s="85">
        <v>12693</v>
      </c>
      <c r="M48" s="85">
        <v>38201</v>
      </c>
      <c r="N48" s="85">
        <v>63237</v>
      </c>
      <c r="O48" s="85">
        <v>0</v>
      </c>
      <c r="P48" s="85">
        <v>271</v>
      </c>
      <c r="Q48" s="85">
        <v>183310</v>
      </c>
      <c r="R48" s="85">
        <v>420616</v>
      </c>
    </row>
    <row r="49" spans="1:18" ht="15" customHeight="1" x14ac:dyDescent="0.2">
      <c r="E49" s="22" t="s">
        <v>81</v>
      </c>
      <c r="F49" s="85">
        <v>12306</v>
      </c>
      <c r="G49" s="85">
        <v>63839</v>
      </c>
      <c r="H49" s="85">
        <v>3666</v>
      </c>
      <c r="I49" s="85">
        <v>23768</v>
      </c>
      <c r="J49" s="85">
        <v>16203</v>
      </c>
      <c r="K49" s="85">
        <v>2370</v>
      </c>
      <c r="L49" s="85">
        <v>12603</v>
      </c>
      <c r="M49" s="85">
        <v>38201</v>
      </c>
      <c r="N49" s="85">
        <v>63069</v>
      </c>
      <c r="O49" s="85">
        <v>0</v>
      </c>
      <c r="P49" s="85">
        <v>0</v>
      </c>
      <c r="Q49" s="85">
        <v>11174</v>
      </c>
      <c r="R49" s="85">
        <v>247199</v>
      </c>
    </row>
    <row r="50" spans="1:18" ht="15" customHeight="1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 ht="15" customHeight="1" x14ac:dyDescent="0.25">
      <c r="B51" s="82" t="s">
        <v>47</v>
      </c>
      <c r="C51" s="82"/>
      <c r="D51" s="82"/>
      <c r="E51" s="82"/>
      <c r="F51" s="83">
        <v>44608</v>
      </c>
      <c r="G51" s="83">
        <v>-106554</v>
      </c>
      <c r="H51" s="83">
        <v>13533</v>
      </c>
      <c r="I51" s="83">
        <v>21642</v>
      </c>
      <c r="J51" s="83">
        <v>-4878</v>
      </c>
      <c r="K51" s="83">
        <v>-1313</v>
      </c>
      <c r="L51" s="83">
        <v>42579</v>
      </c>
      <c r="M51" s="83">
        <v>66291</v>
      </c>
      <c r="N51" s="83">
        <v>-7280</v>
      </c>
      <c r="O51" s="83">
        <v>16567</v>
      </c>
      <c r="P51" s="83">
        <v>-2644</v>
      </c>
      <c r="Q51" s="83">
        <v>-45385</v>
      </c>
      <c r="R51" s="83">
        <v>37166</v>
      </c>
    </row>
    <row r="52" spans="1:18" x14ac:dyDescent="0.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</row>
    <row r="53" spans="1:18" x14ac:dyDescent="0.2">
      <c r="B53" s="79" t="s">
        <v>48</v>
      </c>
    </row>
    <row r="54" spans="1:18" ht="16.5" customHeight="1" x14ac:dyDescent="0.2">
      <c r="B54" s="79"/>
      <c r="C54" s="189" t="s">
        <v>111</v>
      </c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</row>
    <row r="55" spans="1:18" ht="14.25" customHeight="1" x14ac:dyDescent="0.2">
      <c r="B55" s="7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</row>
    <row r="58" spans="1:18" x14ac:dyDescent="0.2">
      <c r="B58" s="86" t="s">
        <v>52</v>
      </c>
    </row>
    <row r="59" spans="1:18" x14ac:dyDescent="0.2">
      <c r="B59" s="86" t="s">
        <v>107</v>
      </c>
    </row>
  </sheetData>
  <mergeCells count="2">
    <mergeCell ref="A6:E6"/>
    <mergeCell ref="C54:Q55"/>
  </mergeCells>
  <printOptions horizontalCentered="1"/>
  <pageMargins left="0" right="0" top="1.1416666666666699" bottom="0.78749999999999998" header="0.51180555555555596" footer="0.511811023622047"/>
  <pageSetup paperSize="9" orientation="portrait" horizontalDpi="300" verticalDpi="300"/>
  <headerFooter>
    <oddHeader>&amp;C&amp;"Arial,Bold"&amp;9BUREAU OF THE TREASURY
&amp;"Arial,Italic"Statistical Data Analysis Division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MJ58"/>
  <sheetViews>
    <sheetView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E16" sqref="E16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28" style="76" customWidth="1"/>
    <col min="6" max="6" width="9.140625" style="76"/>
    <col min="7" max="7" width="9.85546875" style="76" customWidth="1"/>
    <col min="8" max="17" width="9.140625" style="76"/>
    <col min="18" max="18" width="10.85546875" style="76" customWidth="1"/>
    <col min="19" max="19" width="0.7109375" style="76" customWidth="1"/>
    <col min="20" max="1024" width="9.140625" style="76"/>
  </cols>
  <sheetData>
    <row r="1" spans="1:19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117</v>
      </c>
      <c r="C2" s="77"/>
      <c r="D2" s="77"/>
      <c r="E2" s="77"/>
      <c r="F2" s="77"/>
      <c r="G2" s="77"/>
      <c r="H2" s="10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93" t="s">
        <v>96</v>
      </c>
      <c r="B4" s="78"/>
    </row>
    <row r="5" spans="1:19" ht="7.5" customHeight="1" x14ac:dyDescent="0.2">
      <c r="B5" s="78"/>
    </row>
    <row r="6" spans="1:19" ht="6" customHeight="1" x14ac:dyDescent="0.2"/>
    <row r="7" spans="1:19" ht="20.25" customHeight="1" x14ac:dyDescent="0.2">
      <c r="A7" s="188" t="s">
        <v>3</v>
      </c>
      <c r="B7" s="188"/>
      <c r="C7" s="188"/>
      <c r="D7" s="188"/>
      <c r="E7" s="188"/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56</v>
      </c>
      <c r="Q7" s="2" t="s">
        <v>57</v>
      </c>
      <c r="R7" s="2" t="s">
        <v>14</v>
      </c>
      <c r="S7" s="101"/>
    </row>
    <row r="8" spans="1:19" ht="15" customHeight="1" x14ac:dyDescent="0.2">
      <c r="O8" s="85"/>
    </row>
    <row r="9" spans="1:19" ht="15" customHeight="1" x14ac:dyDescent="0.25">
      <c r="B9" s="82" t="s">
        <v>15</v>
      </c>
      <c r="C9" s="82"/>
      <c r="D9" s="82"/>
      <c r="E9" s="82"/>
      <c r="F9" s="83">
        <f t="shared" ref="F9:R9" si="0">F10+F20+F27</f>
        <v>78466</v>
      </c>
      <c r="G9" s="83">
        <f t="shared" si="0"/>
        <v>80965</v>
      </c>
      <c r="H9" s="83">
        <f t="shared" si="0"/>
        <v>75928</v>
      </c>
      <c r="I9" s="83">
        <f t="shared" si="0"/>
        <v>116581</v>
      </c>
      <c r="J9" s="83">
        <f t="shared" si="0"/>
        <v>104212</v>
      </c>
      <c r="K9" s="83">
        <f t="shared" si="0"/>
        <v>89550</v>
      </c>
      <c r="L9" s="83">
        <f t="shared" si="0"/>
        <v>98398</v>
      </c>
      <c r="M9" s="83">
        <f t="shared" si="0"/>
        <v>95012</v>
      </c>
      <c r="N9" s="83">
        <f t="shared" si="0"/>
        <v>100695</v>
      </c>
      <c r="O9" s="83">
        <f t="shared" si="0"/>
        <v>85581</v>
      </c>
      <c r="P9" s="83">
        <f t="shared" si="0"/>
        <v>96282</v>
      </c>
      <c r="Q9" s="83">
        <f t="shared" si="0"/>
        <v>101541</v>
      </c>
      <c r="R9" s="83">
        <f t="shared" si="0"/>
        <v>1123211</v>
      </c>
    </row>
    <row r="10" spans="1:19" ht="15" customHeight="1" x14ac:dyDescent="0.2">
      <c r="C10" s="76" t="s">
        <v>16</v>
      </c>
      <c r="F10" s="84">
        <v>70259</v>
      </c>
      <c r="G10" s="84">
        <v>62328</v>
      </c>
      <c r="H10" s="84">
        <v>68157</v>
      </c>
      <c r="I10" s="84">
        <v>109544</v>
      </c>
      <c r="J10" s="84">
        <v>94462</v>
      </c>
      <c r="K10" s="84">
        <v>81649</v>
      </c>
      <c r="L10" s="84">
        <v>82771</v>
      </c>
      <c r="M10" s="84">
        <v>86963</v>
      </c>
      <c r="N10" s="84">
        <v>75440</v>
      </c>
      <c r="O10" s="84">
        <v>74369</v>
      </c>
      <c r="P10" s="84">
        <v>87880</v>
      </c>
      <c r="Q10" s="84">
        <v>87809</v>
      </c>
      <c r="R10" s="84">
        <v>981631</v>
      </c>
    </row>
    <row r="11" spans="1:19" ht="15" customHeight="1" x14ac:dyDescent="0.2">
      <c r="D11" s="76" t="s">
        <v>17</v>
      </c>
      <c r="F11" s="85">
        <v>55230</v>
      </c>
      <c r="G11" s="85">
        <v>47405</v>
      </c>
      <c r="H11" s="85">
        <v>52136</v>
      </c>
      <c r="I11" s="85">
        <v>87076</v>
      </c>
      <c r="J11" s="85">
        <v>73338</v>
      </c>
      <c r="K11" s="85">
        <v>60427</v>
      </c>
      <c r="L11" s="85">
        <v>57606</v>
      </c>
      <c r="M11" s="85">
        <v>67580</v>
      </c>
      <c r="N11" s="85">
        <v>56237</v>
      </c>
      <c r="O11" s="85">
        <v>54920</v>
      </c>
      <c r="P11" s="85">
        <v>69958</v>
      </c>
      <c r="Q11" s="85">
        <v>68374</v>
      </c>
      <c r="R11" s="85">
        <v>750287</v>
      </c>
    </row>
    <row r="12" spans="1:19" ht="15" customHeight="1" x14ac:dyDescent="0.2">
      <c r="E12" s="86" t="s">
        <v>18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</row>
    <row r="13" spans="1:19" ht="15" customHeight="1" x14ac:dyDescent="0.2">
      <c r="E13" s="76" t="s">
        <v>19</v>
      </c>
      <c r="F13" s="85">
        <v>0</v>
      </c>
      <c r="G13" s="85">
        <v>1396</v>
      </c>
      <c r="H13" s="85">
        <v>1106</v>
      </c>
      <c r="I13" s="85">
        <v>565</v>
      </c>
      <c r="J13" s="85">
        <v>400</v>
      </c>
      <c r="K13" s="85">
        <v>319</v>
      </c>
      <c r="L13" s="85">
        <v>0</v>
      </c>
      <c r="M13" s="85">
        <v>0</v>
      </c>
      <c r="N13" s="85">
        <v>1068</v>
      </c>
      <c r="O13" s="85">
        <v>45</v>
      </c>
      <c r="P13" s="85">
        <v>18</v>
      </c>
      <c r="Q13" s="85">
        <v>1800</v>
      </c>
      <c r="R13" s="85">
        <v>6717</v>
      </c>
    </row>
    <row r="14" spans="1:19" ht="15" customHeight="1" x14ac:dyDescent="0.2">
      <c r="E14" s="76" t="s">
        <v>20</v>
      </c>
      <c r="F14" s="85">
        <v>0</v>
      </c>
      <c r="G14" s="85">
        <v>0</v>
      </c>
      <c r="H14" s="85">
        <v>3573</v>
      </c>
      <c r="I14" s="85">
        <v>0</v>
      </c>
      <c r="J14" s="85">
        <v>2842</v>
      </c>
      <c r="K14" s="85">
        <v>8847</v>
      </c>
      <c r="L14" s="85">
        <v>43</v>
      </c>
      <c r="M14" s="85">
        <v>922</v>
      </c>
      <c r="N14" s="85">
        <v>1417</v>
      </c>
      <c r="O14" s="85">
        <v>181</v>
      </c>
      <c r="P14" s="85">
        <v>481</v>
      </c>
      <c r="Q14" s="85">
        <v>4780</v>
      </c>
      <c r="R14" s="85">
        <v>23086</v>
      </c>
    </row>
    <row r="15" spans="1:19" ht="15" customHeight="1" x14ac:dyDescent="0.2">
      <c r="D15" s="76" t="s">
        <v>21</v>
      </c>
      <c r="F15" s="85">
        <v>14404</v>
      </c>
      <c r="G15" s="85">
        <v>13850</v>
      </c>
      <c r="H15" s="85">
        <v>14861</v>
      </c>
      <c r="I15" s="85">
        <v>21615</v>
      </c>
      <c r="J15" s="85">
        <v>19799</v>
      </c>
      <c r="K15" s="85">
        <v>20282</v>
      </c>
      <c r="L15" s="85">
        <v>24154</v>
      </c>
      <c r="M15" s="85">
        <v>18176</v>
      </c>
      <c r="N15" s="85">
        <v>18255</v>
      </c>
      <c r="O15" s="85">
        <v>18548</v>
      </c>
      <c r="P15" s="85">
        <v>17503</v>
      </c>
      <c r="Q15" s="85">
        <v>18860</v>
      </c>
      <c r="R15" s="85">
        <v>220307</v>
      </c>
    </row>
    <row r="16" spans="1:19" ht="15" customHeight="1" x14ac:dyDescent="0.2">
      <c r="E16" s="86" t="s">
        <v>18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2:21" ht="15" customHeight="1" x14ac:dyDescent="0.2">
      <c r="E17" s="76" t="s">
        <v>20</v>
      </c>
      <c r="F17" s="85">
        <v>1</v>
      </c>
      <c r="G17" s="85">
        <v>0</v>
      </c>
      <c r="H17" s="85">
        <v>0</v>
      </c>
      <c r="I17" s="85">
        <v>5545</v>
      </c>
      <c r="J17" s="85">
        <v>3924</v>
      </c>
      <c r="K17" s="85">
        <v>4312</v>
      </c>
      <c r="L17" s="85">
        <v>5253</v>
      </c>
      <c r="M17" s="85">
        <v>1592</v>
      </c>
      <c r="N17" s="85">
        <v>565</v>
      </c>
      <c r="O17" s="85">
        <v>60</v>
      </c>
      <c r="P17" s="85">
        <v>737</v>
      </c>
      <c r="Q17" s="85">
        <v>156</v>
      </c>
      <c r="R17" s="85">
        <v>22145</v>
      </c>
    </row>
    <row r="18" spans="2:21" ht="15" customHeight="1" x14ac:dyDescent="0.2">
      <c r="D18" s="76" t="s">
        <v>106</v>
      </c>
      <c r="F18" s="85">
        <v>625</v>
      </c>
      <c r="G18" s="85">
        <v>1073</v>
      </c>
      <c r="H18" s="85">
        <v>1160</v>
      </c>
      <c r="I18" s="85">
        <v>853</v>
      </c>
      <c r="J18" s="85">
        <v>1325</v>
      </c>
      <c r="K18" s="85">
        <v>940</v>
      </c>
      <c r="L18" s="85">
        <v>1011</v>
      </c>
      <c r="M18" s="85">
        <v>1207</v>
      </c>
      <c r="N18" s="85">
        <v>948</v>
      </c>
      <c r="O18" s="85">
        <v>901</v>
      </c>
      <c r="P18" s="85">
        <v>419</v>
      </c>
      <c r="Q18" s="85">
        <v>575</v>
      </c>
      <c r="R18" s="85">
        <v>11037</v>
      </c>
    </row>
    <row r="19" spans="2:21" ht="15" customHeight="1" x14ac:dyDescent="0.2"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U19" s="76" t="s">
        <v>58</v>
      </c>
    </row>
    <row r="20" spans="2:21" ht="15" customHeight="1" x14ac:dyDescent="0.2">
      <c r="C20" s="76" t="s">
        <v>23</v>
      </c>
      <c r="F20" s="84">
        <f t="shared" ref="F20:R20" si="1">SUM(F21:F25)</f>
        <v>8201</v>
      </c>
      <c r="G20" s="84">
        <f t="shared" si="1"/>
        <v>18635</v>
      </c>
      <c r="H20" s="84">
        <f t="shared" si="1"/>
        <v>7771</v>
      </c>
      <c r="I20" s="84">
        <f t="shared" si="1"/>
        <v>7037</v>
      </c>
      <c r="J20" s="84">
        <f t="shared" si="1"/>
        <v>9724</v>
      </c>
      <c r="K20" s="84">
        <f t="shared" si="1"/>
        <v>7853</v>
      </c>
      <c r="L20" s="84">
        <f t="shared" si="1"/>
        <v>15622</v>
      </c>
      <c r="M20" s="84">
        <f t="shared" si="1"/>
        <v>8049</v>
      </c>
      <c r="N20" s="84">
        <f t="shared" si="1"/>
        <v>25255</v>
      </c>
      <c r="O20" s="84">
        <f t="shared" si="1"/>
        <v>11211</v>
      </c>
      <c r="P20" s="84">
        <f t="shared" si="1"/>
        <v>8402</v>
      </c>
      <c r="Q20" s="84">
        <f t="shared" si="1"/>
        <v>13629</v>
      </c>
      <c r="R20" s="84">
        <f t="shared" si="1"/>
        <v>141389</v>
      </c>
    </row>
    <row r="21" spans="2:21" ht="15" customHeight="1" x14ac:dyDescent="0.2">
      <c r="D21" s="76" t="s">
        <v>24</v>
      </c>
      <c r="F21" s="85">
        <v>5107</v>
      </c>
      <c r="G21" s="85">
        <v>11723</v>
      </c>
      <c r="H21" s="85">
        <v>3828</v>
      </c>
      <c r="I21" s="85">
        <v>3752</v>
      </c>
      <c r="J21" s="85">
        <v>3504</v>
      </c>
      <c r="K21" s="85">
        <v>2211</v>
      </c>
      <c r="L21" s="85">
        <v>12586</v>
      </c>
      <c r="M21" s="85">
        <v>3481</v>
      </c>
      <c r="N21" s="85">
        <v>6047</v>
      </c>
      <c r="O21" s="85">
        <v>4082</v>
      </c>
      <c r="P21" s="85">
        <v>4178</v>
      </c>
      <c r="Q21" s="85">
        <v>9413</v>
      </c>
      <c r="R21" s="85">
        <f>SUM(F21:Q21)</f>
        <v>69912</v>
      </c>
    </row>
    <row r="22" spans="2:21" ht="15" customHeight="1" x14ac:dyDescent="0.2">
      <c r="D22" s="76" t="s">
        <v>26</v>
      </c>
      <c r="F22" s="85">
        <v>268</v>
      </c>
      <c r="G22" s="85">
        <v>106</v>
      </c>
      <c r="H22" s="85">
        <v>114</v>
      </c>
      <c r="I22" s="85">
        <v>17</v>
      </c>
      <c r="J22" s="85">
        <v>10</v>
      </c>
      <c r="K22" s="85">
        <v>10</v>
      </c>
      <c r="L22" s="85">
        <v>139</v>
      </c>
      <c r="M22" s="85">
        <v>122</v>
      </c>
      <c r="N22" s="85">
        <v>304</v>
      </c>
      <c r="O22" s="85">
        <v>1</v>
      </c>
      <c r="P22" s="85">
        <v>0</v>
      </c>
      <c r="Q22" s="85">
        <v>299</v>
      </c>
      <c r="R22" s="85">
        <f>SUM(F22:Q22)</f>
        <v>1390</v>
      </c>
      <c r="T22" s="85"/>
    </row>
    <row r="23" spans="2:21" ht="15" customHeight="1" x14ac:dyDescent="0.2">
      <c r="D23" s="76" t="s">
        <v>113</v>
      </c>
      <c r="F23" s="85">
        <v>1398</v>
      </c>
      <c r="G23" s="85">
        <v>1511</v>
      </c>
      <c r="H23" s="85">
        <v>2130</v>
      </c>
      <c r="I23" s="85">
        <v>1218</v>
      </c>
      <c r="J23" s="85">
        <v>1475</v>
      </c>
      <c r="K23" s="85">
        <v>1739</v>
      </c>
      <c r="L23" s="85">
        <v>1617</v>
      </c>
      <c r="M23" s="85">
        <v>1368</v>
      </c>
      <c r="N23" s="85">
        <v>1435</v>
      </c>
      <c r="O23" s="85">
        <v>2914</v>
      </c>
      <c r="P23" s="85">
        <v>1272</v>
      </c>
      <c r="Q23" s="85">
        <v>1176</v>
      </c>
      <c r="R23" s="85">
        <f>SUM(F23:Q23)</f>
        <v>19253</v>
      </c>
      <c r="T23" s="85"/>
    </row>
    <row r="24" spans="2:21" ht="15" customHeight="1" x14ac:dyDescent="0.2">
      <c r="D24" s="76" t="s">
        <v>27</v>
      </c>
      <c r="F24" s="85">
        <v>677.59</v>
      </c>
      <c r="G24" s="85">
        <v>3955.7440000000001</v>
      </c>
      <c r="H24" s="85">
        <v>598.63099999999997</v>
      </c>
      <c r="I24" s="85">
        <v>850.29600000000005</v>
      </c>
      <c r="J24" s="85">
        <v>4375.4799999999996</v>
      </c>
      <c r="K24" s="85">
        <v>2026.287</v>
      </c>
      <c r="L24" s="85">
        <v>1340.1669999999999</v>
      </c>
      <c r="M24" s="85">
        <v>2122.8780000000002</v>
      </c>
      <c r="N24" s="85">
        <v>15974.852000000001</v>
      </c>
      <c r="O24" s="85">
        <v>1881.1510000000001</v>
      </c>
      <c r="P24" s="85">
        <v>1802.6020000000001</v>
      </c>
      <c r="Q24" s="85">
        <v>1852.7049999999999</v>
      </c>
      <c r="R24" s="85">
        <f>SUM(F24:Q24)</f>
        <v>37458.383000000002</v>
      </c>
    </row>
    <row r="25" spans="2:21" ht="15" customHeight="1" x14ac:dyDescent="0.2">
      <c r="D25" s="76" t="s">
        <v>106</v>
      </c>
      <c r="F25" s="85">
        <f>2826-F24-F23</f>
        <v>750.40999999999985</v>
      </c>
      <c r="G25" s="85">
        <f>6806-G24-G23</f>
        <v>1339.2559999999999</v>
      </c>
      <c r="H25" s="85">
        <f>3829-H24-H23</f>
        <v>1100.3690000000001</v>
      </c>
      <c r="I25" s="85">
        <f>3268-I24-I23</f>
        <v>1199.7039999999997</v>
      </c>
      <c r="J25" s="85">
        <f>6210-J24-J23</f>
        <v>359.52000000000044</v>
      </c>
      <c r="K25" s="85">
        <f>5632-K24-K23</f>
        <v>1866.7129999999997</v>
      </c>
      <c r="L25" s="85">
        <f>2897-L24-L23</f>
        <v>-60.166999999999916</v>
      </c>
      <c r="M25" s="85">
        <f>4446-M24-M23</f>
        <v>955.12199999999984</v>
      </c>
      <c r="N25" s="85">
        <f>18904-N24-N23</f>
        <v>1494.1479999999992</v>
      </c>
      <c r="O25" s="85">
        <f>7128-O24-O23</f>
        <v>2332.8490000000002</v>
      </c>
      <c r="P25" s="85">
        <f>4224-P24-P23</f>
        <v>1149.3980000000001</v>
      </c>
      <c r="Q25" s="85">
        <f>3917-Q24-Q23</f>
        <v>888.29500000000007</v>
      </c>
      <c r="R25" s="85">
        <f>SUM(F25:Q25)</f>
        <v>13375.617</v>
      </c>
    </row>
    <row r="26" spans="2:21" ht="15" customHeight="1" x14ac:dyDescent="0.2"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</row>
    <row r="27" spans="2:21" ht="15" customHeight="1" x14ac:dyDescent="0.2">
      <c r="C27" s="76" t="s">
        <v>29</v>
      </c>
      <c r="F27" s="85">
        <v>6</v>
      </c>
      <c r="G27" s="85">
        <v>2</v>
      </c>
      <c r="H27" s="85">
        <v>0</v>
      </c>
      <c r="I27" s="85">
        <v>0</v>
      </c>
      <c r="J27" s="85">
        <v>26</v>
      </c>
      <c r="K27" s="85">
        <v>48</v>
      </c>
      <c r="L27" s="85">
        <v>5</v>
      </c>
      <c r="M27" s="85">
        <v>0</v>
      </c>
      <c r="N27" s="85">
        <v>0</v>
      </c>
      <c r="O27" s="85">
        <v>1</v>
      </c>
      <c r="P27" s="85">
        <v>0</v>
      </c>
      <c r="Q27" s="85">
        <v>103</v>
      </c>
      <c r="R27" s="85">
        <v>191</v>
      </c>
    </row>
    <row r="28" spans="2:21" ht="15" customHeight="1" x14ac:dyDescent="0.2"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</row>
    <row r="29" spans="2:21" ht="15" customHeight="1" x14ac:dyDescent="0.25">
      <c r="B29" s="82" t="s">
        <v>30</v>
      </c>
      <c r="C29" s="82"/>
      <c r="D29" s="82"/>
      <c r="E29" s="82"/>
      <c r="F29" s="83">
        <f t="shared" ref="F29:Q29" si="2">SUM(F31:F37)</f>
        <v>116520</v>
      </c>
      <c r="G29" s="83">
        <f t="shared" si="2"/>
        <v>109958</v>
      </c>
      <c r="H29" s="83">
        <f t="shared" si="2"/>
        <v>128567</v>
      </c>
      <c r="I29" s="83">
        <f t="shared" si="2"/>
        <v>108677</v>
      </c>
      <c r="J29" s="83">
        <f t="shared" si="2"/>
        <v>115596</v>
      </c>
      <c r="K29" s="83">
        <f t="shared" si="2"/>
        <v>119797</v>
      </c>
      <c r="L29" s="83">
        <f t="shared" si="2"/>
        <v>133028</v>
      </c>
      <c r="M29" s="83">
        <f t="shared" si="2"/>
        <v>116993</v>
      </c>
      <c r="N29" s="83">
        <f t="shared" si="2"/>
        <v>128207</v>
      </c>
      <c r="O29" s="83">
        <f t="shared" si="2"/>
        <v>114126</v>
      </c>
      <c r="P29" s="83">
        <f t="shared" si="2"/>
        <v>102724</v>
      </c>
      <c r="Q29" s="83">
        <f t="shared" si="2"/>
        <v>127550</v>
      </c>
      <c r="R29" s="83">
        <f>SUM(F29:Q29)</f>
        <v>1421743</v>
      </c>
    </row>
    <row r="30" spans="2:21" ht="15" customHeight="1" x14ac:dyDescent="0.25"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3"/>
    </row>
    <row r="31" spans="2:21" ht="15" customHeight="1" x14ac:dyDescent="0.2">
      <c r="D31" s="76" t="s">
        <v>31</v>
      </c>
      <c r="F31" s="85">
        <v>20502</v>
      </c>
      <c r="G31" s="85">
        <v>20829</v>
      </c>
      <c r="H31" s="85">
        <v>21095</v>
      </c>
      <c r="I31" s="85">
        <v>21317</v>
      </c>
      <c r="J31" s="85">
        <v>20821</v>
      </c>
      <c r="K31" s="85">
        <v>27892</v>
      </c>
      <c r="L31" s="85">
        <v>18554</v>
      </c>
      <c r="M31" s="85">
        <v>26640</v>
      </c>
      <c r="N31" s="85">
        <v>21574</v>
      </c>
      <c r="O31" s="85">
        <v>21969</v>
      </c>
      <c r="P31" s="85">
        <v>21888</v>
      </c>
      <c r="Q31" s="85">
        <v>21564</v>
      </c>
      <c r="R31" s="85">
        <f t="shared" ref="R31:R37" si="3">SUM(F31:Q31)</f>
        <v>264645</v>
      </c>
    </row>
    <row r="32" spans="2:21" ht="15" customHeight="1" x14ac:dyDescent="0.2">
      <c r="D32" s="76" t="s">
        <v>32</v>
      </c>
      <c r="F32" s="85">
        <v>35532</v>
      </c>
      <c r="G32" s="85">
        <v>35512</v>
      </c>
      <c r="H32" s="85">
        <v>35277</v>
      </c>
      <c r="I32" s="85">
        <v>15839</v>
      </c>
      <c r="J32" s="85">
        <v>11831</v>
      </c>
      <c r="K32" s="85">
        <v>10752</v>
      </c>
      <c r="L32" s="85">
        <v>38961</v>
      </c>
      <c r="M32" s="85">
        <v>19736</v>
      </c>
      <c r="N32" s="85">
        <v>31843</v>
      </c>
      <c r="O32" s="85">
        <v>14130</v>
      </c>
      <c r="P32" s="85">
        <v>10734</v>
      </c>
      <c r="Q32" s="85">
        <v>18719</v>
      </c>
      <c r="R32" s="85">
        <f t="shared" si="3"/>
        <v>278866</v>
      </c>
    </row>
    <row r="33" spans="2:18" ht="15" customHeight="1" x14ac:dyDescent="0.2">
      <c r="D33" s="76" t="s">
        <v>33</v>
      </c>
      <c r="F33" s="85">
        <v>1</v>
      </c>
      <c r="G33" s="85">
        <v>1396</v>
      </c>
      <c r="H33" s="85">
        <v>4679</v>
      </c>
      <c r="I33" s="85">
        <v>6110</v>
      </c>
      <c r="J33" s="85">
        <v>7166</v>
      </c>
      <c r="K33" s="85">
        <v>13478</v>
      </c>
      <c r="L33" s="85">
        <v>5296</v>
      </c>
      <c r="M33" s="85">
        <v>2514</v>
      </c>
      <c r="N33" s="85">
        <v>3050</v>
      </c>
      <c r="O33" s="85">
        <v>286</v>
      </c>
      <c r="P33" s="85">
        <v>1236</v>
      </c>
      <c r="Q33" s="85">
        <v>6736</v>
      </c>
      <c r="R33" s="85">
        <f t="shared" si="3"/>
        <v>51948</v>
      </c>
    </row>
    <row r="34" spans="2:18" ht="15" customHeight="1" x14ac:dyDescent="0.2">
      <c r="D34" s="76" t="s">
        <v>78</v>
      </c>
      <c r="F34" s="85">
        <v>1147</v>
      </c>
      <c r="G34" s="85">
        <v>233</v>
      </c>
      <c r="H34" s="85">
        <v>846</v>
      </c>
      <c r="I34" s="85">
        <v>1866</v>
      </c>
      <c r="J34" s="85">
        <v>942</v>
      </c>
      <c r="K34" s="85">
        <v>1947</v>
      </c>
      <c r="L34" s="85">
        <v>3521</v>
      </c>
      <c r="M34" s="85">
        <v>1463</v>
      </c>
      <c r="N34" s="85">
        <v>596</v>
      </c>
      <c r="O34" s="85">
        <v>1960</v>
      </c>
      <c r="P34" s="85">
        <v>2320</v>
      </c>
      <c r="Q34" s="85">
        <v>598</v>
      </c>
      <c r="R34" s="85">
        <f t="shared" si="3"/>
        <v>17439</v>
      </c>
    </row>
    <row r="35" spans="2:18" ht="15" customHeight="1" x14ac:dyDescent="0.2">
      <c r="D35" s="76" t="s">
        <v>35</v>
      </c>
      <c r="F35" s="85">
        <v>0</v>
      </c>
      <c r="G35" s="85">
        <v>0</v>
      </c>
      <c r="H35" s="85">
        <v>200</v>
      </c>
      <c r="I35" s="85">
        <v>30</v>
      </c>
      <c r="J35" s="85">
        <v>0</v>
      </c>
      <c r="K35" s="85">
        <v>121</v>
      </c>
      <c r="L35" s="85">
        <v>0</v>
      </c>
      <c r="M35" s="85">
        <v>100</v>
      </c>
      <c r="N35" s="85">
        <v>122</v>
      </c>
      <c r="O35" s="85">
        <v>153</v>
      </c>
      <c r="P35" s="85">
        <v>570</v>
      </c>
      <c r="Q35" s="85">
        <v>63</v>
      </c>
      <c r="R35" s="85">
        <f t="shared" si="3"/>
        <v>1359</v>
      </c>
    </row>
    <row r="36" spans="2:18" ht="15" customHeight="1" x14ac:dyDescent="0.2">
      <c r="D36" s="76" t="s">
        <v>79</v>
      </c>
      <c r="F36" s="85">
        <v>106</v>
      </c>
      <c r="G36" s="85">
        <v>1330</v>
      </c>
      <c r="H36" s="85">
        <v>2320</v>
      </c>
      <c r="I36" s="85">
        <v>-552</v>
      </c>
      <c r="J36" s="85">
        <v>610</v>
      </c>
      <c r="K36" s="85">
        <v>2690</v>
      </c>
      <c r="L36" s="85">
        <v>-772</v>
      </c>
      <c r="M36" s="85">
        <v>580</v>
      </c>
      <c r="N36" s="85">
        <v>3860</v>
      </c>
      <c r="O36" s="85">
        <v>1116</v>
      </c>
      <c r="P36" s="85">
        <v>1629</v>
      </c>
      <c r="Q36" s="85">
        <v>-7853</v>
      </c>
      <c r="R36" s="85">
        <f t="shared" si="3"/>
        <v>5064</v>
      </c>
    </row>
    <row r="37" spans="2:18" ht="15" customHeight="1" x14ac:dyDescent="0.2">
      <c r="D37" s="6" t="s">
        <v>80</v>
      </c>
      <c r="F37" s="85">
        <v>59232</v>
      </c>
      <c r="G37" s="85">
        <v>50658</v>
      </c>
      <c r="H37" s="85">
        <v>64150</v>
      </c>
      <c r="I37" s="85">
        <v>64067</v>
      </c>
      <c r="J37" s="85">
        <v>74226</v>
      </c>
      <c r="K37" s="85">
        <v>62917</v>
      </c>
      <c r="L37" s="85">
        <v>67468</v>
      </c>
      <c r="M37" s="85">
        <v>65960</v>
      </c>
      <c r="N37" s="85">
        <v>67162</v>
      </c>
      <c r="O37" s="85">
        <v>74512</v>
      </c>
      <c r="P37" s="85">
        <v>64347</v>
      </c>
      <c r="Q37" s="85">
        <v>87723</v>
      </c>
      <c r="R37" s="85">
        <f t="shared" si="3"/>
        <v>802422</v>
      </c>
    </row>
    <row r="38" spans="2:18" ht="15" customHeight="1" x14ac:dyDescent="0.2"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</row>
    <row r="39" spans="2:18" ht="15" customHeight="1" x14ac:dyDescent="0.25">
      <c r="B39" s="82" t="s">
        <v>38</v>
      </c>
      <c r="C39" s="82"/>
      <c r="D39" s="82"/>
      <c r="E39" s="82"/>
      <c r="F39" s="88">
        <f t="shared" ref="F39:Q39" si="4">+F9-F29</f>
        <v>-38054</v>
      </c>
      <c r="G39" s="88">
        <f t="shared" si="4"/>
        <v>-28993</v>
      </c>
      <c r="H39" s="88">
        <f t="shared" si="4"/>
        <v>-52639</v>
      </c>
      <c r="I39" s="88">
        <f t="shared" si="4"/>
        <v>7904</v>
      </c>
      <c r="J39" s="88">
        <f t="shared" si="4"/>
        <v>-11384</v>
      </c>
      <c r="K39" s="88">
        <f t="shared" si="4"/>
        <v>-30247</v>
      </c>
      <c r="L39" s="88">
        <f t="shared" si="4"/>
        <v>-34630</v>
      </c>
      <c r="M39" s="88">
        <f t="shared" si="4"/>
        <v>-21981</v>
      </c>
      <c r="N39" s="88">
        <f t="shared" si="4"/>
        <v>-27512</v>
      </c>
      <c r="O39" s="88">
        <f t="shared" si="4"/>
        <v>-28545</v>
      </c>
      <c r="P39" s="88">
        <f t="shared" si="4"/>
        <v>-6442</v>
      </c>
      <c r="Q39" s="88">
        <f t="shared" si="4"/>
        <v>-26009</v>
      </c>
      <c r="R39" s="88">
        <f>SUM(F39:Q39)</f>
        <v>-298532</v>
      </c>
    </row>
    <row r="40" spans="2:18" ht="15" customHeight="1" x14ac:dyDescent="0.2"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</row>
    <row r="41" spans="2:18" ht="15" customHeight="1" x14ac:dyDescent="0.25">
      <c r="B41" s="82" t="s">
        <v>39</v>
      </c>
      <c r="C41" s="82"/>
      <c r="D41" s="82"/>
      <c r="E41" s="82"/>
      <c r="F41" s="83">
        <v>61046</v>
      </c>
      <c r="G41" s="83">
        <v>-37602</v>
      </c>
      <c r="H41" s="83">
        <v>6047</v>
      </c>
      <c r="I41" s="83">
        <v>18870</v>
      </c>
      <c r="J41" s="83">
        <v>382</v>
      </c>
      <c r="K41" s="83">
        <v>-28328</v>
      </c>
      <c r="L41" s="83">
        <v>6581</v>
      </c>
      <c r="M41" s="83">
        <v>-42144</v>
      </c>
      <c r="N41" s="83">
        <v>122526</v>
      </c>
      <c r="O41" s="83">
        <v>88469</v>
      </c>
      <c r="P41" s="83">
        <v>12263</v>
      </c>
      <c r="Q41" s="83">
        <v>21733</v>
      </c>
      <c r="R41" s="83">
        <v>229843</v>
      </c>
    </row>
    <row r="42" spans="2:18" ht="15" customHeight="1" x14ac:dyDescent="0.2">
      <c r="C42" s="76" t="s">
        <v>40</v>
      </c>
      <c r="F42" s="84">
        <v>69873</v>
      </c>
      <c r="G42" s="84">
        <v>10383</v>
      </c>
      <c r="H42" s="84">
        <v>-45332</v>
      </c>
      <c r="I42" s="84">
        <v>3248</v>
      </c>
      <c r="J42" s="84">
        <v>-2660</v>
      </c>
      <c r="K42" s="84">
        <v>-3973</v>
      </c>
      <c r="L42" s="84">
        <v>34927</v>
      </c>
      <c r="M42" s="84">
        <v>-5402</v>
      </c>
      <c r="N42" s="84">
        <v>19748</v>
      </c>
      <c r="O42" s="84">
        <v>58693</v>
      </c>
      <c r="P42" s="84">
        <v>5725</v>
      </c>
      <c r="Q42" s="84">
        <v>7247</v>
      </c>
      <c r="R42" s="84">
        <v>152477</v>
      </c>
    </row>
    <row r="43" spans="2:18" ht="15" customHeight="1" x14ac:dyDescent="0.2">
      <c r="D43" s="76" t="s">
        <v>41</v>
      </c>
      <c r="F43" s="85">
        <v>72127</v>
      </c>
      <c r="G43" s="85">
        <v>17260</v>
      </c>
      <c r="H43" s="85">
        <v>6299</v>
      </c>
      <c r="I43" s="85">
        <v>5048</v>
      </c>
      <c r="J43" s="85">
        <v>712</v>
      </c>
      <c r="K43" s="85">
        <v>1745</v>
      </c>
      <c r="L43" s="85">
        <v>37156</v>
      </c>
      <c r="M43" s="85">
        <v>1657</v>
      </c>
      <c r="N43" s="85">
        <v>26169</v>
      </c>
      <c r="O43" s="85">
        <v>61415</v>
      </c>
      <c r="P43" s="85">
        <v>8865</v>
      </c>
      <c r="Q43" s="85">
        <v>12913</v>
      </c>
      <c r="R43" s="85">
        <v>251366</v>
      </c>
    </row>
    <row r="44" spans="2:18" ht="15" customHeight="1" x14ac:dyDescent="0.2">
      <c r="D44" s="76" t="s">
        <v>98</v>
      </c>
      <c r="F44" s="85">
        <v>2254</v>
      </c>
      <c r="G44" s="85">
        <v>6877</v>
      </c>
      <c r="H44" s="85">
        <v>51631</v>
      </c>
      <c r="I44" s="85">
        <v>1800</v>
      </c>
      <c r="J44" s="85">
        <v>3372</v>
      </c>
      <c r="K44" s="85">
        <v>5718</v>
      </c>
      <c r="L44" s="85">
        <v>2229</v>
      </c>
      <c r="M44" s="85">
        <v>7059</v>
      </c>
      <c r="N44" s="85">
        <v>6421</v>
      </c>
      <c r="O44" s="85">
        <v>2722</v>
      </c>
      <c r="P44" s="85">
        <v>3140</v>
      </c>
      <c r="Q44" s="85">
        <v>5666</v>
      </c>
      <c r="R44" s="85">
        <v>98889</v>
      </c>
    </row>
    <row r="45" spans="2:18" ht="15" customHeight="1" x14ac:dyDescent="0.2"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</row>
    <row r="46" spans="2:18" ht="15" customHeight="1" x14ac:dyDescent="0.2">
      <c r="C46" s="76" t="s">
        <v>43</v>
      </c>
      <c r="F46" s="84">
        <v>-8827</v>
      </c>
      <c r="G46" s="84">
        <v>-47985</v>
      </c>
      <c r="H46" s="84">
        <v>51379</v>
      </c>
      <c r="I46" s="84">
        <v>15622</v>
      </c>
      <c r="J46" s="84">
        <v>3042</v>
      </c>
      <c r="K46" s="84">
        <v>-24355</v>
      </c>
      <c r="L46" s="84">
        <v>-28346</v>
      </c>
      <c r="M46" s="84">
        <v>-36742</v>
      </c>
      <c r="N46" s="84">
        <v>102778</v>
      </c>
      <c r="O46" s="84">
        <v>29776</v>
      </c>
      <c r="P46" s="84">
        <v>6538</v>
      </c>
      <c r="Q46" s="84">
        <v>14486</v>
      </c>
      <c r="R46" s="84">
        <v>77366</v>
      </c>
    </row>
    <row r="47" spans="2:18" ht="15" customHeight="1" x14ac:dyDescent="0.2">
      <c r="D47" s="76" t="s">
        <v>44</v>
      </c>
      <c r="F47" s="85">
        <v>1937</v>
      </c>
      <c r="G47" s="85">
        <v>24121</v>
      </c>
      <c r="H47" s="85">
        <v>92977</v>
      </c>
      <c r="I47" s="85">
        <v>26619</v>
      </c>
      <c r="J47" s="85">
        <v>11489</v>
      </c>
      <c r="K47" s="85">
        <v>-23157</v>
      </c>
      <c r="L47" s="85">
        <v>1901</v>
      </c>
      <c r="M47" s="85">
        <v>-8740</v>
      </c>
      <c r="N47" s="85">
        <v>125791</v>
      </c>
      <c r="O47" s="85">
        <v>38633</v>
      </c>
      <c r="P47" s="85">
        <v>10994</v>
      </c>
      <c r="Q47" s="85">
        <v>19333</v>
      </c>
      <c r="R47" s="85">
        <v>321898</v>
      </c>
    </row>
    <row r="48" spans="2:18" ht="15" customHeight="1" x14ac:dyDescent="0.2">
      <c r="D48" s="76" t="s">
        <v>98</v>
      </c>
      <c r="F48" s="85">
        <v>10764</v>
      </c>
      <c r="G48" s="85">
        <v>72106</v>
      </c>
      <c r="H48" s="85">
        <v>41598</v>
      </c>
      <c r="I48" s="85">
        <v>10997</v>
      </c>
      <c r="J48" s="85">
        <v>8447</v>
      </c>
      <c r="K48" s="85">
        <v>1198</v>
      </c>
      <c r="L48" s="85">
        <v>30247</v>
      </c>
      <c r="M48" s="85">
        <v>28002</v>
      </c>
      <c r="N48" s="85">
        <v>23013</v>
      </c>
      <c r="O48" s="85">
        <v>8857</v>
      </c>
      <c r="P48" s="85">
        <v>4456</v>
      </c>
      <c r="Q48" s="85">
        <v>4847</v>
      </c>
      <c r="R48" s="85">
        <v>244532</v>
      </c>
    </row>
    <row r="49" spans="1:18" ht="15" customHeight="1" x14ac:dyDescent="0.2"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</row>
    <row r="50" spans="1:18" ht="15" customHeight="1" x14ac:dyDescent="0.25">
      <c r="B50" s="82" t="s">
        <v>47</v>
      </c>
      <c r="C50" s="82"/>
      <c r="D50" s="82"/>
      <c r="E50" s="82"/>
      <c r="F50" s="83">
        <v>18301</v>
      </c>
      <c r="G50" s="83">
        <v>-113297</v>
      </c>
      <c r="H50" s="83">
        <v>-51319</v>
      </c>
      <c r="I50" s="83">
        <v>18193</v>
      </c>
      <c r="J50" s="83">
        <v>-34646</v>
      </c>
      <c r="K50" s="83">
        <v>-29947</v>
      </c>
      <c r="L50" s="83">
        <v>15831</v>
      </c>
      <c r="M50" s="83">
        <v>-30544</v>
      </c>
      <c r="N50" s="83">
        <v>95139</v>
      </c>
      <c r="O50" s="83">
        <v>34046</v>
      </c>
      <c r="P50" s="83">
        <v>-25143</v>
      </c>
      <c r="Q50" s="83">
        <v>37359</v>
      </c>
      <c r="R50" s="83">
        <v>-66027</v>
      </c>
    </row>
    <row r="51" spans="1:18" x14ac:dyDescent="0.2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</row>
    <row r="52" spans="1:18" x14ac:dyDescent="0.2">
      <c r="B52" s="79" t="s">
        <v>48</v>
      </c>
    </row>
    <row r="53" spans="1:18" x14ac:dyDescent="0.2">
      <c r="B53" s="79"/>
      <c r="C53" s="86" t="s">
        <v>99</v>
      </c>
    </row>
    <row r="54" spans="1:18" x14ac:dyDescent="0.2">
      <c r="B54" s="86"/>
      <c r="C54" s="86" t="s">
        <v>100</v>
      </c>
    </row>
    <row r="57" spans="1:18" x14ac:dyDescent="0.2">
      <c r="B57" s="86" t="s">
        <v>52</v>
      </c>
    </row>
    <row r="58" spans="1:18" x14ac:dyDescent="0.2">
      <c r="B58" s="86" t="s">
        <v>107</v>
      </c>
    </row>
  </sheetData>
  <mergeCells count="1">
    <mergeCell ref="A7:E7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MJ59"/>
  <sheetViews>
    <sheetView zoomScaleNormal="100" workbookViewId="0">
      <selection activeCell="F7" sqref="F7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33.42578125" style="76" customWidth="1"/>
    <col min="6" max="6" width="9.140625" style="76"/>
    <col min="7" max="7" width="9.85546875" style="76" customWidth="1"/>
    <col min="8" max="17" width="9.140625" style="76"/>
    <col min="18" max="18" width="10.85546875" style="76" customWidth="1"/>
    <col min="19" max="19" width="0.7109375" style="76" customWidth="1"/>
    <col min="20" max="1024" width="9.140625" style="76"/>
  </cols>
  <sheetData>
    <row r="1" spans="1:19" ht="15" x14ac:dyDescent="0.25">
      <c r="A1" s="77" t="s">
        <v>53</v>
      </c>
      <c r="B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117</v>
      </c>
      <c r="B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B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93" t="s">
        <v>55</v>
      </c>
      <c r="B4" s="78"/>
    </row>
    <row r="5" spans="1:19" ht="6" customHeight="1" x14ac:dyDescent="0.2"/>
    <row r="6" spans="1:19" s="86" customFormat="1" ht="21.75" customHeight="1" x14ac:dyDescent="0.2">
      <c r="A6" s="188" t="s">
        <v>3</v>
      </c>
      <c r="B6" s="188"/>
      <c r="C6" s="188"/>
      <c r="D6" s="188"/>
      <c r="E6" s="188"/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56</v>
      </c>
      <c r="Q6" s="2" t="s">
        <v>57</v>
      </c>
      <c r="R6" s="2" t="s">
        <v>14</v>
      </c>
      <c r="S6" s="108"/>
    </row>
    <row r="7" spans="1:19" ht="15" customHeight="1" x14ac:dyDescent="0.2">
      <c r="O7" s="85"/>
    </row>
    <row r="8" spans="1:19" ht="15" customHeight="1" x14ac:dyDescent="0.25">
      <c r="B8" s="82" t="s">
        <v>15</v>
      </c>
      <c r="C8" s="82"/>
      <c r="D8" s="82"/>
      <c r="E8" s="82"/>
      <c r="F8" s="83">
        <f t="shared" ref="F8:R8" si="0">F9+F19+F26</f>
        <v>78466</v>
      </c>
      <c r="G8" s="83">
        <f t="shared" si="0"/>
        <v>80965</v>
      </c>
      <c r="H8" s="83">
        <f t="shared" si="0"/>
        <v>75928</v>
      </c>
      <c r="I8" s="83">
        <f t="shared" si="0"/>
        <v>116581</v>
      </c>
      <c r="J8" s="83">
        <f t="shared" si="0"/>
        <v>104212</v>
      </c>
      <c r="K8" s="83">
        <f t="shared" si="0"/>
        <v>89550</v>
      </c>
      <c r="L8" s="83">
        <f t="shared" si="0"/>
        <v>98398</v>
      </c>
      <c r="M8" s="83">
        <f t="shared" si="0"/>
        <v>95012</v>
      </c>
      <c r="N8" s="83">
        <f t="shared" si="0"/>
        <v>100695</v>
      </c>
      <c r="O8" s="83">
        <f t="shared" si="0"/>
        <v>85581</v>
      </c>
      <c r="P8" s="83">
        <f t="shared" si="0"/>
        <v>96282</v>
      </c>
      <c r="Q8" s="83">
        <f t="shared" si="0"/>
        <v>101541</v>
      </c>
      <c r="R8" s="83">
        <f t="shared" si="0"/>
        <v>1123211</v>
      </c>
    </row>
    <row r="9" spans="1:19" ht="15" customHeight="1" x14ac:dyDescent="0.2">
      <c r="C9" s="76" t="s">
        <v>16</v>
      </c>
      <c r="F9" s="84">
        <f t="shared" ref="F9:R9" si="1">F10+F14+F17</f>
        <v>70259</v>
      </c>
      <c r="G9" s="84">
        <f t="shared" si="1"/>
        <v>62328</v>
      </c>
      <c r="H9" s="84">
        <f t="shared" si="1"/>
        <v>68157</v>
      </c>
      <c r="I9" s="84">
        <f t="shared" si="1"/>
        <v>109544</v>
      </c>
      <c r="J9" s="84">
        <f t="shared" si="1"/>
        <v>94462</v>
      </c>
      <c r="K9" s="84">
        <f t="shared" si="1"/>
        <v>81649</v>
      </c>
      <c r="L9" s="84">
        <f t="shared" si="1"/>
        <v>82771</v>
      </c>
      <c r="M9" s="84">
        <f t="shared" si="1"/>
        <v>86963</v>
      </c>
      <c r="N9" s="84">
        <f t="shared" si="1"/>
        <v>75440</v>
      </c>
      <c r="O9" s="84">
        <f t="shared" si="1"/>
        <v>74369</v>
      </c>
      <c r="P9" s="84">
        <f t="shared" si="1"/>
        <v>87880</v>
      </c>
      <c r="Q9" s="84">
        <f t="shared" si="1"/>
        <v>87809</v>
      </c>
      <c r="R9" s="84">
        <f t="shared" si="1"/>
        <v>981631</v>
      </c>
    </row>
    <row r="10" spans="1:19" ht="15" customHeight="1" x14ac:dyDescent="0.2">
      <c r="D10" s="76" t="s">
        <v>17</v>
      </c>
      <c r="F10" s="85">
        <v>55230</v>
      </c>
      <c r="G10" s="85">
        <v>47405</v>
      </c>
      <c r="H10" s="85">
        <v>52136</v>
      </c>
      <c r="I10" s="85">
        <v>87076</v>
      </c>
      <c r="J10" s="85">
        <v>73338</v>
      </c>
      <c r="K10" s="85">
        <v>60427</v>
      </c>
      <c r="L10" s="85">
        <v>57606</v>
      </c>
      <c r="M10" s="85">
        <v>67580</v>
      </c>
      <c r="N10" s="85">
        <v>56237</v>
      </c>
      <c r="O10" s="85">
        <v>54920</v>
      </c>
      <c r="P10" s="85">
        <v>69958</v>
      </c>
      <c r="Q10" s="85">
        <v>68374</v>
      </c>
      <c r="R10" s="85">
        <v>750287</v>
      </c>
    </row>
    <row r="11" spans="1:19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" customHeight="1" x14ac:dyDescent="0.2">
      <c r="E12" s="76" t="s">
        <v>19</v>
      </c>
      <c r="F12" s="85">
        <v>0</v>
      </c>
      <c r="G12" s="85">
        <v>1396</v>
      </c>
      <c r="H12" s="85">
        <v>1106</v>
      </c>
      <c r="I12" s="85">
        <v>565</v>
      </c>
      <c r="J12" s="85">
        <v>400</v>
      </c>
      <c r="K12" s="85">
        <v>319</v>
      </c>
      <c r="L12" s="85">
        <v>0</v>
      </c>
      <c r="M12" s="85">
        <v>0</v>
      </c>
      <c r="N12" s="85">
        <v>1068</v>
      </c>
      <c r="O12" s="85">
        <v>45</v>
      </c>
      <c r="P12" s="85">
        <v>18</v>
      </c>
      <c r="Q12" s="85">
        <v>1800</v>
      </c>
      <c r="R12" s="85">
        <v>6717</v>
      </c>
    </row>
    <row r="13" spans="1:19" ht="15" customHeight="1" x14ac:dyDescent="0.2">
      <c r="E13" s="76" t="s">
        <v>20</v>
      </c>
      <c r="F13" s="85">
        <v>0</v>
      </c>
      <c r="G13" s="85">
        <v>0</v>
      </c>
      <c r="H13" s="85">
        <v>3573</v>
      </c>
      <c r="I13" s="85">
        <v>0</v>
      </c>
      <c r="J13" s="85">
        <v>2842</v>
      </c>
      <c r="K13" s="85">
        <v>8847</v>
      </c>
      <c r="L13" s="85">
        <v>43</v>
      </c>
      <c r="M13" s="85">
        <v>922</v>
      </c>
      <c r="N13" s="85">
        <v>1417</v>
      </c>
      <c r="O13" s="85">
        <v>181</v>
      </c>
      <c r="P13" s="85">
        <v>481</v>
      </c>
      <c r="Q13" s="85">
        <v>4780</v>
      </c>
      <c r="R13" s="85">
        <v>23086</v>
      </c>
    </row>
    <row r="14" spans="1:19" ht="15" customHeight="1" x14ac:dyDescent="0.2">
      <c r="D14" s="76" t="s">
        <v>21</v>
      </c>
      <c r="F14" s="85">
        <v>14404</v>
      </c>
      <c r="G14" s="85">
        <v>13850</v>
      </c>
      <c r="H14" s="85">
        <v>14861</v>
      </c>
      <c r="I14" s="85">
        <v>21615</v>
      </c>
      <c r="J14" s="85">
        <v>19799</v>
      </c>
      <c r="K14" s="85">
        <v>20282</v>
      </c>
      <c r="L14" s="85">
        <v>24154</v>
      </c>
      <c r="M14" s="85">
        <v>18176</v>
      </c>
      <c r="N14" s="85">
        <v>18255</v>
      </c>
      <c r="O14" s="85">
        <v>18548</v>
      </c>
      <c r="P14" s="85">
        <v>17503</v>
      </c>
      <c r="Q14" s="85">
        <v>18860</v>
      </c>
      <c r="R14" s="85">
        <v>220307</v>
      </c>
    </row>
    <row r="15" spans="1:19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" customHeight="1" x14ac:dyDescent="0.2">
      <c r="E16" s="76" t="s">
        <v>20</v>
      </c>
      <c r="F16" s="85">
        <v>1</v>
      </c>
      <c r="G16" s="85">
        <v>0</v>
      </c>
      <c r="H16" s="85">
        <v>0</v>
      </c>
      <c r="I16" s="85">
        <v>5545</v>
      </c>
      <c r="J16" s="85">
        <v>3924</v>
      </c>
      <c r="K16" s="85">
        <v>4312</v>
      </c>
      <c r="L16" s="85">
        <v>5253</v>
      </c>
      <c r="M16" s="85">
        <v>1592</v>
      </c>
      <c r="N16" s="85">
        <v>565</v>
      </c>
      <c r="O16" s="85">
        <v>60</v>
      </c>
      <c r="P16" s="85">
        <v>737</v>
      </c>
      <c r="Q16" s="85">
        <v>156</v>
      </c>
      <c r="R16" s="85">
        <v>22145</v>
      </c>
    </row>
    <row r="17" spans="2:21" ht="15" customHeight="1" x14ac:dyDescent="0.2">
      <c r="D17" s="76" t="s">
        <v>106</v>
      </c>
      <c r="F17" s="85">
        <v>625</v>
      </c>
      <c r="G17" s="85">
        <v>1073</v>
      </c>
      <c r="H17" s="85">
        <v>1160</v>
      </c>
      <c r="I17" s="85">
        <v>853</v>
      </c>
      <c r="J17" s="85">
        <v>1325</v>
      </c>
      <c r="K17" s="85">
        <v>940</v>
      </c>
      <c r="L17" s="85">
        <v>1011</v>
      </c>
      <c r="M17" s="85">
        <v>1207</v>
      </c>
      <c r="N17" s="85">
        <v>948</v>
      </c>
      <c r="O17" s="85">
        <v>901</v>
      </c>
      <c r="P17" s="85">
        <v>419</v>
      </c>
      <c r="Q17" s="85">
        <v>575</v>
      </c>
      <c r="R17" s="85">
        <v>11037</v>
      </c>
    </row>
    <row r="18" spans="2:21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5" customHeight="1" x14ac:dyDescent="0.2">
      <c r="C19" s="76" t="s">
        <v>23</v>
      </c>
      <c r="F19" s="84">
        <f t="shared" ref="F19:R19" si="2">SUM(F20:F24)</f>
        <v>8201</v>
      </c>
      <c r="G19" s="84">
        <f t="shared" si="2"/>
        <v>18635</v>
      </c>
      <c r="H19" s="84">
        <f t="shared" si="2"/>
        <v>7771</v>
      </c>
      <c r="I19" s="84">
        <f t="shared" si="2"/>
        <v>7037</v>
      </c>
      <c r="J19" s="84">
        <f t="shared" si="2"/>
        <v>9724</v>
      </c>
      <c r="K19" s="84">
        <f t="shared" si="2"/>
        <v>7853</v>
      </c>
      <c r="L19" s="84">
        <f t="shared" si="2"/>
        <v>15622</v>
      </c>
      <c r="M19" s="84">
        <f t="shared" si="2"/>
        <v>8049</v>
      </c>
      <c r="N19" s="84">
        <f t="shared" si="2"/>
        <v>25255</v>
      </c>
      <c r="O19" s="84">
        <f t="shared" si="2"/>
        <v>11211</v>
      </c>
      <c r="P19" s="84">
        <f t="shared" si="2"/>
        <v>8402</v>
      </c>
      <c r="Q19" s="84">
        <f t="shared" si="2"/>
        <v>13629</v>
      </c>
      <c r="R19" s="84">
        <f t="shared" si="2"/>
        <v>141389</v>
      </c>
    </row>
    <row r="20" spans="2:21" ht="15" customHeight="1" x14ac:dyDescent="0.2">
      <c r="D20" s="76" t="s">
        <v>24</v>
      </c>
      <c r="F20" s="85">
        <v>5107</v>
      </c>
      <c r="G20" s="85">
        <v>11723</v>
      </c>
      <c r="H20" s="85">
        <v>3828</v>
      </c>
      <c r="I20" s="85">
        <v>3752</v>
      </c>
      <c r="J20" s="85">
        <v>3504</v>
      </c>
      <c r="K20" s="85">
        <v>2211</v>
      </c>
      <c r="L20" s="85">
        <v>12586</v>
      </c>
      <c r="M20" s="85">
        <v>3481</v>
      </c>
      <c r="N20" s="85">
        <v>6047</v>
      </c>
      <c r="O20" s="85">
        <v>4082</v>
      </c>
      <c r="P20" s="85">
        <v>4178</v>
      </c>
      <c r="Q20" s="85">
        <v>9413</v>
      </c>
      <c r="R20" s="85">
        <f>SUM(F20:Q20)</f>
        <v>69912</v>
      </c>
    </row>
    <row r="21" spans="2:21" ht="15" customHeight="1" x14ac:dyDescent="0.2">
      <c r="D21" s="76" t="s">
        <v>26</v>
      </c>
      <c r="F21" s="85">
        <v>268</v>
      </c>
      <c r="G21" s="85">
        <v>106</v>
      </c>
      <c r="H21" s="85">
        <v>114</v>
      </c>
      <c r="I21" s="85">
        <v>17</v>
      </c>
      <c r="J21" s="85">
        <v>10</v>
      </c>
      <c r="K21" s="85">
        <v>10</v>
      </c>
      <c r="L21" s="85">
        <v>139</v>
      </c>
      <c r="M21" s="85">
        <v>122</v>
      </c>
      <c r="N21" s="85">
        <v>304</v>
      </c>
      <c r="O21" s="85">
        <v>1</v>
      </c>
      <c r="P21" s="85">
        <v>0</v>
      </c>
      <c r="Q21" s="85">
        <v>299</v>
      </c>
      <c r="R21" s="85">
        <f>SUM(F21:Q21)</f>
        <v>1390</v>
      </c>
      <c r="T21" s="85"/>
    </row>
    <row r="22" spans="2:21" ht="15" customHeight="1" x14ac:dyDescent="0.2">
      <c r="D22" s="76" t="s">
        <v>113</v>
      </c>
      <c r="F22" s="85">
        <v>1398</v>
      </c>
      <c r="G22" s="85">
        <v>1511</v>
      </c>
      <c r="H22" s="85">
        <v>2130</v>
      </c>
      <c r="I22" s="85">
        <v>1218</v>
      </c>
      <c r="J22" s="85">
        <v>1475</v>
      </c>
      <c r="K22" s="85">
        <v>1739</v>
      </c>
      <c r="L22" s="85">
        <v>1617</v>
      </c>
      <c r="M22" s="85">
        <v>1368</v>
      </c>
      <c r="N22" s="85">
        <v>1435</v>
      </c>
      <c r="O22" s="85">
        <v>2914</v>
      </c>
      <c r="P22" s="85">
        <v>1272</v>
      </c>
      <c r="Q22" s="85">
        <v>1176</v>
      </c>
      <c r="R22" s="85">
        <f>SUM(F22:Q22)</f>
        <v>19253</v>
      </c>
      <c r="T22" s="85"/>
    </row>
    <row r="23" spans="2:21" ht="15" customHeight="1" x14ac:dyDescent="0.2">
      <c r="D23" s="76" t="s">
        <v>27</v>
      </c>
      <c r="F23" s="85">
        <v>677.59</v>
      </c>
      <c r="G23" s="85">
        <v>3955.7440000000001</v>
      </c>
      <c r="H23" s="85">
        <v>598.63099999999997</v>
      </c>
      <c r="I23" s="85">
        <v>850.29600000000005</v>
      </c>
      <c r="J23" s="85">
        <v>4375.4799999999996</v>
      </c>
      <c r="K23" s="85">
        <v>2026.287</v>
      </c>
      <c r="L23" s="85">
        <v>1340.1669999999999</v>
      </c>
      <c r="M23" s="85">
        <v>2122.8780000000002</v>
      </c>
      <c r="N23" s="85">
        <v>15974.852000000001</v>
      </c>
      <c r="O23" s="85">
        <v>1881.1510000000001</v>
      </c>
      <c r="P23" s="85">
        <v>1802.6020000000001</v>
      </c>
      <c r="Q23" s="85">
        <v>1852.7049999999999</v>
      </c>
      <c r="R23" s="85">
        <f>SUM(F23:Q23)</f>
        <v>37458.383000000002</v>
      </c>
    </row>
    <row r="24" spans="2:21" ht="15" customHeight="1" x14ac:dyDescent="0.2">
      <c r="D24" s="76" t="s">
        <v>106</v>
      </c>
      <c r="F24" s="85">
        <f>2826-F23-F22</f>
        <v>750.40999999999985</v>
      </c>
      <c r="G24" s="85">
        <f>6806-G23-G22</f>
        <v>1339.2559999999999</v>
      </c>
      <c r="H24" s="85">
        <f>3829-H23-H22</f>
        <v>1100.3690000000001</v>
      </c>
      <c r="I24" s="85">
        <f>3268-I23-I22</f>
        <v>1199.7039999999997</v>
      </c>
      <c r="J24" s="85">
        <f>6210-J23-J22</f>
        <v>359.52000000000044</v>
      </c>
      <c r="K24" s="85">
        <f>5632-K23-K22</f>
        <v>1866.7129999999997</v>
      </c>
      <c r="L24" s="109">
        <f>2897-L23-L22</f>
        <v>-60.166999999999916</v>
      </c>
      <c r="M24" s="85">
        <f>4446-M23-M22</f>
        <v>955.12199999999984</v>
      </c>
      <c r="N24" s="85">
        <f>18904-N23-N22</f>
        <v>1494.1479999999992</v>
      </c>
      <c r="O24" s="85">
        <f>7128-O23-O22</f>
        <v>2332.8490000000002</v>
      </c>
      <c r="P24" s="85">
        <f>4224-P23-P22</f>
        <v>1149.3980000000001</v>
      </c>
      <c r="Q24" s="85">
        <f>3917-Q23-Q22</f>
        <v>888.29500000000007</v>
      </c>
      <c r="R24" s="85">
        <f>SUM(F24:Q24)</f>
        <v>13375.617</v>
      </c>
    </row>
    <row r="25" spans="2:21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5" customHeight="1" x14ac:dyDescent="0.2">
      <c r="C26" s="76" t="s">
        <v>29</v>
      </c>
      <c r="F26" s="85">
        <v>6</v>
      </c>
      <c r="G26" s="85">
        <v>2</v>
      </c>
      <c r="H26" s="85">
        <v>0</v>
      </c>
      <c r="I26" s="85">
        <v>0</v>
      </c>
      <c r="J26" s="85">
        <v>26</v>
      </c>
      <c r="K26" s="85">
        <v>48</v>
      </c>
      <c r="L26" s="85">
        <v>5</v>
      </c>
      <c r="M26" s="85">
        <v>0</v>
      </c>
      <c r="N26" s="85">
        <v>0</v>
      </c>
      <c r="O26" s="85">
        <v>1</v>
      </c>
      <c r="P26" s="85">
        <v>0</v>
      </c>
      <c r="Q26" s="85">
        <v>103</v>
      </c>
      <c r="R26" s="85">
        <v>191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5">
      <c r="B28" s="82" t="s">
        <v>30</v>
      </c>
      <c r="C28" s="82"/>
      <c r="D28" s="82"/>
      <c r="E28" s="82"/>
      <c r="F28" s="83">
        <f t="shared" ref="F28:Q28" si="3">SUM(F30:F36)</f>
        <v>116520</v>
      </c>
      <c r="G28" s="83">
        <f t="shared" si="3"/>
        <v>109958</v>
      </c>
      <c r="H28" s="83">
        <f t="shared" si="3"/>
        <v>128567</v>
      </c>
      <c r="I28" s="83">
        <f t="shared" si="3"/>
        <v>108677</v>
      </c>
      <c r="J28" s="83">
        <f t="shared" si="3"/>
        <v>115596</v>
      </c>
      <c r="K28" s="83">
        <f t="shared" si="3"/>
        <v>119797</v>
      </c>
      <c r="L28" s="83">
        <f t="shared" si="3"/>
        <v>133028</v>
      </c>
      <c r="M28" s="83">
        <f t="shared" si="3"/>
        <v>116993</v>
      </c>
      <c r="N28" s="83">
        <f t="shared" si="3"/>
        <v>128207</v>
      </c>
      <c r="O28" s="83">
        <f t="shared" si="3"/>
        <v>114126</v>
      </c>
      <c r="P28" s="83">
        <f t="shared" si="3"/>
        <v>102724</v>
      </c>
      <c r="Q28" s="83">
        <f t="shared" si="3"/>
        <v>127550</v>
      </c>
      <c r="R28" s="83">
        <f>SUM(F28:Q28)</f>
        <v>1421743</v>
      </c>
    </row>
    <row r="29" spans="2:21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5" customHeight="1" x14ac:dyDescent="0.2">
      <c r="D30" s="76" t="s">
        <v>31</v>
      </c>
      <c r="F30" s="85">
        <v>20502</v>
      </c>
      <c r="G30" s="85">
        <v>20829</v>
      </c>
      <c r="H30" s="85">
        <v>21095</v>
      </c>
      <c r="I30" s="85">
        <v>21317</v>
      </c>
      <c r="J30" s="85">
        <v>20821</v>
      </c>
      <c r="K30" s="85">
        <v>27892</v>
      </c>
      <c r="L30" s="85">
        <v>18554</v>
      </c>
      <c r="M30" s="85">
        <v>26640</v>
      </c>
      <c r="N30" s="85">
        <v>21574</v>
      </c>
      <c r="O30" s="85">
        <v>21969</v>
      </c>
      <c r="P30" s="85">
        <v>21888</v>
      </c>
      <c r="Q30" s="85">
        <v>21564</v>
      </c>
      <c r="R30" s="85">
        <f t="shared" ref="R30:R36" si="4">SUM(F30:Q30)</f>
        <v>264645</v>
      </c>
    </row>
    <row r="31" spans="2:21" ht="15" customHeight="1" x14ac:dyDescent="0.2">
      <c r="D31" s="76" t="s">
        <v>32</v>
      </c>
      <c r="F31" s="85">
        <v>35532</v>
      </c>
      <c r="G31" s="85">
        <v>35512</v>
      </c>
      <c r="H31" s="85">
        <v>35277</v>
      </c>
      <c r="I31" s="85">
        <v>15839</v>
      </c>
      <c r="J31" s="85">
        <v>11831</v>
      </c>
      <c r="K31" s="85">
        <v>10752</v>
      </c>
      <c r="L31" s="85">
        <v>38961</v>
      </c>
      <c r="M31" s="85">
        <v>19736</v>
      </c>
      <c r="N31" s="85">
        <v>31843</v>
      </c>
      <c r="O31" s="85">
        <v>14130</v>
      </c>
      <c r="P31" s="85">
        <v>10734</v>
      </c>
      <c r="Q31" s="85">
        <v>18719</v>
      </c>
      <c r="R31" s="85">
        <f t="shared" si="4"/>
        <v>278866</v>
      </c>
    </row>
    <row r="32" spans="2:21" ht="15" customHeight="1" x14ac:dyDescent="0.2">
      <c r="D32" s="76" t="s">
        <v>33</v>
      </c>
      <c r="F32" s="85">
        <v>1</v>
      </c>
      <c r="G32" s="85">
        <v>1396</v>
      </c>
      <c r="H32" s="85">
        <v>4679</v>
      </c>
      <c r="I32" s="85">
        <v>6110</v>
      </c>
      <c r="J32" s="85">
        <v>7166</v>
      </c>
      <c r="K32" s="85">
        <v>13478</v>
      </c>
      <c r="L32" s="85">
        <v>5296</v>
      </c>
      <c r="M32" s="85">
        <v>2514</v>
      </c>
      <c r="N32" s="85">
        <v>3050</v>
      </c>
      <c r="O32" s="85">
        <v>286</v>
      </c>
      <c r="P32" s="85">
        <v>1236</v>
      </c>
      <c r="Q32" s="85">
        <v>6736</v>
      </c>
      <c r="R32" s="85">
        <f t="shared" si="4"/>
        <v>51948</v>
      </c>
    </row>
    <row r="33" spans="2:18" ht="15" customHeight="1" x14ac:dyDescent="0.2">
      <c r="D33" s="76" t="s">
        <v>78</v>
      </c>
      <c r="F33" s="85">
        <v>1147</v>
      </c>
      <c r="G33" s="85">
        <v>233</v>
      </c>
      <c r="H33" s="85">
        <v>846</v>
      </c>
      <c r="I33" s="85">
        <v>1866</v>
      </c>
      <c r="J33" s="85">
        <v>942</v>
      </c>
      <c r="K33" s="85">
        <v>1947</v>
      </c>
      <c r="L33" s="85">
        <v>3521</v>
      </c>
      <c r="M33" s="85">
        <v>1463</v>
      </c>
      <c r="N33" s="85">
        <v>596</v>
      </c>
      <c r="O33" s="85">
        <v>1960</v>
      </c>
      <c r="P33" s="85">
        <v>2320</v>
      </c>
      <c r="Q33" s="85">
        <v>598</v>
      </c>
      <c r="R33" s="85">
        <f t="shared" si="4"/>
        <v>17439</v>
      </c>
    </row>
    <row r="34" spans="2:18" ht="15" customHeight="1" x14ac:dyDescent="0.2">
      <c r="D34" s="76" t="s">
        <v>35</v>
      </c>
      <c r="F34" s="85">
        <v>0</v>
      </c>
      <c r="G34" s="85">
        <v>0</v>
      </c>
      <c r="H34" s="85">
        <v>200</v>
      </c>
      <c r="I34" s="85">
        <v>30</v>
      </c>
      <c r="J34" s="85">
        <v>0</v>
      </c>
      <c r="K34" s="85">
        <v>121</v>
      </c>
      <c r="L34" s="85">
        <v>0</v>
      </c>
      <c r="M34" s="85">
        <v>100</v>
      </c>
      <c r="N34" s="85">
        <v>122</v>
      </c>
      <c r="O34" s="85">
        <v>153</v>
      </c>
      <c r="P34" s="85">
        <v>570</v>
      </c>
      <c r="Q34" s="85">
        <v>63</v>
      </c>
      <c r="R34" s="85">
        <f t="shared" si="4"/>
        <v>1359</v>
      </c>
    </row>
    <row r="35" spans="2:18" ht="15" customHeight="1" x14ac:dyDescent="0.2">
      <c r="D35" s="76" t="s">
        <v>79</v>
      </c>
      <c r="F35" s="85">
        <v>106</v>
      </c>
      <c r="G35" s="85">
        <v>1330</v>
      </c>
      <c r="H35" s="85">
        <v>2320</v>
      </c>
      <c r="I35" s="85">
        <v>-552</v>
      </c>
      <c r="J35" s="85">
        <v>610</v>
      </c>
      <c r="K35" s="85">
        <v>2690</v>
      </c>
      <c r="L35" s="85">
        <v>-772</v>
      </c>
      <c r="M35" s="85">
        <v>580</v>
      </c>
      <c r="N35" s="85">
        <v>3860</v>
      </c>
      <c r="O35" s="85">
        <v>1116</v>
      </c>
      <c r="P35" s="85">
        <v>1629</v>
      </c>
      <c r="Q35" s="85">
        <v>-7853</v>
      </c>
      <c r="R35" s="85">
        <f t="shared" si="4"/>
        <v>5064</v>
      </c>
    </row>
    <row r="36" spans="2:18" ht="15" customHeight="1" x14ac:dyDescent="0.2">
      <c r="D36" s="6" t="s">
        <v>80</v>
      </c>
      <c r="F36" s="85">
        <v>59232</v>
      </c>
      <c r="G36" s="85">
        <v>50658</v>
      </c>
      <c r="H36" s="85">
        <v>64150</v>
      </c>
      <c r="I36" s="85">
        <v>64067</v>
      </c>
      <c r="J36" s="85">
        <v>74226</v>
      </c>
      <c r="K36" s="85">
        <v>62917</v>
      </c>
      <c r="L36" s="85">
        <v>67468</v>
      </c>
      <c r="M36" s="85">
        <v>65960</v>
      </c>
      <c r="N36" s="85">
        <v>67162</v>
      </c>
      <c r="O36" s="85">
        <v>74512</v>
      </c>
      <c r="P36" s="85">
        <v>64347</v>
      </c>
      <c r="Q36" s="85">
        <v>87723</v>
      </c>
      <c r="R36" s="85">
        <f t="shared" si="4"/>
        <v>802422</v>
      </c>
    </row>
    <row r="37" spans="2:18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</row>
    <row r="38" spans="2:18" ht="15" customHeight="1" x14ac:dyDescent="0.25">
      <c r="B38" s="82" t="s">
        <v>38</v>
      </c>
      <c r="C38" s="82"/>
      <c r="D38" s="82"/>
      <c r="E38" s="82"/>
      <c r="F38" s="88">
        <f t="shared" ref="F38:Q38" si="5">+F8-F28</f>
        <v>-38054</v>
      </c>
      <c r="G38" s="88">
        <f t="shared" si="5"/>
        <v>-28993</v>
      </c>
      <c r="H38" s="88">
        <f t="shared" si="5"/>
        <v>-52639</v>
      </c>
      <c r="I38" s="88">
        <f t="shared" si="5"/>
        <v>7904</v>
      </c>
      <c r="J38" s="88">
        <f t="shared" si="5"/>
        <v>-11384</v>
      </c>
      <c r="K38" s="88">
        <f t="shared" si="5"/>
        <v>-30247</v>
      </c>
      <c r="L38" s="88">
        <f t="shared" si="5"/>
        <v>-34630</v>
      </c>
      <c r="M38" s="88">
        <f t="shared" si="5"/>
        <v>-21981</v>
      </c>
      <c r="N38" s="88">
        <f t="shared" si="5"/>
        <v>-27512</v>
      </c>
      <c r="O38" s="88">
        <f t="shared" si="5"/>
        <v>-28545</v>
      </c>
      <c r="P38" s="88">
        <f t="shared" si="5"/>
        <v>-6442</v>
      </c>
      <c r="Q38" s="88">
        <f t="shared" si="5"/>
        <v>-26009</v>
      </c>
      <c r="R38" s="88">
        <f>SUM(F38:Q38)</f>
        <v>-298532</v>
      </c>
    </row>
    <row r="39" spans="2:18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18" ht="15" customHeight="1" x14ac:dyDescent="0.25">
      <c r="B40" s="82" t="s">
        <v>39</v>
      </c>
      <c r="C40" s="82"/>
      <c r="D40" s="82"/>
      <c r="E40" s="82"/>
      <c r="F40" s="83">
        <v>71810</v>
      </c>
      <c r="G40" s="83">
        <v>34504</v>
      </c>
      <c r="H40" s="83">
        <v>47645</v>
      </c>
      <c r="I40" s="83">
        <v>29867</v>
      </c>
      <c r="J40" s="83">
        <v>8829</v>
      </c>
      <c r="K40" s="83">
        <v>-27258</v>
      </c>
      <c r="L40" s="83">
        <v>36672</v>
      </c>
      <c r="M40" s="83">
        <v>-14308</v>
      </c>
      <c r="N40" s="83">
        <v>145365</v>
      </c>
      <c r="O40" s="83">
        <v>97054</v>
      </c>
      <c r="P40" s="83">
        <v>16719</v>
      </c>
      <c r="Q40" s="83">
        <v>26146</v>
      </c>
      <c r="R40" s="83">
        <v>473045</v>
      </c>
    </row>
    <row r="41" spans="2:18" ht="15" customHeight="1" x14ac:dyDescent="0.2">
      <c r="C41" s="76" t="s">
        <v>40</v>
      </c>
      <c r="F41" s="84">
        <v>69873</v>
      </c>
      <c r="G41" s="84">
        <v>10383</v>
      </c>
      <c r="H41" s="84">
        <v>-45332</v>
      </c>
      <c r="I41" s="84">
        <v>3248</v>
      </c>
      <c r="J41" s="84">
        <v>-2660</v>
      </c>
      <c r="K41" s="84">
        <v>-3973</v>
      </c>
      <c r="L41" s="84">
        <v>34927</v>
      </c>
      <c r="M41" s="84">
        <v>-5402</v>
      </c>
      <c r="N41" s="84">
        <v>19748</v>
      </c>
      <c r="O41" s="84">
        <v>58693</v>
      </c>
      <c r="P41" s="84">
        <v>5725</v>
      </c>
      <c r="Q41" s="84">
        <v>7247</v>
      </c>
      <c r="R41" s="84">
        <v>152477</v>
      </c>
    </row>
    <row r="42" spans="2:18" ht="15" customHeight="1" x14ac:dyDescent="0.2">
      <c r="D42" s="76" t="s">
        <v>41</v>
      </c>
      <c r="F42" s="85">
        <v>72127</v>
      </c>
      <c r="G42" s="85">
        <v>17260</v>
      </c>
      <c r="H42" s="85">
        <v>6299</v>
      </c>
      <c r="I42" s="85">
        <v>5048</v>
      </c>
      <c r="J42" s="85">
        <v>712</v>
      </c>
      <c r="K42" s="85">
        <v>1745</v>
      </c>
      <c r="L42" s="85">
        <v>37156</v>
      </c>
      <c r="M42" s="85">
        <v>1657</v>
      </c>
      <c r="N42" s="85">
        <v>26169</v>
      </c>
      <c r="O42" s="85">
        <v>61415</v>
      </c>
      <c r="P42" s="85">
        <v>8865</v>
      </c>
      <c r="Q42" s="85">
        <v>12913</v>
      </c>
      <c r="R42" s="85">
        <v>251366</v>
      </c>
    </row>
    <row r="43" spans="2:18" ht="15" customHeight="1" x14ac:dyDescent="0.2">
      <c r="D43" s="76" t="s">
        <v>98</v>
      </c>
      <c r="F43" s="85">
        <v>2254</v>
      </c>
      <c r="G43" s="85">
        <v>6877</v>
      </c>
      <c r="H43" s="85">
        <v>51631</v>
      </c>
      <c r="I43" s="85">
        <v>1800</v>
      </c>
      <c r="J43" s="85">
        <v>3372</v>
      </c>
      <c r="K43" s="85">
        <v>5718</v>
      </c>
      <c r="L43" s="85">
        <v>2229</v>
      </c>
      <c r="M43" s="85">
        <v>7059</v>
      </c>
      <c r="N43" s="85">
        <v>6421</v>
      </c>
      <c r="O43" s="85">
        <v>2722</v>
      </c>
      <c r="P43" s="85">
        <v>3140</v>
      </c>
      <c r="Q43" s="85">
        <v>5666</v>
      </c>
      <c r="R43" s="85">
        <v>98889</v>
      </c>
    </row>
    <row r="44" spans="2:18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18" ht="15" customHeight="1" x14ac:dyDescent="0.2">
      <c r="C45" s="76" t="s">
        <v>43</v>
      </c>
      <c r="F45" s="84">
        <v>1937</v>
      </c>
      <c r="G45" s="84">
        <v>24121</v>
      </c>
      <c r="H45" s="84">
        <v>92977</v>
      </c>
      <c r="I45" s="84">
        <v>26619</v>
      </c>
      <c r="J45" s="84">
        <v>11489</v>
      </c>
      <c r="K45" s="84">
        <v>-23285</v>
      </c>
      <c r="L45" s="84">
        <v>1745</v>
      </c>
      <c r="M45" s="84">
        <v>-8906</v>
      </c>
      <c r="N45" s="84">
        <v>125617</v>
      </c>
      <c r="O45" s="84">
        <v>38361</v>
      </c>
      <c r="P45" s="84">
        <v>10994</v>
      </c>
      <c r="Q45" s="84">
        <v>18899</v>
      </c>
      <c r="R45" s="84">
        <v>320568</v>
      </c>
    </row>
    <row r="46" spans="2:18" ht="15" customHeight="1" x14ac:dyDescent="0.2">
      <c r="D46" s="76" t="s">
        <v>44</v>
      </c>
      <c r="F46" s="85">
        <v>138512</v>
      </c>
      <c r="G46" s="85">
        <v>24121</v>
      </c>
      <c r="H46" s="85">
        <v>92977</v>
      </c>
      <c r="I46" s="85">
        <v>26619</v>
      </c>
      <c r="J46" s="85">
        <v>11489</v>
      </c>
      <c r="K46" s="85">
        <v>-23157</v>
      </c>
      <c r="L46" s="85">
        <v>1901</v>
      </c>
      <c r="M46" s="85">
        <v>-8740</v>
      </c>
      <c r="N46" s="85">
        <v>125791</v>
      </c>
      <c r="O46" s="85">
        <v>38633</v>
      </c>
      <c r="P46" s="85">
        <v>10994</v>
      </c>
      <c r="Q46" s="85">
        <v>19333</v>
      </c>
      <c r="R46" s="85">
        <v>458473</v>
      </c>
    </row>
    <row r="47" spans="2:18" ht="15" customHeight="1" x14ac:dyDescent="0.2">
      <c r="D47" s="76" t="s">
        <v>45</v>
      </c>
      <c r="F47" s="85">
        <v>136575</v>
      </c>
      <c r="G47" s="85">
        <v>0</v>
      </c>
      <c r="H47" s="85">
        <v>0</v>
      </c>
      <c r="I47" s="85">
        <v>0</v>
      </c>
      <c r="J47" s="85">
        <v>0</v>
      </c>
      <c r="K47" s="85">
        <v>128</v>
      </c>
      <c r="L47" s="85">
        <v>156</v>
      </c>
      <c r="M47" s="85">
        <v>166</v>
      </c>
      <c r="N47" s="85">
        <v>174</v>
      </c>
      <c r="O47" s="85">
        <v>272</v>
      </c>
      <c r="P47" s="85">
        <v>0</v>
      </c>
      <c r="Q47" s="85">
        <v>434</v>
      </c>
      <c r="R47" s="85">
        <v>137905</v>
      </c>
    </row>
    <row r="48" spans="2:18" ht="15" customHeight="1" x14ac:dyDescent="0.2">
      <c r="E48" s="6" t="s">
        <v>68</v>
      </c>
      <c r="F48" s="85">
        <v>156614</v>
      </c>
      <c r="G48" s="85">
        <v>118232</v>
      </c>
      <c r="H48" s="85">
        <v>3752</v>
      </c>
      <c r="I48" s="85">
        <v>11643</v>
      </c>
      <c r="J48" s="85">
        <v>10939</v>
      </c>
      <c r="K48" s="85">
        <v>3810</v>
      </c>
      <c r="L48" s="85">
        <v>37080</v>
      </c>
      <c r="M48" s="85">
        <v>23121</v>
      </c>
      <c r="N48" s="85">
        <v>10957</v>
      </c>
      <c r="O48" s="85">
        <v>14231</v>
      </c>
      <c r="P48" s="85">
        <v>7250</v>
      </c>
      <c r="Q48" s="85">
        <v>3919</v>
      </c>
      <c r="R48" s="85">
        <v>401548</v>
      </c>
    </row>
    <row r="49" spans="2:18" ht="15" customHeight="1" x14ac:dyDescent="0.2">
      <c r="E49" s="22" t="s">
        <v>81</v>
      </c>
      <c r="F49" s="85">
        <v>20039</v>
      </c>
      <c r="G49" s="85">
        <v>118232</v>
      </c>
      <c r="H49" s="85">
        <v>3752</v>
      </c>
      <c r="I49" s="85">
        <v>11643</v>
      </c>
      <c r="J49" s="85">
        <v>10939</v>
      </c>
      <c r="K49" s="85">
        <v>3682</v>
      </c>
      <c r="L49" s="85">
        <v>36924</v>
      </c>
      <c r="M49" s="85">
        <v>22955</v>
      </c>
      <c r="N49" s="85">
        <v>10783</v>
      </c>
      <c r="O49" s="85">
        <v>13959</v>
      </c>
      <c r="P49" s="85">
        <v>7250</v>
      </c>
      <c r="Q49" s="85">
        <v>3485</v>
      </c>
      <c r="R49" s="85">
        <v>263643</v>
      </c>
    </row>
    <row r="50" spans="2:18" ht="15" customHeight="1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2:18" ht="15" customHeight="1" x14ac:dyDescent="0.25">
      <c r="B51" s="82" t="s">
        <v>47</v>
      </c>
      <c r="C51" s="82"/>
      <c r="D51" s="82"/>
      <c r="E51" s="82"/>
      <c r="F51" s="83">
        <v>18301</v>
      </c>
      <c r="G51" s="83">
        <v>-113297</v>
      </c>
      <c r="H51" s="83">
        <v>-51319</v>
      </c>
      <c r="I51" s="83">
        <v>18193</v>
      </c>
      <c r="J51" s="83">
        <v>-34646</v>
      </c>
      <c r="K51" s="83">
        <v>-29947</v>
      </c>
      <c r="L51" s="83">
        <v>15831</v>
      </c>
      <c r="M51" s="83">
        <v>-30544</v>
      </c>
      <c r="N51" s="83">
        <v>95139</v>
      </c>
      <c r="O51" s="83">
        <v>34046</v>
      </c>
      <c r="P51" s="83">
        <v>-25143</v>
      </c>
      <c r="Q51" s="83">
        <v>37359</v>
      </c>
      <c r="R51" s="83">
        <v>-66027</v>
      </c>
    </row>
    <row r="52" spans="2:18" x14ac:dyDescent="0.2"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</row>
    <row r="53" spans="2:18" x14ac:dyDescent="0.2">
      <c r="B53" s="79" t="s">
        <v>48</v>
      </c>
    </row>
    <row r="54" spans="2:18" ht="12.75" customHeight="1" x14ac:dyDescent="0.2">
      <c r="B54" s="79"/>
      <c r="C54" s="189" t="s">
        <v>111</v>
      </c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</row>
    <row r="55" spans="2:18" ht="18.75" customHeight="1" x14ac:dyDescent="0.2">
      <c r="B55" s="7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</row>
    <row r="56" spans="2:18" ht="12" customHeight="1" x14ac:dyDescent="0.2"/>
    <row r="58" spans="2:18" x14ac:dyDescent="0.2">
      <c r="B58" s="86" t="s">
        <v>52</v>
      </c>
    </row>
    <row r="59" spans="2:18" x14ac:dyDescent="0.2">
      <c r="B59" s="86" t="s">
        <v>107</v>
      </c>
    </row>
  </sheetData>
  <mergeCells count="2">
    <mergeCell ref="A6:E6"/>
    <mergeCell ref="C54:Q55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MJ58"/>
  <sheetViews>
    <sheetView zoomScaleNormal="100" workbookViewId="0">
      <selection activeCell="F7" sqref="F7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22.42578125" style="76" customWidth="1"/>
    <col min="6" max="10" width="9.5703125" style="76" customWidth="1"/>
    <col min="11" max="11" width="8.28515625" style="76" customWidth="1"/>
    <col min="12" max="12" width="9.140625" style="76"/>
    <col min="13" max="17" width="9.5703125" style="76" customWidth="1"/>
    <col min="18" max="18" width="11.42578125" style="76" customWidth="1"/>
    <col min="19" max="19" width="0.7109375" style="76" customWidth="1"/>
    <col min="20" max="1024" width="9.140625" style="76"/>
  </cols>
  <sheetData>
    <row r="1" spans="1:19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118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93" t="s">
        <v>96</v>
      </c>
      <c r="B4" s="78"/>
    </row>
    <row r="6" spans="1:19" s="82" customFormat="1" ht="22.5" customHeight="1" x14ac:dyDescent="0.25">
      <c r="A6" s="188" t="s">
        <v>3</v>
      </c>
      <c r="B6" s="188"/>
      <c r="C6" s="188"/>
      <c r="D6" s="188"/>
      <c r="E6" s="188"/>
      <c r="F6" s="2" t="s">
        <v>4</v>
      </c>
      <c r="G6" s="2" t="s">
        <v>5</v>
      </c>
      <c r="H6" s="2" t="s">
        <v>119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56</v>
      </c>
      <c r="Q6" s="2" t="s">
        <v>57</v>
      </c>
      <c r="R6" s="2" t="s">
        <v>14</v>
      </c>
      <c r="S6" s="110"/>
    </row>
    <row r="7" spans="1:19" ht="15" customHeight="1" x14ac:dyDescent="0.25"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</row>
    <row r="8" spans="1:19" ht="15" customHeight="1" x14ac:dyDescent="0.25">
      <c r="B8" s="82" t="s">
        <v>15</v>
      </c>
      <c r="C8" s="82"/>
      <c r="D8" s="82"/>
      <c r="E8" s="82"/>
      <c r="F8" s="83">
        <f t="shared" ref="F8:R8" si="0">F9+F19+F26</f>
        <v>86991</v>
      </c>
      <c r="G8" s="83">
        <f t="shared" si="0"/>
        <v>81762</v>
      </c>
      <c r="H8" s="83">
        <f t="shared" si="0"/>
        <v>84763</v>
      </c>
      <c r="I8" s="83">
        <f t="shared" si="0"/>
        <v>122030</v>
      </c>
      <c r="J8" s="83">
        <f t="shared" si="0"/>
        <v>106879</v>
      </c>
      <c r="K8" s="83">
        <f t="shared" si="0"/>
        <v>87564</v>
      </c>
      <c r="L8" s="83">
        <f t="shared" si="0"/>
        <v>101417</v>
      </c>
      <c r="M8" s="83">
        <f t="shared" si="0"/>
        <v>118877</v>
      </c>
      <c r="N8" s="83">
        <f t="shared" si="0"/>
        <v>89637</v>
      </c>
      <c r="O8" s="83">
        <f t="shared" si="0"/>
        <v>92634</v>
      </c>
      <c r="P8" s="83">
        <f t="shared" si="0"/>
        <v>109040</v>
      </c>
      <c r="Q8" s="83">
        <f t="shared" si="0"/>
        <v>121311</v>
      </c>
      <c r="R8" s="83">
        <f t="shared" si="0"/>
        <v>1202905</v>
      </c>
    </row>
    <row r="9" spans="1:19" ht="15" customHeight="1" x14ac:dyDescent="0.2">
      <c r="C9" s="76" t="s">
        <v>16</v>
      </c>
      <c r="F9" s="84">
        <f t="shared" ref="F9:R9" si="1">F10+F14+F17</f>
        <v>72117</v>
      </c>
      <c r="G9" s="84">
        <f t="shared" si="1"/>
        <v>67313</v>
      </c>
      <c r="H9" s="84">
        <f t="shared" si="1"/>
        <v>78495</v>
      </c>
      <c r="I9" s="84">
        <f t="shared" si="1"/>
        <v>113999</v>
      </c>
      <c r="J9" s="84">
        <f t="shared" si="1"/>
        <v>100140</v>
      </c>
      <c r="K9" s="84">
        <f t="shared" si="1"/>
        <v>80358</v>
      </c>
      <c r="L9" s="84">
        <f t="shared" si="1"/>
        <v>89277</v>
      </c>
      <c r="M9" s="84">
        <f t="shared" si="1"/>
        <v>105243</v>
      </c>
      <c r="N9" s="84">
        <f t="shared" si="1"/>
        <v>82471</v>
      </c>
      <c r="O9" s="84">
        <f t="shared" si="1"/>
        <v>82906</v>
      </c>
      <c r="P9" s="84">
        <f t="shared" si="1"/>
        <v>100498</v>
      </c>
      <c r="Q9" s="84">
        <f t="shared" si="1"/>
        <v>76372</v>
      </c>
      <c r="R9" s="84">
        <f t="shared" si="1"/>
        <v>1049189</v>
      </c>
    </row>
    <row r="10" spans="1:19" ht="15" customHeight="1" x14ac:dyDescent="0.2">
      <c r="D10" s="76" t="s">
        <v>17</v>
      </c>
      <c r="F10" s="85">
        <v>56710</v>
      </c>
      <c r="G10" s="85">
        <v>50888</v>
      </c>
      <c r="H10" s="85">
        <v>59024</v>
      </c>
      <c r="I10" s="85">
        <v>91345</v>
      </c>
      <c r="J10" s="85">
        <v>77713</v>
      </c>
      <c r="K10" s="85">
        <v>54088</v>
      </c>
      <c r="L10" s="85">
        <v>63435</v>
      </c>
      <c r="M10" s="85">
        <v>78905</v>
      </c>
      <c r="N10" s="85">
        <v>55768</v>
      </c>
      <c r="O10" s="85">
        <v>56945</v>
      </c>
      <c r="P10" s="85">
        <v>76745</v>
      </c>
      <c r="Q10" s="85">
        <v>57015</v>
      </c>
      <c r="R10" s="85">
        <f>SUM(F10:Q10)</f>
        <v>778581</v>
      </c>
    </row>
    <row r="11" spans="1:19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" customHeight="1" x14ac:dyDescent="0.2">
      <c r="E12" s="76" t="s">
        <v>19</v>
      </c>
      <c r="F12" s="85">
        <v>0</v>
      </c>
      <c r="G12" s="85">
        <v>527</v>
      </c>
      <c r="H12" s="85">
        <v>1224</v>
      </c>
      <c r="I12" s="85">
        <v>3012</v>
      </c>
      <c r="J12" s="85">
        <v>1170</v>
      </c>
      <c r="K12" s="85">
        <v>264</v>
      </c>
      <c r="L12" s="85">
        <v>851</v>
      </c>
      <c r="M12" s="85">
        <v>595</v>
      </c>
      <c r="N12" s="85">
        <v>263</v>
      </c>
      <c r="O12" s="85">
        <v>0</v>
      </c>
      <c r="P12" s="85">
        <v>517</v>
      </c>
      <c r="Q12" s="85">
        <v>573</v>
      </c>
      <c r="R12" s="85">
        <f>SUM(F12:Q12)</f>
        <v>8996</v>
      </c>
    </row>
    <row r="13" spans="1:19" ht="15" customHeight="1" x14ac:dyDescent="0.2">
      <c r="E13" s="76" t="s">
        <v>20</v>
      </c>
      <c r="F13" s="85">
        <v>0</v>
      </c>
      <c r="G13" s="85">
        <v>0</v>
      </c>
      <c r="H13" s="85">
        <v>0</v>
      </c>
      <c r="I13" s="85">
        <v>1624</v>
      </c>
      <c r="J13" s="85">
        <v>1203</v>
      </c>
      <c r="K13" s="85">
        <v>2838</v>
      </c>
      <c r="L13" s="85">
        <v>111</v>
      </c>
      <c r="M13" s="85">
        <v>12</v>
      </c>
      <c r="N13" s="85">
        <v>792</v>
      </c>
      <c r="O13" s="85">
        <v>130</v>
      </c>
      <c r="P13" s="85">
        <v>0</v>
      </c>
      <c r="Q13" s="85">
        <v>959</v>
      </c>
      <c r="R13" s="85">
        <f>SUM(F13:Q13)</f>
        <v>7669</v>
      </c>
    </row>
    <row r="14" spans="1:19" ht="15" customHeight="1" x14ac:dyDescent="0.2">
      <c r="D14" s="76" t="s">
        <v>21</v>
      </c>
      <c r="F14" s="85">
        <v>14711</v>
      </c>
      <c r="G14" s="85">
        <v>15655</v>
      </c>
      <c r="H14" s="85">
        <v>18514</v>
      </c>
      <c r="I14" s="85">
        <v>21738</v>
      </c>
      <c r="J14" s="85">
        <v>21524</v>
      </c>
      <c r="K14" s="85">
        <v>24885</v>
      </c>
      <c r="L14" s="85">
        <v>25013</v>
      </c>
      <c r="M14" s="85">
        <v>25417</v>
      </c>
      <c r="N14" s="85">
        <v>25755</v>
      </c>
      <c r="O14" s="85">
        <v>24982</v>
      </c>
      <c r="P14" s="85">
        <v>23277</v>
      </c>
      <c r="Q14" s="85">
        <v>18777</v>
      </c>
      <c r="R14" s="85">
        <f>SUM(F14:Q14)</f>
        <v>260248</v>
      </c>
    </row>
    <row r="15" spans="1:19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" customHeight="1" x14ac:dyDescent="0.2">
      <c r="E16" s="76" t="s">
        <v>20</v>
      </c>
      <c r="F16" s="85">
        <v>724</v>
      </c>
      <c r="G16" s="85">
        <v>326</v>
      </c>
      <c r="H16" s="85">
        <v>2898</v>
      </c>
      <c r="I16" s="85">
        <v>3664</v>
      </c>
      <c r="J16" s="85">
        <v>3477</v>
      </c>
      <c r="K16" s="85">
        <v>7728</v>
      </c>
      <c r="L16" s="85">
        <v>3047</v>
      </c>
      <c r="M16" s="85">
        <v>2694</v>
      </c>
      <c r="N16" s="85">
        <v>5047</v>
      </c>
      <c r="O16" s="85">
        <v>3208</v>
      </c>
      <c r="P16" s="85">
        <v>5983</v>
      </c>
      <c r="Q16" s="85">
        <v>3252</v>
      </c>
      <c r="R16" s="85">
        <f>SUM(F16:Q16)</f>
        <v>42048</v>
      </c>
    </row>
    <row r="17" spans="2:21" ht="15" customHeight="1" x14ac:dyDescent="0.2">
      <c r="D17" s="76" t="s">
        <v>106</v>
      </c>
      <c r="F17" s="85">
        <v>696</v>
      </c>
      <c r="G17" s="85">
        <v>770</v>
      </c>
      <c r="H17" s="85">
        <v>957</v>
      </c>
      <c r="I17" s="85">
        <v>916</v>
      </c>
      <c r="J17" s="85">
        <v>903</v>
      </c>
      <c r="K17" s="85">
        <v>1385</v>
      </c>
      <c r="L17" s="85">
        <v>829</v>
      </c>
      <c r="M17" s="85">
        <v>921</v>
      </c>
      <c r="N17" s="85">
        <v>948</v>
      </c>
      <c r="O17" s="85">
        <v>979</v>
      </c>
      <c r="P17" s="85">
        <v>476</v>
      </c>
      <c r="Q17" s="85">
        <v>580</v>
      </c>
      <c r="R17" s="85">
        <f>SUM(F17:Q17)</f>
        <v>10360</v>
      </c>
    </row>
    <row r="18" spans="2:21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5" customHeight="1" x14ac:dyDescent="0.2">
      <c r="C19" s="76" t="s">
        <v>23</v>
      </c>
      <c r="F19" s="84">
        <f t="shared" ref="F19:R19" si="2">SUM(F20:F24)</f>
        <v>14847</v>
      </c>
      <c r="G19" s="84">
        <f t="shared" si="2"/>
        <v>14442</v>
      </c>
      <c r="H19" s="84">
        <f t="shared" si="2"/>
        <v>6233</v>
      </c>
      <c r="I19" s="84">
        <f t="shared" si="2"/>
        <v>8025</v>
      </c>
      <c r="J19" s="84">
        <f t="shared" si="2"/>
        <v>6732</v>
      </c>
      <c r="K19" s="84">
        <f t="shared" si="2"/>
        <v>7202</v>
      </c>
      <c r="L19" s="84">
        <f t="shared" si="2"/>
        <v>12132</v>
      </c>
      <c r="M19" s="84">
        <f t="shared" si="2"/>
        <v>13629</v>
      </c>
      <c r="N19" s="84">
        <f t="shared" si="2"/>
        <v>7159</v>
      </c>
      <c r="O19" s="84">
        <f t="shared" si="2"/>
        <v>9727.0000000000018</v>
      </c>
      <c r="P19" s="84">
        <f t="shared" si="2"/>
        <v>8527</v>
      </c>
      <c r="Q19" s="84">
        <f t="shared" si="2"/>
        <v>44936</v>
      </c>
      <c r="R19" s="84">
        <f t="shared" si="2"/>
        <v>153591</v>
      </c>
    </row>
    <row r="20" spans="2:21" ht="15" customHeight="1" x14ac:dyDescent="0.2">
      <c r="D20" s="76" t="s">
        <v>24</v>
      </c>
      <c r="F20" s="85">
        <v>4642</v>
      </c>
      <c r="G20" s="85">
        <v>8485</v>
      </c>
      <c r="H20" s="85">
        <v>3935</v>
      </c>
      <c r="I20" s="85">
        <v>4731</v>
      </c>
      <c r="J20" s="85">
        <v>3511</v>
      </c>
      <c r="K20" s="85">
        <v>4158</v>
      </c>
      <c r="L20" s="85">
        <v>7199</v>
      </c>
      <c r="M20" s="85">
        <v>8949</v>
      </c>
      <c r="N20" s="85">
        <v>2178</v>
      </c>
      <c r="O20" s="85">
        <v>5350</v>
      </c>
      <c r="P20" s="85">
        <v>4265</v>
      </c>
      <c r="Q20" s="85">
        <v>6278</v>
      </c>
      <c r="R20" s="85">
        <f>SUM(F20:Q20)</f>
        <v>63681</v>
      </c>
    </row>
    <row r="21" spans="2:21" ht="15" customHeight="1" x14ac:dyDescent="0.2">
      <c r="D21" s="76" t="s">
        <v>26</v>
      </c>
      <c r="F21" s="85">
        <v>6601</v>
      </c>
      <c r="G21" s="85">
        <v>152</v>
      </c>
      <c r="H21" s="85">
        <v>0</v>
      </c>
      <c r="I21" s="85">
        <v>115</v>
      </c>
      <c r="J21" s="85">
        <v>17</v>
      </c>
      <c r="K21" s="85">
        <v>0</v>
      </c>
      <c r="L21" s="85">
        <v>56</v>
      </c>
      <c r="M21" s="85">
        <v>537</v>
      </c>
      <c r="N21" s="85">
        <v>153</v>
      </c>
      <c r="O21" s="85">
        <v>0</v>
      </c>
      <c r="P21" s="85">
        <v>286</v>
      </c>
      <c r="Q21" s="85">
        <v>23372</v>
      </c>
      <c r="R21" s="85">
        <f>SUM(F21:Q21)</f>
        <v>31289</v>
      </c>
      <c r="T21" s="85"/>
    </row>
    <row r="22" spans="2:21" ht="15" customHeight="1" x14ac:dyDescent="0.2">
      <c r="D22" s="76" t="s">
        <v>27</v>
      </c>
      <c r="F22" s="85">
        <v>669.21299999999997</v>
      </c>
      <c r="G22" s="85">
        <v>2547.4920000000002</v>
      </c>
      <c r="H22" s="85">
        <v>443.95299999999997</v>
      </c>
      <c r="I22" s="85">
        <v>832.64</v>
      </c>
      <c r="J22" s="85">
        <v>882.52099999999996</v>
      </c>
      <c r="K22" s="85">
        <v>791.00699999999995</v>
      </c>
      <c r="L22" s="85">
        <v>1238.7470000000001</v>
      </c>
      <c r="M22" s="85">
        <v>1163.76</v>
      </c>
      <c r="N22" s="85">
        <v>828.92499999999995</v>
      </c>
      <c r="O22" s="85">
        <v>1212.452</v>
      </c>
      <c r="P22" s="85">
        <v>1065.4090000000001</v>
      </c>
      <c r="Q22" s="85">
        <v>13822.52</v>
      </c>
      <c r="R22" s="85">
        <f>SUM(F22:Q22)</f>
        <v>25498.638999999996</v>
      </c>
    </row>
    <row r="23" spans="2:21" ht="15" customHeight="1" x14ac:dyDescent="0.2">
      <c r="D23" s="76" t="s">
        <v>113</v>
      </c>
      <c r="F23" s="85">
        <v>1760</v>
      </c>
      <c r="G23" s="85">
        <v>1585</v>
      </c>
      <c r="H23" s="85">
        <v>1304</v>
      </c>
      <c r="I23" s="85">
        <v>2159</v>
      </c>
      <c r="J23" s="85">
        <v>423</v>
      </c>
      <c r="K23" s="85">
        <v>28</v>
      </c>
      <c r="L23" s="85">
        <v>831</v>
      </c>
      <c r="M23" s="85">
        <v>1844</v>
      </c>
      <c r="N23" s="85">
        <v>1532</v>
      </c>
      <c r="O23" s="85">
        <v>2723</v>
      </c>
      <c r="P23" s="85">
        <v>1261</v>
      </c>
      <c r="Q23" s="85">
        <v>959</v>
      </c>
      <c r="R23" s="85">
        <f>SUM(F23:Q23)</f>
        <v>16409</v>
      </c>
    </row>
    <row r="24" spans="2:21" ht="15" customHeight="1" x14ac:dyDescent="0.2">
      <c r="D24" s="76" t="s">
        <v>106</v>
      </c>
      <c r="F24" s="85">
        <f>3604-F23-F22</f>
        <v>1174.787</v>
      </c>
      <c r="G24" s="85">
        <f>5805-G23-G22</f>
        <v>1672.5079999999998</v>
      </c>
      <c r="H24" s="85">
        <f>2298-H23-H22</f>
        <v>550.04700000000003</v>
      </c>
      <c r="I24" s="85">
        <f>3179-I23-I22</f>
        <v>187.36</v>
      </c>
      <c r="J24" s="85">
        <f>3204-J23-J22</f>
        <v>1898.479</v>
      </c>
      <c r="K24" s="85">
        <f>3044-K23-K22</f>
        <v>2224.9929999999999</v>
      </c>
      <c r="L24" s="85">
        <f>4877-L23-L22</f>
        <v>2807.2529999999997</v>
      </c>
      <c r="M24" s="85">
        <f>4143-M23-M22</f>
        <v>1135.24</v>
      </c>
      <c r="N24" s="85">
        <f>4828-N23-N22</f>
        <v>2467.0749999999998</v>
      </c>
      <c r="O24" s="85">
        <f>4377-O23-O22</f>
        <v>441.548</v>
      </c>
      <c r="P24" s="85">
        <f>3976-P23-P22</f>
        <v>1649.5909999999999</v>
      </c>
      <c r="Q24" s="85">
        <f>15286-Q23-Q22</f>
        <v>504.47999999999956</v>
      </c>
      <c r="R24" s="85">
        <f>SUM(F24:Q24)</f>
        <v>16713.360999999997</v>
      </c>
    </row>
    <row r="25" spans="2:21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5" customHeight="1" x14ac:dyDescent="0.2">
      <c r="C26" s="76" t="s">
        <v>29</v>
      </c>
      <c r="F26" s="85">
        <v>27</v>
      </c>
      <c r="G26" s="85">
        <v>7</v>
      </c>
      <c r="H26" s="85">
        <v>35</v>
      </c>
      <c r="I26" s="85">
        <v>6</v>
      </c>
      <c r="J26" s="85">
        <v>7</v>
      </c>
      <c r="K26" s="85">
        <v>4</v>
      </c>
      <c r="L26" s="85">
        <v>8</v>
      </c>
      <c r="M26" s="85">
        <v>5</v>
      </c>
      <c r="N26" s="85">
        <v>7</v>
      </c>
      <c r="O26" s="85">
        <v>1</v>
      </c>
      <c r="P26" s="85">
        <v>15</v>
      </c>
      <c r="Q26" s="85">
        <v>3</v>
      </c>
      <c r="R26" s="85">
        <v>125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5">
      <c r="B28" s="82" t="s">
        <v>30</v>
      </c>
      <c r="C28" s="82"/>
      <c r="D28" s="82"/>
      <c r="E28" s="82"/>
      <c r="F28" s="83">
        <f t="shared" ref="F28:Q28" si="3">SUM(F30:F36)</f>
        <v>100926</v>
      </c>
      <c r="G28" s="83">
        <f t="shared" si="3"/>
        <v>100760</v>
      </c>
      <c r="H28" s="83">
        <f t="shared" si="3"/>
        <v>103389</v>
      </c>
      <c r="I28" s="83">
        <f t="shared" si="3"/>
        <v>96268</v>
      </c>
      <c r="J28" s="83">
        <f t="shared" si="3"/>
        <v>99853</v>
      </c>
      <c r="K28" s="83">
        <f t="shared" si="3"/>
        <v>86795</v>
      </c>
      <c r="L28" s="83">
        <f t="shared" si="3"/>
        <v>116846</v>
      </c>
      <c r="M28" s="83">
        <f t="shared" si="3"/>
        <v>117194</v>
      </c>
      <c r="N28" s="83">
        <f t="shared" si="3"/>
        <v>111265</v>
      </c>
      <c r="O28" s="83">
        <f t="shared" si="3"/>
        <v>101593</v>
      </c>
      <c r="P28" s="83">
        <f t="shared" si="3"/>
        <v>113380</v>
      </c>
      <c r="Q28" s="83">
        <f t="shared" si="3"/>
        <v>122753</v>
      </c>
      <c r="R28" s="83">
        <f>SUM(F28:Q28)</f>
        <v>1271022</v>
      </c>
    </row>
    <row r="29" spans="2:21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5" customHeight="1" x14ac:dyDescent="0.2">
      <c r="D30" s="76" t="s">
        <v>31</v>
      </c>
      <c r="F30" s="85">
        <v>17593</v>
      </c>
      <c r="G30" s="85">
        <v>17681</v>
      </c>
      <c r="H30" s="85">
        <v>18680</v>
      </c>
      <c r="I30" s="85">
        <v>17612</v>
      </c>
      <c r="J30" s="85">
        <v>20050</v>
      </c>
      <c r="K30" s="85">
        <v>19623</v>
      </c>
      <c r="L30" s="85">
        <v>18637</v>
      </c>
      <c r="M30" s="85">
        <v>17910</v>
      </c>
      <c r="N30" s="85">
        <v>17785</v>
      </c>
      <c r="O30" s="85">
        <v>18092</v>
      </c>
      <c r="P30" s="85">
        <v>18830</v>
      </c>
      <c r="Q30" s="85">
        <v>20502</v>
      </c>
      <c r="R30" s="85">
        <f t="shared" ref="R30:R36" si="4">SUM(F30:Q30)</f>
        <v>222995</v>
      </c>
    </row>
    <row r="31" spans="2:21" ht="15" customHeight="1" x14ac:dyDescent="0.2">
      <c r="D31" s="76" t="s">
        <v>32</v>
      </c>
      <c r="F31" s="85">
        <v>30048</v>
      </c>
      <c r="G31" s="85">
        <v>39871</v>
      </c>
      <c r="H31" s="85">
        <v>30323</v>
      </c>
      <c r="I31" s="85">
        <v>18730</v>
      </c>
      <c r="J31" s="85">
        <v>14023</v>
      </c>
      <c r="K31" s="85">
        <v>7971</v>
      </c>
      <c r="L31" s="85">
        <v>33250</v>
      </c>
      <c r="M31" s="85">
        <v>31320</v>
      </c>
      <c r="N31" s="85">
        <v>29170</v>
      </c>
      <c r="O31" s="85">
        <v>17587</v>
      </c>
      <c r="P31" s="85">
        <v>12235</v>
      </c>
      <c r="Q31" s="85">
        <v>7690</v>
      </c>
      <c r="R31" s="85">
        <f t="shared" si="4"/>
        <v>272218</v>
      </c>
    </row>
    <row r="32" spans="2:21" ht="15" customHeight="1" x14ac:dyDescent="0.2">
      <c r="D32" s="76" t="s">
        <v>33</v>
      </c>
      <c r="F32" s="85">
        <v>724</v>
      </c>
      <c r="G32" s="85">
        <v>853</v>
      </c>
      <c r="H32" s="85">
        <v>4122</v>
      </c>
      <c r="I32" s="85">
        <v>8300</v>
      </c>
      <c r="J32" s="85">
        <v>5850</v>
      </c>
      <c r="K32" s="85">
        <v>10830</v>
      </c>
      <c r="L32" s="85">
        <v>4009</v>
      </c>
      <c r="M32" s="85">
        <v>3301</v>
      </c>
      <c r="N32" s="85">
        <v>6102</v>
      </c>
      <c r="O32" s="85">
        <v>3338</v>
      </c>
      <c r="P32" s="85">
        <v>6500</v>
      </c>
      <c r="Q32" s="85">
        <v>4784</v>
      </c>
      <c r="R32" s="85">
        <f t="shared" si="4"/>
        <v>58713</v>
      </c>
    </row>
    <row r="33" spans="2:18" ht="15" customHeight="1" x14ac:dyDescent="0.2">
      <c r="D33" s="76" t="s">
        <v>78</v>
      </c>
      <c r="F33" s="85">
        <v>751</v>
      </c>
      <c r="G33" s="85">
        <v>346</v>
      </c>
      <c r="H33" s="85">
        <v>974</v>
      </c>
      <c r="I33" s="85">
        <v>520</v>
      </c>
      <c r="J33" s="85">
        <v>615</v>
      </c>
      <c r="K33" s="85">
        <v>464</v>
      </c>
      <c r="L33" s="85">
        <v>4270</v>
      </c>
      <c r="M33" s="85">
        <v>2152</v>
      </c>
      <c r="N33" s="85">
        <v>659</v>
      </c>
      <c r="O33" s="85">
        <v>3141</v>
      </c>
      <c r="P33" s="85">
        <v>1038</v>
      </c>
      <c r="Q33" s="85">
        <v>6179</v>
      </c>
      <c r="R33" s="85">
        <f t="shared" si="4"/>
        <v>21109</v>
      </c>
    </row>
    <row r="34" spans="2:18" ht="15" customHeight="1" x14ac:dyDescent="0.2">
      <c r="D34" s="76" t="s">
        <v>35</v>
      </c>
      <c r="F34" s="85">
        <v>0</v>
      </c>
      <c r="G34" s="85">
        <v>60</v>
      </c>
      <c r="H34" s="85">
        <v>0</v>
      </c>
      <c r="I34" s="85">
        <v>0</v>
      </c>
      <c r="J34" s="85">
        <v>100</v>
      </c>
      <c r="K34" s="85">
        <v>200</v>
      </c>
      <c r="L34" s="85">
        <v>192</v>
      </c>
      <c r="M34" s="85">
        <v>149</v>
      </c>
      <c r="N34" s="85">
        <v>333</v>
      </c>
      <c r="O34" s="85">
        <v>629</v>
      </c>
      <c r="P34" s="85">
        <v>0</v>
      </c>
      <c r="Q34" s="85">
        <v>28</v>
      </c>
      <c r="R34" s="85">
        <f t="shared" si="4"/>
        <v>1691</v>
      </c>
    </row>
    <row r="35" spans="2:18" ht="15" customHeight="1" x14ac:dyDescent="0.2">
      <c r="D35" s="76" t="s">
        <v>79</v>
      </c>
      <c r="F35" s="85">
        <v>667</v>
      </c>
      <c r="G35" s="85">
        <v>451</v>
      </c>
      <c r="H35" s="85">
        <v>1090</v>
      </c>
      <c r="I35" s="85">
        <v>436</v>
      </c>
      <c r="J35" s="85">
        <v>462</v>
      </c>
      <c r="K35" s="85">
        <v>1027</v>
      </c>
      <c r="L35" s="85">
        <v>720</v>
      </c>
      <c r="M35" s="85">
        <v>3020</v>
      </c>
      <c r="N35" s="85">
        <v>2857</v>
      </c>
      <c r="O35" s="85">
        <v>1460</v>
      </c>
      <c r="P35" s="85">
        <v>7627</v>
      </c>
      <c r="Q35" s="85">
        <v>-5424</v>
      </c>
      <c r="R35" s="85">
        <f t="shared" si="4"/>
        <v>14393</v>
      </c>
    </row>
    <row r="36" spans="2:18" ht="15" customHeight="1" x14ac:dyDescent="0.2">
      <c r="D36" s="6" t="s">
        <v>80</v>
      </c>
      <c r="F36" s="85">
        <f>48256+3611-F32</f>
        <v>51143</v>
      </c>
      <c r="G36" s="85">
        <f>39080+3271-G32</f>
        <v>41498</v>
      </c>
      <c r="H36" s="85">
        <f>45556+6766-H32</f>
        <v>48200</v>
      </c>
      <c r="I36" s="85">
        <f>45364+13606-I32</f>
        <v>50670</v>
      </c>
      <c r="J36" s="85">
        <f>54262+10341-J32</f>
        <v>58753</v>
      </c>
      <c r="K36" s="85">
        <f>42910+14600-K32</f>
        <v>46680</v>
      </c>
      <c r="L36" s="85">
        <f>51950+7827-L32</f>
        <v>55768</v>
      </c>
      <c r="M36" s="85">
        <f>54539+8104-M32</f>
        <v>59342</v>
      </c>
      <c r="N36" s="85">
        <f>50547+9914-N32</f>
        <v>54359</v>
      </c>
      <c r="O36" s="85">
        <f>53309+7375-O32</f>
        <v>57346</v>
      </c>
      <c r="P36" s="85">
        <f>63848+9802-P32</f>
        <v>67150</v>
      </c>
      <c r="Q36" s="85">
        <f>77885+15893-Q32</f>
        <v>88994</v>
      </c>
      <c r="R36" s="85">
        <f t="shared" si="4"/>
        <v>679903</v>
      </c>
    </row>
    <row r="37" spans="2:18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</row>
    <row r="38" spans="2:18" ht="15" customHeight="1" x14ac:dyDescent="0.25">
      <c r="B38" s="82" t="s">
        <v>38</v>
      </c>
      <c r="C38" s="82"/>
      <c r="D38" s="82"/>
      <c r="E38" s="82"/>
      <c r="F38" s="88">
        <f t="shared" ref="F38:Q38" si="5">+F8-F28</f>
        <v>-13935</v>
      </c>
      <c r="G38" s="88">
        <f t="shared" si="5"/>
        <v>-18998</v>
      </c>
      <c r="H38" s="88">
        <f t="shared" si="5"/>
        <v>-18626</v>
      </c>
      <c r="I38" s="88">
        <f t="shared" si="5"/>
        <v>25762</v>
      </c>
      <c r="J38" s="88">
        <f t="shared" si="5"/>
        <v>7026</v>
      </c>
      <c r="K38" s="88">
        <f t="shared" si="5"/>
        <v>769</v>
      </c>
      <c r="L38" s="88">
        <f t="shared" si="5"/>
        <v>-15429</v>
      </c>
      <c r="M38" s="88">
        <f t="shared" si="5"/>
        <v>1683</v>
      </c>
      <c r="N38" s="88">
        <f t="shared" si="5"/>
        <v>-21628</v>
      </c>
      <c r="O38" s="88">
        <f t="shared" si="5"/>
        <v>-8959</v>
      </c>
      <c r="P38" s="88">
        <f t="shared" si="5"/>
        <v>-4340</v>
      </c>
      <c r="Q38" s="88">
        <f t="shared" si="5"/>
        <v>-1442</v>
      </c>
      <c r="R38" s="88">
        <f>SUM(F38:Q38)</f>
        <v>-68117</v>
      </c>
    </row>
    <row r="39" spans="2:18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18" ht="15" customHeight="1" x14ac:dyDescent="0.25">
      <c r="B40" s="82" t="s">
        <v>39</v>
      </c>
      <c r="C40" s="82"/>
      <c r="D40" s="82"/>
      <c r="E40" s="82"/>
      <c r="F40" s="83">
        <v>27927</v>
      </c>
      <c r="G40" s="83">
        <v>-37231</v>
      </c>
      <c r="H40" s="83">
        <v>22624</v>
      </c>
      <c r="I40" s="83">
        <v>-1296</v>
      </c>
      <c r="J40" s="83">
        <v>5492</v>
      </c>
      <c r="K40" s="83">
        <v>14495</v>
      </c>
      <c r="L40" s="83">
        <v>67176</v>
      </c>
      <c r="M40" s="83">
        <v>-5368</v>
      </c>
      <c r="N40" s="83">
        <v>-5068</v>
      </c>
      <c r="O40" s="83">
        <v>16783</v>
      </c>
      <c r="P40" s="83">
        <v>45346</v>
      </c>
      <c r="Q40" s="83">
        <v>9228</v>
      </c>
      <c r="R40" s="83">
        <v>160108</v>
      </c>
    </row>
    <row r="41" spans="2:18" ht="15" customHeight="1" x14ac:dyDescent="0.2">
      <c r="C41" s="76" t="s">
        <v>40</v>
      </c>
      <c r="F41" s="84">
        <v>-1596</v>
      </c>
      <c r="G41" s="84">
        <v>14579</v>
      </c>
      <c r="H41" s="84">
        <v>-3595</v>
      </c>
      <c r="I41" s="84">
        <v>-15258</v>
      </c>
      <c r="J41" s="84">
        <v>-527</v>
      </c>
      <c r="K41" s="84">
        <v>-2224</v>
      </c>
      <c r="L41" s="84">
        <v>-291</v>
      </c>
      <c r="M41" s="84">
        <v>-4182</v>
      </c>
      <c r="N41" s="84">
        <v>-3914</v>
      </c>
      <c r="O41" s="84">
        <v>-419</v>
      </c>
      <c r="P41" s="84">
        <v>9499</v>
      </c>
      <c r="Q41" s="84">
        <v>-1274</v>
      </c>
      <c r="R41" s="84">
        <v>-9202</v>
      </c>
    </row>
    <row r="42" spans="2:18" ht="15" customHeight="1" x14ac:dyDescent="0.2">
      <c r="D42" s="76" t="s">
        <v>41</v>
      </c>
      <c r="F42" s="85">
        <v>606</v>
      </c>
      <c r="G42" s="85">
        <v>20830</v>
      </c>
      <c r="H42" s="85">
        <v>921</v>
      </c>
      <c r="I42" s="85">
        <v>17083</v>
      </c>
      <c r="J42" s="85">
        <v>2640</v>
      </c>
      <c r="K42" s="85">
        <v>2510</v>
      </c>
      <c r="L42" s="85">
        <v>1574</v>
      </c>
      <c r="M42" s="85">
        <v>2899</v>
      </c>
      <c r="N42" s="85">
        <v>2243</v>
      </c>
      <c r="O42" s="85">
        <v>1730</v>
      </c>
      <c r="P42" s="85">
        <v>13579</v>
      </c>
      <c r="Q42" s="85">
        <v>4696</v>
      </c>
      <c r="R42" s="85">
        <v>71311</v>
      </c>
    </row>
    <row r="43" spans="2:18" ht="15" customHeight="1" x14ac:dyDescent="0.2">
      <c r="D43" s="76" t="s">
        <v>98</v>
      </c>
      <c r="F43" s="85">
        <v>2202</v>
      </c>
      <c r="G43" s="85">
        <v>6251</v>
      </c>
      <c r="H43" s="85">
        <v>4516</v>
      </c>
      <c r="I43" s="85">
        <v>32341</v>
      </c>
      <c r="J43" s="85">
        <v>3167</v>
      </c>
      <c r="K43" s="85">
        <v>4734</v>
      </c>
      <c r="L43" s="85">
        <v>1865</v>
      </c>
      <c r="M43" s="85">
        <v>7081</v>
      </c>
      <c r="N43" s="85">
        <v>6157</v>
      </c>
      <c r="O43" s="85">
        <v>2149</v>
      </c>
      <c r="P43" s="85">
        <v>4080</v>
      </c>
      <c r="Q43" s="85">
        <v>5970</v>
      </c>
      <c r="R43" s="85">
        <v>80513</v>
      </c>
    </row>
    <row r="44" spans="2:18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18" ht="15" customHeight="1" x14ac:dyDescent="0.2">
      <c r="C45" s="76" t="s">
        <v>43</v>
      </c>
      <c r="F45" s="84">
        <v>29523</v>
      </c>
      <c r="G45" s="84">
        <v>-51810</v>
      </c>
      <c r="H45" s="84">
        <v>26219</v>
      </c>
      <c r="I45" s="84">
        <v>13962</v>
      </c>
      <c r="J45" s="84">
        <v>6019</v>
      </c>
      <c r="K45" s="84">
        <v>16719</v>
      </c>
      <c r="L45" s="84">
        <v>67467</v>
      </c>
      <c r="M45" s="84">
        <v>-1186</v>
      </c>
      <c r="N45" s="84">
        <v>-1154</v>
      </c>
      <c r="O45" s="84">
        <v>17202</v>
      </c>
      <c r="P45" s="84">
        <v>35847</v>
      </c>
      <c r="Q45" s="84">
        <v>10502</v>
      </c>
      <c r="R45" s="84">
        <v>169310</v>
      </c>
    </row>
    <row r="46" spans="2:18" ht="15" customHeight="1" x14ac:dyDescent="0.2">
      <c r="D46" s="76" t="s">
        <v>44</v>
      </c>
      <c r="F46" s="85">
        <v>39057</v>
      </c>
      <c r="G46" s="85">
        <v>37678</v>
      </c>
      <c r="H46" s="85">
        <v>53344</v>
      </c>
      <c r="I46" s="85">
        <v>30220</v>
      </c>
      <c r="J46" s="85">
        <v>13670</v>
      </c>
      <c r="K46" s="85">
        <v>24204</v>
      </c>
      <c r="L46" s="85">
        <v>87450</v>
      </c>
      <c r="M46" s="85">
        <v>30800</v>
      </c>
      <c r="N46" s="85">
        <v>23668</v>
      </c>
      <c r="O46" s="85">
        <v>30483</v>
      </c>
      <c r="P46" s="85">
        <v>41831</v>
      </c>
      <c r="Q46" s="85">
        <v>16856</v>
      </c>
      <c r="R46" s="85">
        <v>429261</v>
      </c>
    </row>
    <row r="47" spans="2:18" ht="15" customHeight="1" x14ac:dyDescent="0.2">
      <c r="D47" s="76" t="s">
        <v>42</v>
      </c>
      <c r="F47" s="85">
        <v>9534</v>
      </c>
      <c r="G47" s="85">
        <v>89488</v>
      </c>
      <c r="H47" s="85">
        <v>27125</v>
      </c>
      <c r="I47" s="85">
        <v>16258</v>
      </c>
      <c r="J47" s="85">
        <v>7651</v>
      </c>
      <c r="K47" s="85">
        <v>7485</v>
      </c>
      <c r="L47" s="85">
        <v>19983</v>
      </c>
      <c r="M47" s="85">
        <v>31986</v>
      </c>
      <c r="N47" s="85">
        <v>24822</v>
      </c>
      <c r="O47" s="85">
        <v>13281</v>
      </c>
      <c r="P47" s="85">
        <v>5984</v>
      </c>
      <c r="Q47" s="85">
        <v>6354</v>
      </c>
      <c r="R47" s="85">
        <v>259951</v>
      </c>
    </row>
    <row r="48" spans="2:18" ht="15" customHeight="1" x14ac:dyDescent="0.2"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8" ht="15" customHeight="1" x14ac:dyDescent="0.25">
      <c r="B49" s="82" t="s">
        <v>47</v>
      </c>
      <c r="C49" s="82"/>
      <c r="D49" s="82"/>
      <c r="E49" s="82"/>
      <c r="F49" s="83">
        <v>29174</v>
      </c>
      <c r="G49" s="83">
        <v>-37001</v>
      </c>
      <c r="H49" s="83">
        <v>758</v>
      </c>
      <c r="I49" s="83">
        <v>14712</v>
      </c>
      <c r="J49" s="83">
        <v>-17078</v>
      </c>
      <c r="K49" s="83">
        <v>55255</v>
      </c>
      <c r="L49" s="83">
        <v>5434</v>
      </c>
      <c r="M49" s="83">
        <v>-11447</v>
      </c>
      <c r="N49" s="83">
        <v>-8738</v>
      </c>
      <c r="O49" s="83">
        <v>-8354</v>
      </c>
      <c r="P49" s="83">
        <v>2248</v>
      </c>
      <c r="Q49" s="83">
        <v>22514</v>
      </c>
      <c r="R49" s="83">
        <v>47477</v>
      </c>
    </row>
    <row r="50" spans="1:18" x14ac:dyDescent="0.2">
      <c r="F50" s="85"/>
      <c r="G50" s="85"/>
      <c r="H50" s="85"/>
      <c r="I50" s="85"/>
    </row>
    <row r="51" spans="1:18" x14ac:dyDescent="0.2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</row>
    <row r="52" spans="1:18" x14ac:dyDescent="0.2">
      <c r="B52" s="79" t="s">
        <v>48</v>
      </c>
    </row>
    <row r="53" spans="1:18" x14ac:dyDescent="0.2">
      <c r="B53" s="79"/>
      <c r="C53" s="86" t="s">
        <v>99</v>
      </c>
      <c r="D53" s="86"/>
    </row>
    <row r="54" spans="1:18" x14ac:dyDescent="0.2">
      <c r="B54" s="86"/>
      <c r="C54" s="86" t="s">
        <v>100</v>
      </c>
      <c r="D54" s="86"/>
    </row>
    <row r="57" spans="1:18" x14ac:dyDescent="0.2">
      <c r="B57" s="86" t="s">
        <v>52</v>
      </c>
    </row>
    <row r="58" spans="1:18" x14ac:dyDescent="0.2">
      <c r="B58" s="86" t="s">
        <v>107</v>
      </c>
    </row>
  </sheetData>
  <mergeCells count="1">
    <mergeCell ref="A6:E6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MJ60"/>
  <sheetViews>
    <sheetView zoomScaleNormal="100" workbookViewId="0">
      <selection activeCell="T29" sqref="T29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33.42578125" style="76" customWidth="1"/>
    <col min="6" max="10" width="9.140625" style="76"/>
    <col min="11" max="11" width="8" style="76" customWidth="1"/>
    <col min="12" max="17" width="9.140625" style="76"/>
    <col min="18" max="18" width="10.85546875" style="76" customWidth="1"/>
    <col min="19" max="19" width="0.7109375" style="76" customWidth="1"/>
    <col min="20" max="1024" width="9.140625" style="76"/>
  </cols>
  <sheetData>
    <row r="1" spans="1:19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118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93" t="s">
        <v>55</v>
      </c>
      <c r="B4" s="78"/>
    </row>
    <row r="5" spans="1:19" x14ac:dyDescent="0.2">
      <c r="B5" s="78"/>
    </row>
    <row r="6" spans="1:19" ht="6" customHeight="1" x14ac:dyDescent="0.2"/>
    <row r="7" spans="1:19" ht="22.5" customHeight="1" x14ac:dyDescent="0.2">
      <c r="A7" s="80"/>
      <c r="B7" s="184" t="s">
        <v>3</v>
      </c>
      <c r="C7" s="184"/>
      <c r="D7" s="184"/>
      <c r="E7" s="184"/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65</v>
      </c>
      <c r="O7" s="2" t="s">
        <v>13</v>
      </c>
      <c r="P7" s="2" t="s">
        <v>56</v>
      </c>
      <c r="Q7" s="2" t="s">
        <v>57</v>
      </c>
      <c r="R7" s="2" t="s">
        <v>14</v>
      </c>
      <c r="S7" s="111"/>
    </row>
    <row r="8" spans="1:19" ht="15" customHeight="1" x14ac:dyDescent="0.2">
      <c r="O8" s="85"/>
    </row>
    <row r="9" spans="1:19" ht="15" customHeight="1" x14ac:dyDescent="0.25">
      <c r="B9" s="82" t="s">
        <v>15</v>
      </c>
      <c r="C9" s="82"/>
      <c r="D9" s="82"/>
      <c r="E9" s="82"/>
      <c r="F9" s="83">
        <f t="shared" ref="F9:R9" si="0">F10+F20+F27</f>
        <v>86991</v>
      </c>
      <c r="G9" s="83">
        <f t="shared" si="0"/>
        <v>81762</v>
      </c>
      <c r="H9" s="83">
        <f t="shared" si="0"/>
        <v>84763</v>
      </c>
      <c r="I9" s="83">
        <f t="shared" si="0"/>
        <v>122030</v>
      </c>
      <c r="J9" s="83">
        <f t="shared" si="0"/>
        <v>106879</v>
      </c>
      <c r="K9" s="83">
        <f t="shared" si="0"/>
        <v>87564</v>
      </c>
      <c r="L9" s="83">
        <f t="shared" si="0"/>
        <v>101417</v>
      </c>
      <c r="M9" s="83">
        <f t="shared" si="0"/>
        <v>118877</v>
      </c>
      <c r="N9" s="83">
        <f t="shared" si="0"/>
        <v>89637</v>
      </c>
      <c r="O9" s="83">
        <f t="shared" si="0"/>
        <v>92634</v>
      </c>
      <c r="P9" s="83">
        <f t="shared" si="0"/>
        <v>109040</v>
      </c>
      <c r="Q9" s="83">
        <f t="shared" si="0"/>
        <v>121311</v>
      </c>
      <c r="R9" s="83">
        <f t="shared" si="0"/>
        <v>1202905</v>
      </c>
    </row>
    <row r="10" spans="1:19" ht="15" customHeight="1" x14ac:dyDescent="0.2">
      <c r="C10" s="76" t="s">
        <v>16</v>
      </c>
      <c r="F10" s="84">
        <f t="shared" ref="F10:R10" si="1">F11+F15+F18</f>
        <v>72117</v>
      </c>
      <c r="G10" s="84">
        <f t="shared" si="1"/>
        <v>67313</v>
      </c>
      <c r="H10" s="84">
        <f t="shared" si="1"/>
        <v>78495</v>
      </c>
      <c r="I10" s="84">
        <f t="shared" si="1"/>
        <v>113999</v>
      </c>
      <c r="J10" s="84">
        <f t="shared" si="1"/>
        <v>100140</v>
      </c>
      <c r="K10" s="84">
        <f t="shared" si="1"/>
        <v>80358</v>
      </c>
      <c r="L10" s="84">
        <f t="shared" si="1"/>
        <v>89277</v>
      </c>
      <c r="M10" s="84">
        <f t="shared" si="1"/>
        <v>105243</v>
      </c>
      <c r="N10" s="84">
        <f t="shared" si="1"/>
        <v>82471</v>
      </c>
      <c r="O10" s="84">
        <f t="shared" si="1"/>
        <v>82906</v>
      </c>
      <c r="P10" s="84">
        <f t="shared" si="1"/>
        <v>100498</v>
      </c>
      <c r="Q10" s="84">
        <f t="shared" si="1"/>
        <v>76372</v>
      </c>
      <c r="R10" s="84">
        <f t="shared" si="1"/>
        <v>1049189</v>
      </c>
    </row>
    <row r="11" spans="1:19" ht="15" customHeight="1" x14ac:dyDescent="0.2">
      <c r="D11" s="76" t="s">
        <v>17</v>
      </c>
      <c r="F11" s="85">
        <v>56710</v>
      </c>
      <c r="G11" s="85">
        <v>50888</v>
      </c>
      <c r="H11" s="85">
        <v>59024</v>
      </c>
      <c r="I11" s="85">
        <v>91345</v>
      </c>
      <c r="J11" s="85">
        <v>77713</v>
      </c>
      <c r="K11" s="85">
        <v>54088</v>
      </c>
      <c r="L11" s="85">
        <v>63435</v>
      </c>
      <c r="M11" s="85">
        <v>78905</v>
      </c>
      <c r="N11" s="85">
        <v>55768</v>
      </c>
      <c r="O11" s="85">
        <v>56945</v>
      </c>
      <c r="P11" s="85">
        <v>76745</v>
      </c>
      <c r="Q11" s="85">
        <v>57015</v>
      </c>
      <c r="R11" s="85">
        <f>SUM(F11:Q11)</f>
        <v>778581</v>
      </c>
    </row>
    <row r="12" spans="1:19" ht="15" customHeight="1" x14ac:dyDescent="0.2">
      <c r="E12" s="86" t="s">
        <v>18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</row>
    <row r="13" spans="1:19" ht="15" customHeight="1" x14ac:dyDescent="0.2">
      <c r="E13" s="76" t="s">
        <v>19</v>
      </c>
      <c r="F13" s="85">
        <v>0</v>
      </c>
      <c r="G13" s="85">
        <v>527</v>
      </c>
      <c r="H13" s="85">
        <v>1224</v>
      </c>
      <c r="I13" s="85">
        <v>3012</v>
      </c>
      <c r="J13" s="85">
        <v>1170</v>
      </c>
      <c r="K13" s="85">
        <v>264</v>
      </c>
      <c r="L13" s="85">
        <v>851</v>
      </c>
      <c r="M13" s="85">
        <v>595</v>
      </c>
      <c r="N13" s="85">
        <v>263</v>
      </c>
      <c r="O13" s="85">
        <v>0</v>
      </c>
      <c r="P13" s="85">
        <v>517</v>
      </c>
      <c r="Q13" s="85">
        <v>573</v>
      </c>
      <c r="R13" s="85">
        <f>SUM(F13:Q13)</f>
        <v>8996</v>
      </c>
    </row>
    <row r="14" spans="1:19" ht="15" customHeight="1" x14ac:dyDescent="0.2">
      <c r="E14" s="76" t="s">
        <v>20</v>
      </c>
      <c r="F14" s="85">
        <v>0</v>
      </c>
      <c r="G14" s="85">
        <v>0</v>
      </c>
      <c r="H14" s="85">
        <v>0</v>
      </c>
      <c r="I14" s="85">
        <v>1624</v>
      </c>
      <c r="J14" s="85">
        <v>1203</v>
      </c>
      <c r="K14" s="85">
        <v>2838</v>
      </c>
      <c r="L14" s="85">
        <v>111</v>
      </c>
      <c r="M14" s="85">
        <v>12</v>
      </c>
      <c r="N14" s="85">
        <v>792</v>
      </c>
      <c r="O14" s="85">
        <v>130</v>
      </c>
      <c r="P14" s="85">
        <v>0</v>
      </c>
      <c r="Q14" s="85">
        <v>959</v>
      </c>
      <c r="R14" s="85">
        <f>SUM(F14:Q14)</f>
        <v>7669</v>
      </c>
    </row>
    <row r="15" spans="1:19" ht="15" customHeight="1" x14ac:dyDescent="0.2">
      <c r="D15" s="76" t="s">
        <v>21</v>
      </c>
      <c r="F15" s="85">
        <v>14711</v>
      </c>
      <c r="G15" s="85">
        <v>15655</v>
      </c>
      <c r="H15" s="85">
        <v>18514</v>
      </c>
      <c r="I15" s="85">
        <v>21738</v>
      </c>
      <c r="J15" s="85">
        <v>21524</v>
      </c>
      <c r="K15" s="85">
        <v>24885</v>
      </c>
      <c r="L15" s="85">
        <v>25013</v>
      </c>
      <c r="M15" s="85">
        <v>25417</v>
      </c>
      <c r="N15" s="85">
        <v>25755</v>
      </c>
      <c r="O15" s="85">
        <v>24982</v>
      </c>
      <c r="P15" s="85">
        <v>23277</v>
      </c>
      <c r="Q15" s="85">
        <v>18777</v>
      </c>
      <c r="R15" s="85">
        <f>SUM(F15:Q15)</f>
        <v>260248</v>
      </c>
    </row>
    <row r="16" spans="1:19" ht="15" customHeight="1" x14ac:dyDescent="0.2">
      <c r="E16" s="86" t="s">
        <v>18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2:21" ht="15" customHeight="1" x14ac:dyDescent="0.2">
      <c r="E17" s="76" t="s">
        <v>20</v>
      </c>
      <c r="F17" s="85">
        <v>724</v>
      </c>
      <c r="G17" s="85">
        <v>326</v>
      </c>
      <c r="H17" s="85">
        <v>2898</v>
      </c>
      <c r="I17" s="85">
        <v>3664</v>
      </c>
      <c r="J17" s="85">
        <v>3477</v>
      </c>
      <c r="K17" s="85">
        <v>7728</v>
      </c>
      <c r="L17" s="85">
        <v>3047</v>
      </c>
      <c r="M17" s="85">
        <v>2694</v>
      </c>
      <c r="N17" s="85">
        <v>5047</v>
      </c>
      <c r="O17" s="85">
        <v>3208</v>
      </c>
      <c r="P17" s="85">
        <v>5983</v>
      </c>
      <c r="Q17" s="85">
        <v>3252</v>
      </c>
      <c r="R17" s="85">
        <f>SUM(F17:Q17)</f>
        <v>42048</v>
      </c>
    </row>
    <row r="18" spans="2:21" ht="15" customHeight="1" x14ac:dyDescent="0.2">
      <c r="D18" s="76" t="s">
        <v>106</v>
      </c>
      <c r="F18" s="85">
        <v>696</v>
      </c>
      <c r="G18" s="85">
        <v>770</v>
      </c>
      <c r="H18" s="85">
        <v>957</v>
      </c>
      <c r="I18" s="85">
        <v>916</v>
      </c>
      <c r="J18" s="85">
        <v>903</v>
      </c>
      <c r="K18" s="85">
        <v>1385</v>
      </c>
      <c r="L18" s="85">
        <v>829</v>
      </c>
      <c r="M18" s="85">
        <v>921</v>
      </c>
      <c r="N18" s="85">
        <v>948</v>
      </c>
      <c r="O18" s="85">
        <v>979</v>
      </c>
      <c r="P18" s="85">
        <v>476</v>
      </c>
      <c r="Q18" s="85">
        <v>580</v>
      </c>
      <c r="R18" s="85">
        <f>SUM(F18:Q18)</f>
        <v>10360</v>
      </c>
    </row>
    <row r="19" spans="2:21" ht="15" customHeight="1" x14ac:dyDescent="0.2"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U19" s="76" t="s">
        <v>58</v>
      </c>
    </row>
    <row r="20" spans="2:21" ht="15" customHeight="1" x14ac:dyDescent="0.2">
      <c r="C20" s="76" t="s">
        <v>23</v>
      </c>
      <c r="F20" s="84">
        <f t="shared" ref="F20:R20" si="2">SUM(F21:F25)</f>
        <v>14847</v>
      </c>
      <c r="G20" s="84">
        <f t="shared" si="2"/>
        <v>14442</v>
      </c>
      <c r="H20" s="84">
        <f t="shared" si="2"/>
        <v>6233</v>
      </c>
      <c r="I20" s="84">
        <f t="shared" si="2"/>
        <v>8025</v>
      </c>
      <c r="J20" s="84">
        <f t="shared" si="2"/>
        <v>6732</v>
      </c>
      <c r="K20" s="84">
        <f t="shared" si="2"/>
        <v>7202</v>
      </c>
      <c r="L20" s="84">
        <f t="shared" si="2"/>
        <v>12132</v>
      </c>
      <c r="M20" s="84">
        <f t="shared" si="2"/>
        <v>13629</v>
      </c>
      <c r="N20" s="84">
        <f t="shared" si="2"/>
        <v>7159</v>
      </c>
      <c r="O20" s="84">
        <f t="shared" si="2"/>
        <v>9727.0000000000018</v>
      </c>
      <c r="P20" s="84">
        <f t="shared" si="2"/>
        <v>8527</v>
      </c>
      <c r="Q20" s="84">
        <f t="shared" si="2"/>
        <v>44936</v>
      </c>
      <c r="R20" s="84">
        <f t="shared" si="2"/>
        <v>153591</v>
      </c>
      <c r="S20" s="84"/>
    </row>
    <row r="21" spans="2:21" ht="15" customHeight="1" x14ac:dyDescent="0.2">
      <c r="D21" s="76" t="s">
        <v>24</v>
      </c>
      <c r="F21" s="85">
        <v>4642</v>
      </c>
      <c r="G21" s="85">
        <v>8485</v>
      </c>
      <c r="H21" s="85">
        <v>3935</v>
      </c>
      <c r="I21" s="85">
        <v>4731</v>
      </c>
      <c r="J21" s="85">
        <v>3511</v>
      </c>
      <c r="K21" s="85">
        <v>4158</v>
      </c>
      <c r="L21" s="85">
        <v>7199</v>
      </c>
      <c r="M21" s="85">
        <v>8949</v>
      </c>
      <c r="N21" s="85">
        <v>2178</v>
      </c>
      <c r="O21" s="85">
        <v>5350</v>
      </c>
      <c r="P21" s="85">
        <v>4265</v>
      </c>
      <c r="Q21" s="85">
        <v>6278</v>
      </c>
      <c r="R21" s="85">
        <f>SUM(F21:Q21)</f>
        <v>63681</v>
      </c>
    </row>
    <row r="22" spans="2:21" ht="15" customHeight="1" x14ac:dyDescent="0.2">
      <c r="D22" s="76" t="s">
        <v>26</v>
      </c>
      <c r="F22" s="85">
        <v>6601</v>
      </c>
      <c r="G22" s="85">
        <v>152</v>
      </c>
      <c r="H22" s="85">
        <v>0</v>
      </c>
      <c r="I22" s="85">
        <v>115</v>
      </c>
      <c r="J22" s="85">
        <v>17</v>
      </c>
      <c r="K22" s="85">
        <v>0</v>
      </c>
      <c r="L22" s="85">
        <v>56</v>
      </c>
      <c r="M22" s="85">
        <v>537</v>
      </c>
      <c r="N22" s="85">
        <v>153</v>
      </c>
      <c r="O22" s="85">
        <v>0</v>
      </c>
      <c r="P22" s="85">
        <v>286</v>
      </c>
      <c r="Q22" s="85">
        <v>23372</v>
      </c>
      <c r="R22" s="85">
        <f>SUM(F22:Q22)</f>
        <v>31289</v>
      </c>
      <c r="T22" s="85"/>
    </row>
    <row r="23" spans="2:21" ht="15" customHeight="1" x14ac:dyDescent="0.2">
      <c r="D23" s="76" t="s">
        <v>27</v>
      </c>
      <c r="F23" s="85">
        <v>669.21299999999997</v>
      </c>
      <c r="G23" s="85">
        <v>2547.4920000000002</v>
      </c>
      <c r="H23" s="85">
        <v>443.95299999999997</v>
      </c>
      <c r="I23" s="85">
        <v>832.64</v>
      </c>
      <c r="J23" s="85">
        <v>882.52099999999996</v>
      </c>
      <c r="K23" s="85">
        <v>791.00699999999995</v>
      </c>
      <c r="L23" s="85">
        <v>1238.7470000000001</v>
      </c>
      <c r="M23" s="85">
        <v>1163.76</v>
      </c>
      <c r="N23" s="85">
        <v>828.92499999999995</v>
      </c>
      <c r="O23" s="85">
        <v>1212.452</v>
      </c>
      <c r="P23" s="85">
        <v>1065.4090000000001</v>
      </c>
      <c r="Q23" s="85">
        <v>13822.52</v>
      </c>
      <c r="R23" s="85">
        <f>SUM(F23:Q23)</f>
        <v>25498.638999999996</v>
      </c>
    </row>
    <row r="24" spans="2:21" ht="15" customHeight="1" x14ac:dyDescent="0.2">
      <c r="D24" s="76" t="s">
        <v>113</v>
      </c>
      <c r="F24" s="85">
        <v>1760</v>
      </c>
      <c r="G24" s="85">
        <v>1585</v>
      </c>
      <c r="H24" s="85">
        <v>1304</v>
      </c>
      <c r="I24" s="85">
        <v>2159</v>
      </c>
      <c r="J24" s="85">
        <v>423</v>
      </c>
      <c r="K24" s="85">
        <v>28</v>
      </c>
      <c r="L24" s="85">
        <v>831</v>
      </c>
      <c r="M24" s="85">
        <v>1844</v>
      </c>
      <c r="N24" s="85">
        <v>1532</v>
      </c>
      <c r="O24" s="85">
        <v>2723</v>
      </c>
      <c r="P24" s="85">
        <v>1261</v>
      </c>
      <c r="Q24" s="85">
        <v>959</v>
      </c>
      <c r="R24" s="85">
        <f>SUM(F24:Q24)</f>
        <v>16409</v>
      </c>
    </row>
    <row r="25" spans="2:21" ht="15" customHeight="1" x14ac:dyDescent="0.2">
      <c r="D25" s="76" t="s">
        <v>106</v>
      </c>
      <c r="F25" s="85">
        <f>3604-F24-F23</f>
        <v>1174.787</v>
      </c>
      <c r="G25" s="85">
        <f>5805-G24-G23</f>
        <v>1672.5079999999998</v>
      </c>
      <c r="H25" s="85">
        <f>2298-H24-H23</f>
        <v>550.04700000000003</v>
      </c>
      <c r="I25" s="85">
        <f>3179-I24-I23</f>
        <v>187.36</v>
      </c>
      <c r="J25" s="85">
        <f>3204-J24-J23</f>
        <v>1898.479</v>
      </c>
      <c r="K25" s="85">
        <f>3044-K24-K23</f>
        <v>2224.9929999999999</v>
      </c>
      <c r="L25" s="85">
        <f>4877-L24-L23</f>
        <v>2807.2529999999997</v>
      </c>
      <c r="M25" s="85">
        <f>4143-M24-M23</f>
        <v>1135.24</v>
      </c>
      <c r="N25" s="85">
        <f>4828-N24-N23</f>
        <v>2467.0749999999998</v>
      </c>
      <c r="O25" s="85">
        <f>4377-O24-O23</f>
        <v>441.548</v>
      </c>
      <c r="P25" s="85">
        <f>3976-P24-P23</f>
        <v>1649.5909999999999</v>
      </c>
      <c r="Q25" s="85">
        <f>15286-Q24-Q23</f>
        <v>504.47999999999956</v>
      </c>
      <c r="R25" s="85">
        <f>SUM(F25:Q25)</f>
        <v>16713.360999999997</v>
      </c>
    </row>
    <row r="26" spans="2:21" ht="15" customHeight="1" x14ac:dyDescent="0.2"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</row>
    <row r="27" spans="2:21" ht="15" customHeight="1" x14ac:dyDescent="0.2">
      <c r="C27" s="76" t="s">
        <v>29</v>
      </c>
      <c r="F27" s="85">
        <v>27</v>
      </c>
      <c r="G27" s="85">
        <v>7</v>
      </c>
      <c r="H27" s="85">
        <v>35</v>
      </c>
      <c r="I27" s="85">
        <v>6</v>
      </c>
      <c r="J27" s="85">
        <v>7</v>
      </c>
      <c r="K27" s="85">
        <v>4</v>
      </c>
      <c r="L27" s="85">
        <v>8</v>
      </c>
      <c r="M27" s="85">
        <v>5</v>
      </c>
      <c r="N27" s="85">
        <v>7</v>
      </c>
      <c r="O27" s="85">
        <v>1</v>
      </c>
      <c r="P27" s="85">
        <v>15</v>
      </c>
      <c r="Q27" s="85">
        <v>3</v>
      </c>
      <c r="R27" s="85">
        <f>SUM(F27:Q27)</f>
        <v>125</v>
      </c>
    </row>
    <row r="28" spans="2:21" ht="15" customHeight="1" x14ac:dyDescent="0.2"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</row>
    <row r="29" spans="2:21" ht="15" customHeight="1" x14ac:dyDescent="0.25">
      <c r="B29" s="82" t="s">
        <v>30</v>
      </c>
      <c r="C29" s="82"/>
      <c r="D29" s="82"/>
      <c r="E29" s="82"/>
      <c r="F29" s="83">
        <f t="shared" ref="F29:Q29" si="3">SUM(F31:F37)</f>
        <v>100926</v>
      </c>
      <c r="G29" s="83">
        <f t="shared" si="3"/>
        <v>100760</v>
      </c>
      <c r="H29" s="83">
        <f t="shared" si="3"/>
        <v>103389</v>
      </c>
      <c r="I29" s="83">
        <f t="shared" si="3"/>
        <v>96268</v>
      </c>
      <c r="J29" s="83">
        <f t="shared" si="3"/>
        <v>99853</v>
      </c>
      <c r="K29" s="83">
        <f t="shared" si="3"/>
        <v>86795</v>
      </c>
      <c r="L29" s="83">
        <f t="shared" si="3"/>
        <v>116846</v>
      </c>
      <c r="M29" s="83">
        <f t="shared" si="3"/>
        <v>117194</v>
      </c>
      <c r="N29" s="83">
        <f t="shared" si="3"/>
        <v>111265</v>
      </c>
      <c r="O29" s="83">
        <f t="shared" si="3"/>
        <v>101593</v>
      </c>
      <c r="P29" s="83">
        <f t="shared" si="3"/>
        <v>113380</v>
      </c>
      <c r="Q29" s="83">
        <f t="shared" si="3"/>
        <v>122753</v>
      </c>
      <c r="R29" s="83">
        <f>SUM(F29:Q29)</f>
        <v>1271022</v>
      </c>
    </row>
    <row r="30" spans="2:21" ht="15" customHeight="1" x14ac:dyDescent="0.2"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</row>
    <row r="31" spans="2:21" ht="15" customHeight="1" x14ac:dyDescent="0.2">
      <c r="D31" s="76" t="s">
        <v>31</v>
      </c>
      <c r="F31" s="85">
        <v>17593</v>
      </c>
      <c r="G31" s="85">
        <v>17681</v>
      </c>
      <c r="H31" s="85">
        <v>18680</v>
      </c>
      <c r="I31" s="85">
        <v>17612</v>
      </c>
      <c r="J31" s="85">
        <v>20050</v>
      </c>
      <c r="K31" s="85">
        <v>19623</v>
      </c>
      <c r="L31" s="85">
        <v>18637</v>
      </c>
      <c r="M31" s="85">
        <v>17910</v>
      </c>
      <c r="N31" s="85">
        <v>17785</v>
      </c>
      <c r="O31" s="85">
        <v>18092</v>
      </c>
      <c r="P31" s="85">
        <v>18830</v>
      </c>
      <c r="Q31" s="85">
        <v>20502</v>
      </c>
      <c r="R31" s="85">
        <f t="shared" ref="R31:R37" si="4">SUM(F31:Q31)</f>
        <v>222995</v>
      </c>
    </row>
    <row r="32" spans="2:21" ht="15" customHeight="1" x14ac:dyDescent="0.2">
      <c r="D32" s="76" t="s">
        <v>32</v>
      </c>
      <c r="F32" s="85">
        <v>30048</v>
      </c>
      <c r="G32" s="85">
        <v>39871</v>
      </c>
      <c r="H32" s="85">
        <v>30323</v>
      </c>
      <c r="I32" s="85">
        <v>18730</v>
      </c>
      <c r="J32" s="85">
        <v>14023</v>
      </c>
      <c r="K32" s="85">
        <v>7971</v>
      </c>
      <c r="L32" s="85">
        <v>33250</v>
      </c>
      <c r="M32" s="85">
        <v>31320</v>
      </c>
      <c r="N32" s="85">
        <v>29170</v>
      </c>
      <c r="O32" s="85">
        <v>17587</v>
      </c>
      <c r="P32" s="85">
        <v>12235</v>
      </c>
      <c r="Q32" s="85">
        <v>7690</v>
      </c>
      <c r="R32" s="85">
        <f t="shared" si="4"/>
        <v>272218</v>
      </c>
    </row>
    <row r="33" spans="2:18" ht="15" customHeight="1" x14ac:dyDescent="0.2">
      <c r="D33" s="76" t="s">
        <v>33</v>
      </c>
      <c r="F33" s="85">
        <v>724</v>
      </c>
      <c r="G33" s="85">
        <v>853</v>
      </c>
      <c r="H33" s="85">
        <v>4122</v>
      </c>
      <c r="I33" s="85">
        <v>8300</v>
      </c>
      <c r="J33" s="85">
        <v>5850</v>
      </c>
      <c r="K33" s="85">
        <v>10830</v>
      </c>
      <c r="L33" s="85">
        <v>4009</v>
      </c>
      <c r="M33" s="85">
        <v>3301</v>
      </c>
      <c r="N33" s="85">
        <v>6102</v>
      </c>
      <c r="O33" s="85">
        <v>3338</v>
      </c>
      <c r="P33" s="85">
        <v>6500</v>
      </c>
      <c r="Q33" s="85">
        <v>4784</v>
      </c>
      <c r="R33" s="85">
        <f t="shared" si="4"/>
        <v>58713</v>
      </c>
    </row>
    <row r="34" spans="2:18" ht="15" customHeight="1" x14ac:dyDescent="0.2">
      <c r="D34" s="76" t="s">
        <v>78</v>
      </c>
      <c r="F34" s="85">
        <v>751</v>
      </c>
      <c r="G34" s="85">
        <v>346</v>
      </c>
      <c r="H34" s="85">
        <v>974</v>
      </c>
      <c r="I34" s="85">
        <v>520</v>
      </c>
      <c r="J34" s="85">
        <v>615</v>
      </c>
      <c r="K34" s="85">
        <v>464</v>
      </c>
      <c r="L34" s="85">
        <v>4270</v>
      </c>
      <c r="M34" s="85">
        <v>2152</v>
      </c>
      <c r="N34" s="85">
        <v>659</v>
      </c>
      <c r="O34" s="85">
        <v>3141</v>
      </c>
      <c r="P34" s="85">
        <v>1038</v>
      </c>
      <c r="Q34" s="85">
        <v>6179</v>
      </c>
      <c r="R34" s="85">
        <f t="shared" si="4"/>
        <v>21109</v>
      </c>
    </row>
    <row r="35" spans="2:18" ht="15" customHeight="1" x14ac:dyDescent="0.2">
      <c r="D35" s="76" t="s">
        <v>35</v>
      </c>
      <c r="F35" s="85">
        <v>0</v>
      </c>
      <c r="G35" s="85">
        <v>60</v>
      </c>
      <c r="H35" s="85">
        <v>0</v>
      </c>
      <c r="I35" s="85">
        <v>0</v>
      </c>
      <c r="J35" s="85">
        <v>100</v>
      </c>
      <c r="K35" s="85">
        <v>200</v>
      </c>
      <c r="L35" s="85">
        <v>192</v>
      </c>
      <c r="M35" s="85">
        <v>149</v>
      </c>
      <c r="N35" s="85">
        <v>333</v>
      </c>
      <c r="O35" s="85">
        <v>629</v>
      </c>
      <c r="P35" s="85">
        <v>0</v>
      </c>
      <c r="Q35" s="85">
        <v>28</v>
      </c>
      <c r="R35" s="85">
        <f t="shared" si="4"/>
        <v>1691</v>
      </c>
    </row>
    <row r="36" spans="2:18" ht="15" customHeight="1" x14ac:dyDescent="0.2">
      <c r="D36" s="76" t="s">
        <v>79</v>
      </c>
      <c r="F36" s="85">
        <v>667</v>
      </c>
      <c r="G36" s="85">
        <v>451</v>
      </c>
      <c r="H36" s="85">
        <v>1090</v>
      </c>
      <c r="I36" s="85">
        <v>436</v>
      </c>
      <c r="J36" s="85">
        <v>462</v>
      </c>
      <c r="K36" s="85">
        <v>1027</v>
      </c>
      <c r="L36" s="85">
        <v>720</v>
      </c>
      <c r="M36" s="85">
        <v>3020</v>
      </c>
      <c r="N36" s="85">
        <v>2857</v>
      </c>
      <c r="O36" s="85">
        <v>1460</v>
      </c>
      <c r="P36" s="85">
        <v>7627</v>
      </c>
      <c r="Q36" s="85">
        <v>-5424</v>
      </c>
      <c r="R36" s="85">
        <f t="shared" si="4"/>
        <v>14393</v>
      </c>
    </row>
    <row r="37" spans="2:18" ht="15" customHeight="1" x14ac:dyDescent="0.2">
      <c r="D37" s="6" t="s">
        <v>80</v>
      </c>
      <c r="F37" s="85">
        <f>48256+3611-F33</f>
        <v>51143</v>
      </c>
      <c r="G37" s="85">
        <f>39080+3271-G33</f>
        <v>41498</v>
      </c>
      <c r="H37" s="85">
        <f>45556+6766-H33</f>
        <v>48200</v>
      </c>
      <c r="I37" s="85">
        <f>45364+13606-I33</f>
        <v>50670</v>
      </c>
      <c r="J37" s="85">
        <f>54262+10341-J33</f>
        <v>58753</v>
      </c>
      <c r="K37" s="85">
        <f>42910+14600-K33</f>
        <v>46680</v>
      </c>
      <c r="L37" s="85">
        <f>51950+7827-L33</f>
        <v>55768</v>
      </c>
      <c r="M37" s="85">
        <f>54539+8104-M33</f>
        <v>59342</v>
      </c>
      <c r="N37" s="85">
        <f>50547+9914-N33</f>
        <v>54359</v>
      </c>
      <c r="O37" s="85">
        <f>53309+7375-O33</f>
        <v>57346</v>
      </c>
      <c r="P37" s="85">
        <f>63848+9802-P33</f>
        <v>67150</v>
      </c>
      <c r="Q37" s="85">
        <f>77885+15893-Q33</f>
        <v>88994</v>
      </c>
      <c r="R37" s="85">
        <f t="shared" si="4"/>
        <v>679903</v>
      </c>
    </row>
    <row r="38" spans="2:18" ht="15" customHeight="1" x14ac:dyDescent="0.2"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</row>
    <row r="39" spans="2:18" ht="15" customHeight="1" x14ac:dyDescent="0.25">
      <c r="B39" s="82" t="s">
        <v>38</v>
      </c>
      <c r="C39" s="82"/>
      <c r="D39" s="82"/>
      <c r="E39" s="82"/>
      <c r="F39" s="88">
        <f t="shared" ref="F39:Q39" si="5">+F9-F29</f>
        <v>-13935</v>
      </c>
      <c r="G39" s="88">
        <f t="shared" si="5"/>
        <v>-18998</v>
      </c>
      <c r="H39" s="88">
        <f t="shared" si="5"/>
        <v>-18626</v>
      </c>
      <c r="I39" s="88">
        <f t="shared" si="5"/>
        <v>25762</v>
      </c>
      <c r="J39" s="88">
        <f t="shared" si="5"/>
        <v>7026</v>
      </c>
      <c r="K39" s="88">
        <f t="shared" si="5"/>
        <v>769</v>
      </c>
      <c r="L39" s="88">
        <f t="shared" si="5"/>
        <v>-15429</v>
      </c>
      <c r="M39" s="88">
        <f t="shared" si="5"/>
        <v>1683</v>
      </c>
      <c r="N39" s="88">
        <f t="shared" si="5"/>
        <v>-21628</v>
      </c>
      <c r="O39" s="88">
        <f t="shared" si="5"/>
        <v>-8959</v>
      </c>
      <c r="P39" s="88">
        <f t="shared" si="5"/>
        <v>-4340</v>
      </c>
      <c r="Q39" s="88">
        <f t="shared" si="5"/>
        <v>-1442</v>
      </c>
      <c r="R39" s="88">
        <f>SUM(F39:Q39)</f>
        <v>-68117</v>
      </c>
    </row>
    <row r="40" spans="2:18" ht="15" customHeight="1" x14ac:dyDescent="0.2"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</row>
    <row r="41" spans="2:18" ht="15" customHeight="1" x14ac:dyDescent="0.25">
      <c r="B41" s="82" t="s">
        <v>39</v>
      </c>
      <c r="C41" s="82"/>
      <c r="D41" s="82"/>
      <c r="E41" s="82"/>
      <c r="F41" s="83">
        <f>F42+F46</f>
        <v>37461</v>
      </c>
      <c r="G41" s="83">
        <v>52257</v>
      </c>
      <c r="H41" s="83">
        <v>49749</v>
      </c>
      <c r="I41" s="83">
        <v>14960</v>
      </c>
      <c r="J41" s="83">
        <v>12231</v>
      </c>
      <c r="K41" s="83">
        <v>21693</v>
      </c>
      <c r="L41" s="83">
        <v>87014</v>
      </c>
      <c r="M41" s="83">
        <v>26474</v>
      </c>
      <c r="N41" s="83">
        <v>19600</v>
      </c>
      <c r="O41" s="83">
        <v>29906</v>
      </c>
      <c r="P41" s="83">
        <v>51161</v>
      </c>
      <c r="Q41" s="83">
        <v>15165</v>
      </c>
      <c r="R41" s="83">
        <v>417671</v>
      </c>
    </row>
    <row r="42" spans="2:18" ht="15" customHeight="1" x14ac:dyDescent="0.2">
      <c r="C42" s="76" t="s">
        <v>40</v>
      </c>
      <c r="F42" s="84">
        <v>-1596</v>
      </c>
      <c r="G42" s="84">
        <v>14579</v>
      </c>
      <c r="H42" s="84">
        <v>-3595</v>
      </c>
      <c r="I42" s="84">
        <v>-15258</v>
      </c>
      <c r="J42" s="84">
        <v>-527</v>
      </c>
      <c r="K42" s="84">
        <v>-2224</v>
      </c>
      <c r="L42" s="84">
        <v>-291</v>
      </c>
      <c r="M42" s="84">
        <v>-4182</v>
      </c>
      <c r="N42" s="84">
        <v>-3914</v>
      </c>
      <c r="O42" s="84">
        <v>-419</v>
      </c>
      <c r="P42" s="84">
        <v>9499</v>
      </c>
      <c r="Q42" s="84">
        <v>-1274</v>
      </c>
      <c r="R42" s="84">
        <v>-9202</v>
      </c>
    </row>
    <row r="43" spans="2:18" ht="15" customHeight="1" x14ac:dyDescent="0.2">
      <c r="D43" s="76" t="s">
        <v>41</v>
      </c>
      <c r="F43" s="85">
        <v>606</v>
      </c>
      <c r="G43" s="85">
        <v>20830</v>
      </c>
      <c r="H43" s="85">
        <v>921</v>
      </c>
      <c r="I43" s="85">
        <v>17083</v>
      </c>
      <c r="J43" s="85">
        <v>2640</v>
      </c>
      <c r="K43" s="85">
        <v>2510</v>
      </c>
      <c r="L43" s="85">
        <v>1574</v>
      </c>
      <c r="M43" s="85">
        <v>2899</v>
      </c>
      <c r="N43" s="85">
        <v>2243</v>
      </c>
      <c r="O43" s="85">
        <v>1730</v>
      </c>
      <c r="P43" s="85">
        <v>13579</v>
      </c>
      <c r="Q43" s="85">
        <v>4696</v>
      </c>
      <c r="R43" s="85">
        <v>71311</v>
      </c>
    </row>
    <row r="44" spans="2:18" ht="15" customHeight="1" x14ac:dyDescent="0.2">
      <c r="D44" s="76" t="s">
        <v>98</v>
      </c>
      <c r="F44" s="85">
        <v>2202</v>
      </c>
      <c r="G44" s="85">
        <v>6251</v>
      </c>
      <c r="H44" s="85">
        <v>4516</v>
      </c>
      <c r="I44" s="85">
        <v>32341</v>
      </c>
      <c r="J44" s="85">
        <v>3167</v>
      </c>
      <c r="K44" s="85">
        <v>4734</v>
      </c>
      <c r="L44" s="85">
        <v>1865</v>
      </c>
      <c r="M44" s="85">
        <v>7081</v>
      </c>
      <c r="N44" s="85">
        <v>6157</v>
      </c>
      <c r="O44" s="85">
        <v>2149</v>
      </c>
      <c r="P44" s="85">
        <v>4080</v>
      </c>
      <c r="Q44" s="85">
        <v>5970</v>
      </c>
      <c r="R44" s="85">
        <v>80513</v>
      </c>
    </row>
    <row r="45" spans="2:18" ht="15" customHeight="1" x14ac:dyDescent="0.2"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</row>
    <row r="46" spans="2:18" ht="15" customHeight="1" x14ac:dyDescent="0.2">
      <c r="C46" s="76" t="s">
        <v>43</v>
      </c>
      <c r="F46" s="84">
        <v>39057</v>
      </c>
      <c r="G46" s="84">
        <v>37678</v>
      </c>
      <c r="H46" s="84">
        <v>53344</v>
      </c>
      <c r="I46" s="84">
        <v>30218</v>
      </c>
      <c r="J46" s="84">
        <v>12758</v>
      </c>
      <c r="K46" s="84">
        <v>23917</v>
      </c>
      <c r="L46" s="84">
        <v>87305</v>
      </c>
      <c r="M46" s="84">
        <v>30656</v>
      </c>
      <c r="N46" s="84">
        <v>23514</v>
      </c>
      <c r="O46" s="84">
        <v>30325</v>
      </c>
      <c r="P46" s="84">
        <v>41662</v>
      </c>
      <c r="Q46" s="84">
        <v>16439</v>
      </c>
      <c r="R46" s="84">
        <v>426873</v>
      </c>
    </row>
    <row r="47" spans="2:18" ht="15" customHeight="1" x14ac:dyDescent="0.2">
      <c r="D47" s="76" t="s">
        <v>44</v>
      </c>
      <c r="F47" s="85">
        <v>39057</v>
      </c>
      <c r="G47" s="85">
        <v>37678</v>
      </c>
      <c r="H47" s="85">
        <v>53344</v>
      </c>
      <c r="I47" s="85">
        <v>30220</v>
      </c>
      <c r="J47" s="85">
        <v>13670</v>
      </c>
      <c r="K47" s="85">
        <v>24204</v>
      </c>
      <c r="L47" s="85">
        <v>87450</v>
      </c>
      <c r="M47" s="85">
        <v>30800</v>
      </c>
      <c r="N47" s="85">
        <v>23668</v>
      </c>
      <c r="O47" s="85">
        <v>30483</v>
      </c>
      <c r="P47" s="85">
        <v>41831</v>
      </c>
      <c r="Q47" s="85">
        <v>16856</v>
      </c>
      <c r="R47" s="85">
        <v>429261</v>
      </c>
    </row>
    <row r="48" spans="2:18" ht="15" customHeight="1" x14ac:dyDescent="0.2">
      <c r="D48" s="76" t="s">
        <v>45</v>
      </c>
      <c r="F48" s="85">
        <v>0</v>
      </c>
      <c r="G48" s="85">
        <v>0</v>
      </c>
      <c r="H48" s="85">
        <v>0</v>
      </c>
      <c r="I48" s="85">
        <v>2</v>
      </c>
      <c r="J48" s="85">
        <v>912</v>
      </c>
      <c r="K48" s="85">
        <v>287</v>
      </c>
      <c r="L48" s="85">
        <v>145</v>
      </c>
      <c r="M48" s="85">
        <v>144</v>
      </c>
      <c r="N48" s="85">
        <v>154</v>
      </c>
      <c r="O48" s="85">
        <v>158</v>
      </c>
      <c r="P48" s="85">
        <v>169</v>
      </c>
      <c r="Q48" s="85">
        <v>417</v>
      </c>
      <c r="R48" s="85">
        <v>2388</v>
      </c>
    </row>
    <row r="49" spans="1:18" ht="15" customHeight="1" x14ac:dyDescent="0.2">
      <c r="E49" s="6" t="s">
        <v>68</v>
      </c>
      <c r="F49" s="85">
        <v>13318</v>
      </c>
      <c r="G49" s="85">
        <v>14114</v>
      </c>
      <c r="H49" s="85">
        <v>17025</v>
      </c>
      <c r="I49" s="85">
        <v>15409</v>
      </c>
      <c r="J49" s="85">
        <v>18394</v>
      </c>
      <c r="K49" s="85">
        <v>18520</v>
      </c>
      <c r="L49" s="85">
        <v>52299</v>
      </c>
      <c r="M49" s="85">
        <v>10358</v>
      </c>
      <c r="N49" s="85">
        <v>13524</v>
      </c>
      <c r="O49" s="85">
        <v>20240</v>
      </c>
      <c r="P49" s="85">
        <v>17670</v>
      </c>
      <c r="Q49" s="85">
        <v>417</v>
      </c>
      <c r="R49" s="85">
        <v>211288</v>
      </c>
    </row>
    <row r="50" spans="1:18" ht="15" customHeight="1" x14ac:dyDescent="0.2">
      <c r="E50" s="22" t="s">
        <v>81</v>
      </c>
      <c r="F50" s="85">
        <v>13318</v>
      </c>
      <c r="G50" s="85">
        <v>14114</v>
      </c>
      <c r="H50" s="85">
        <v>17025</v>
      </c>
      <c r="I50" s="85">
        <v>15407</v>
      </c>
      <c r="J50" s="85">
        <v>17482</v>
      </c>
      <c r="K50" s="85">
        <v>18233</v>
      </c>
      <c r="L50" s="85">
        <v>52154</v>
      </c>
      <c r="M50" s="85">
        <v>10214</v>
      </c>
      <c r="N50" s="85">
        <v>13370</v>
      </c>
      <c r="O50" s="85">
        <v>20082</v>
      </c>
      <c r="P50" s="85">
        <v>17501</v>
      </c>
      <c r="Q50" s="85">
        <v>0</v>
      </c>
      <c r="R50" s="85">
        <v>208900</v>
      </c>
    </row>
    <row r="51" spans="1:18" ht="15" customHeight="1" x14ac:dyDescent="0.2"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</row>
    <row r="52" spans="1:18" ht="15" customHeight="1" x14ac:dyDescent="0.25">
      <c r="B52" s="82" t="s">
        <v>47</v>
      </c>
      <c r="C52" s="82"/>
      <c r="D52" s="82"/>
      <c r="E52" s="82"/>
      <c r="F52" s="83">
        <v>29174</v>
      </c>
      <c r="G52" s="83">
        <v>-37001</v>
      </c>
      <c r="H52" s="83">
        <v>758</v>
      </c>
      <c r="I52" s="83">
        <v>14712</v>
      </c>
      <c r="J52" s="83">
        <v>-17078</v>
      </c>
      <c r="K52" s="83">
        <v>55255</v>
      </c>
      <c r="L52" s="83">
        <v>5434</v>
      </c>
      <c r="M52" s="83">
        <v>-11447</v>
      </c>
      <c r="N52" s="83">
        <v>-8738</v>
      </c>
      <c r="O52" s="83">
        <v>-8354</v>
      </c>
      <c r="P52" s="83">
        <v>2248</v>
      </c>
      <c r="Q52" s="83">
        <v>22514</v>
      </c>
      <c r="R52" s="83">
        <v>47477</v>
      </c>
    </row>
    <row r="53" spans="1:18" x14ac:dyDescent="0.2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</row>
    <row r="54" spans="1:18" x14ac:dyDescent="0.2">
      <c r="B54" s="79" t="s">
        <v>48</v>
      </c>
    </row>
    <row r="55" spans="1:18" ht="14.25" customHeight="1" x14ac:dyDescent="0.2">
      <c r="B55" s="79"/>
      <c r="C55" s="189" t="s">
        <v>111</v>
      </c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</row>
    <row r="56" spans="1:18" ht="18" customHeight="1" x14ac:dyDescent="0.2">
      <c r="B56" s="7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</row>
    <row r="59" spans="1:18" x14ac:dyDescent="0.2">
      <c r="B59" s="86" t="s">
        <v>52</v>
      </c>
    </row>
    <row r="60" spans="1:18" x14ac:dyDescent="0.2">
      <c r="B60" s="86" t="s">
        <v>107</v>
      </c>
    </row>
  </sheetData>
  <mergeCells count="2">
    <mergeCell ref="B7:E7"/>
    <mergeCell ref="C55:Q56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MJ57"/>
  <sheetViews>
    <sheetView zoomScaleNormal="100" workbookViewId="0">
      <selection activeCell="T44" sqref="T44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22.42578125" style="76" customWidth="1"/>
    <col min="6" max="6" width="9.140625" style="76"/>
    <col min="7" max="7" width="8.7109375" style="76" customWidth="1"/>
    <col min="8" max="9" width="9.140625" style="76"/>
    <col min="10" max="11" width="8.7109375" style="76" customWidth="1"/>
    <col min="12" max="13" width="9.140625" style="76"/>
    <col min="14" max="14" width="8.7109375" style="76" customWidth="1"/>
    <col min="15" max="15" width="8" style="76" customWidth="1"/>
    <col min="16" max="17" width="9.140625" style="76"/>
    <col min="18" max="18" width="10.85546875" style="76" customWidth="1"/>
    <col min="19" max="19" width="0.7109375" style="76" customWidth="1"/>
    <col min="20" max="1024" width="9.140625" style="76"/>
  </cols>
  <sheetData>
    <row r="1" spans="1:19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93" t="s">
        <v>96</v>
      </c>
      <c r="B4" s="78"/>
    </row>
    <row r="5" spans="1:19" ht="6" customHeight="1" x14ac:dyDescent="0.2"/>
    <row r="6" spans="1:19" ht="21.75" customHeight="1" x14ac:dyDescent="0.2">
      <c r="A6" s="80"/>
      <c r="B6" s="184" t="s">
        <v>3</v>
      </c>
      <c r="C6" s="184"/>
      <c r="D6" s="184"/>
      <c r="E6" s="184"/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65</v>
      </c>
      <c r="O6" s="2" t="s">
        <v>13</v>
      </c>
      <c r="P6" s="2" t="s">
        <v>56</v>
      </c>
      <c r="Q6" s="2" t="s">
        <v>57</v>
      </c>
      <c r="R6" s="2" t="s">
        <v>14</v>
      </c>
      <c r="S6" s="111"/>
    </row>
    <row r="7" spans="1:19" ht="14.25" customHeight="1" x14ac:dyDescent="0.2">
      <c r="O7" s="85"/>
    </row>
    <row r="8" spans="1:19" ht="14.25" customHeight="1" x14ac:dyDescent="0.25">
      <c r="B8" s="82" t="s">
        <v>15</v>
      </c>
      <c r="C8" s="82"/>
      <c r="D8" s="82"/>
      <c r="E8" s="82"/>
      <c r="F8" s="83">
        <f t="shared" ref="F8:R8" si="0">F9+F19+F26</f>
        <v>72651</v>
      </c>
      <c r="G8" s="83">
        <f t="shared" si="0"/>
        <v>89615</v>
      </c>
      <c r="H8" s="83">
        <f t="shared" si="0"/>
        <v>75037</v>
      </c>
      <c r="I8" s="83">
        <f t="shared" si="0"/>
        <v>101155</v>
      </c>
      <c r="J8" s="83">
        <f t="shared" si="0"/>
        <v>94133</v>
      </c>
      <c r="K8" s="83">
        <f t="shared" si="0"/>
        <v>77688</v>
      </c>
      <c r="L8" s="83">
        <f t="shared" si="0"/>
        <v>103973</v>
      </c>
      <c r="M8" s="83">
        <f t="shared" si="0"/>
        <v>117115</v>
      </c>
      <c r="N8" s="83">
        <f t="shared" si="0"/>
        <v>80890</v>
      </c>
      <c r="O8" s="83">
        <f t="shared" si="0"/>
        <v>83699</v>
      </c>
      <c r="P8" s="83">
        <f t="shared" si="0"/>
        <v>148342</v>
      </c>
      <c r="Q8" s="83">
        <f t="shared" si="0"/>
        <v>92262</v>
      </c>
      <c r="R8" s="83">
        <f t="shared" si="0"/>
        <v>1136560</v>
      </c>
    </row>
    <row r="9" spans="1:19" ht="14.25" customHeight="1" x14ac:dyDescent="0.2">
      <c r="C9" s="76" t="s">
        <v>16</v>
      </c>
      <c r="F9" s="84">
        <v>62237</v>
      </c>
      <c r="G9" s="84">
        <v>55470</v>
      </c>
      <c r="H9" s="84">
        <v>68367</v>
      </c>
      <c r="I9" s="84">
        <v>93726</v>
      </c>
      <c r="J9" s="84">
        <v>85438</v>
      </c>
      <c r="K9" s="84">
        <v>67199</v>
      </c>
      <c r="L9" s="84">
        <v>80331</v>
      </c>
      <c r="M9" s="84">
        <v>101271</v>
      </c>
      <c r="N9" s="84">
        <v>68936</v>
      </c>
      <c r="O9" s="84">
        <v>73048</v>
      </c>
      <c r="P9" s="84">
        <v>93060</v>
      </c>
      <c r="Q9" s="84">
        <v>83854</v>
      </c>
      <c r="R9" s="84">
        <v>932937</v>
      </c>
    </row>
    <row r="10" spans="1:19" ht="14.25" customHeight="1" x14ac:dyDescent="0.2">
      <c r="D10" s="76" t="s">
        <v>17</v>
      </c>
      <c r="F10" s="85">
        <v>49735</v>
      </c>
      <c r="G10" s="85">
        <v>41243</v>
      </c>
      <c r="H10" s="85">
        <v>52130</v>
      </c>
      <c r="I10" s="85">
        <v>75771</v>
      </c>
      <c r="J10" s="85">
        <v>66708</v>
      </c>
      <c r="K10" s="85">
        <v>49131</v>
      </c>
      <c r="L10" s="85">
        <v>58695</v>
      </c>
      <c r="M10" s="85">
        <v>79578</v>
      </c>
      <c r="N10" s="85">
        <v>48929</v>
      </c>
      <c r="O10" s="85">
        <v>53518</v>
      </c>
      <c r="P10" s="85">
        <v>72252</v>
      </c>
      <c r="Q10" s="85">
        <v>65915</v>
      </c>
      <c r="R10" s="85">
        <v>713605</v>
      </c>
    </row>
    <row r="11" spans="1:19" ht="14.2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4.25" customHeight="1" x14ac:dyDescent="0.2">
      <c r="E12" s="76" t="s">
        <v>19</v>
      </c>
      <c r="F12" s="85">
        <v>0</v>
      </c>
      <c r="G12" s="85">
        <v>0</v>
      </c>
      <c r="H12" s="85">
        <v>943</v>
      </c>
      <c r="I12" s="85">
        <v>367</v>
      </c>
      <c r="J12" s="85">
        <v>724</v>
      </c>
      <c r="K12" s="85">
        <v>367</v>
      </c>
      <c r="L12" s="85">
        <v>0</v>
      </c>
      <c r="M12" s="85">
        <v>1006</v>
      </c>
      <c r="N12" s="85">
        <v>778</v>
      </c>
      <c r="O12" s="85">
        <v>111</v>
      </c>
      <c r="P12" s="85">
        <v>529</v>
      </c>
      <c r="Q12" s="85">
        <v>310</v>
      </c>
      <c r="R12" s="85">
        <v>5135</v>
      </c>
    </row>
    <row r="13" spans="1:19" ht="14.25" customHeight="1" x14ac:dyDescent="0.2">
      <c r="E13" s="76" t="s">
        <v>20</v>
      </c>
      <c r="F13" s="85">
        <v>0</v>
      </c>
      <c r="G13" s="85">
        <v>0</v>
      </c>
      <c r="H13" s="85">
        <v>391</v>
      </c>
      <c r="I13" s="85">
        <v>0</v>
      </c>
      <c r="J13" s="85">
        <v>0</v>
      </c>
      <c r="K13" s="85">
        <v>0</v>
      </c>
      <c r="L13" s="85">
        <v>4034</v>
      </c>
      <c r="M13" s="85">
        <v>1565</v>
      </c>
      <c r="N13" s="85">
        <v>1095</v>
      </c>
      <c r="O13" s="85">
        <v>96</v>
      </c>
      <c r="P13" s="85">
        <v>143</v>
      </c>
      <c r="Q13" s="85">
        <v>1436</v>
      </c>
      <c r="R13" s="85">
        <v>8760</v>
      </c>
    </row>
    <row r="14" spans="1:19" ht="14.25" customHeight="1" x14ac:dyDescent="0.2">
      <c r="D14" s="76" t="s">
        <v>21</v>
      </c>
      <c r="F14" s="85">
        <v>11759</v>
      </c>
      <c r="G14" s="85">
        <v>13423</v>
      </c>
      <c r="H14" s="85">
        <v>15039</v>
      </c>
      <c r="I14" s="85">
        <v>17198</v>
      </c>
      <c r="J14" s="85">
        <v>17531</v>
      </c>
      <c r="K14" s="85">
        <v>17207</v>
      </c>
      <c r="L14" s="85">
        <v>20830</v>
      </c>
      <c r="M14" s="85">
        <v>20908</v>
      </c>
      <c r="N14" s="85">
        <v>19062</v>
      </c>
      <c r="O14" s="85">
        <v>18748</v>
      </c>
      <c r="P14" s="85">
        <v>20345</v>
      </c>
      <c r="Q14" s="85">
        <v>17389</v>
      </c>
      <c r="R14" s="85">
        <v>209439</v>
      </c>
    </row>
    <row r="15" spans="1:19" ht="14.2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4.25" customHeight="1" x14ac:dyDescent="0.2">
      <c r="E16" s="76" t="s">
        <v>20</v>
      </c>
      <c r="F16" s="85">
        <v>0</v>
      </c>
      <c r="G16" s="85">
        <v>0</v>
      </c>
      <c r="H16" s="85">
        <v>0</v>
      </c>
      <c r="I16" s="85">
        <v>1920</v>
      </c>
      <c r="J16" s="85">
        <v>1585</v>
      </c>
      <c r="K16" s="85">
        <v>1890</v>
      </c>
      <c r="L16" s="85">
        <v>3313</v>
      </c>
      <c r="M16" s="85">
        <v>1965</v>
      </c>
      <c r="N16" s="85">
        <v>1832</v>
      </c>
      <c r="O16" s="85">
        <v>1417</v>
      </c>
      <c r="P16" s="85">
        <v>1888</v>
      </c>
      <c r="Q16" s="85">
        <v>414</v>
      </c>
      <c r="R16" s="85">
        <v>16224</v>
      </c>
    </row>
    <row r="17" spans="2:21" ht="14.25" customHeight="1" x14ac:dyDescent="0.2">
      <c r="D17" s="76" t="s">
        <v>106</v>
      </c>
      <c r="F17" s="85">
        <v>743</v>
      </c>
      <c r="G17" s="85">
        <v>804</v>
      </c>
      <c r="H17" s="85">
        <v>1198</v>
      </c>
      <c r="I17" s="85">
        <v>757</v>
      </c>
      <c r="J17" s="85">
        <v>1199</v>
      </c>
      <c r="K17" s="85">
        <v>861</v>
      </c>
      <c r="L17" s="85">
        <v>806</v>
      </c>
      <c r="M17" s="85">
        <v>785</v>
      </c>
      <c r="N17" s="85">
        <v>945</v>
      </c>
      <c r="O17" s="85">
        <v>782</v>
      </c>
      <c r="P17" s="85">
        <v>463</v>
      </c>
      <c r="Q17" s="85">
        <v>550</v>
      </c>
      <c r="R17" s="85">
        <v>9893</v>
      </c>
    </row>
    <row r="18" spans="2:21" ht="14.2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4.25" customHeight="1" x14ac:dyDescent="0.2">
      <c r="C19" s="76" t="s">
        <v>23</v>
      </c>
      <c r="F19" s="84">
        <f t="shared" ref="F19:R19" si="1">SUM(F20:F24)</f>
        <v>10414</v>
      </c>
      <c r="G19" s="84">
        <f t="shared" si="1"/>
        <v>34087</v>
      </c>
      <c r="H19" s="84">
        <f t="shared" si="1"/>
        <v>6659</v>
      </c>
      <c r="I19" s="84">
        <f t="shared" si="1"/>
        <v>7425</v>
      </c>
      <c r="J19" s="84">
        <f t="shared" si="1"/>
        <v>8693</v>
      </c>
      <c r="K19" s="84">
        <f t="shared" si="1"/>
        <v>10450</v>
      </c>
      <c r="L19" s="84">
        <f t="shared" si="1"/>
        <v>23640</v>
      </c>
      <c r="M19" s="84">
        <f t="shared" si="1"/>
        <v>15835</v>
      </c>
      <c r="N19" s="84">
        <f t="shared" si="1"/>
        <v>11951</v>
      </c>
      <c r="O19" s="84">
        <f t="shared" si="1"/>
        <v>10651</v>
      </c>
      <c r="P19" s="84">
        <f t="shared" si="1"/>
        <v>55276</v>
      </c>
      <c r="Q19" s="84">
        <f t="shared" si="1"/>
        <v>8392</v>
      </c>
      <c r="R19" s="84">
        <f t="shared" si="1"/>
        <v>203473</v>
      </c>
    </row>
    <row r="20" spans="2:21" ht="14.25" customHeight="1" x14ac:dyDescent="0.2">
      <c r="D20" s="76" t="s">
        <v>24</v>
      </c>
      <c r="F20" s="85">
        <v>6203</v>
      </c>
      <c r="G20" s="85">
        <v>4170</v>
      </c>
      <c r="H20" s="85">
        <v>3732</v>
      </c>
      <c r="I20" s="85">
        <v>4570</v>
      </c>
      <c r="J20" s="85">
        <v>6109</v>
      </c>
      <c r="K20" s="85">
        <v>8512</v>
      </c>
      <c r="L20" s="85">
        <v>5354</v>
      </c>
      <c r="M20" s="85">
        <v>8224</v>
      </c>
      <c r="N20" s="85">
        <v>8473</v>
      </c>
      <c r="O20" s="85">
        <v>3977</v>
      </c>
      <c r="P20" s="85">
        <v>4961</v>
      </c>
      <c r="Q20" s="85">
        <v>3647</v>
      </c>
      <c r="R20" s="85">
        <f>SUM(F20:Q20)</f>
        <v>67932</v>
      </c>
    </row>
    <row r="21" spans="2:21" ht="14.25" customHeight="1" x14ac:dyDescent="0.2">
      <c r="D21" s="76" t="s">
        <v>113</v>
      </c>
      <c r="F21" s="85">
        <v>1981</v>
      </c>
      <c r="G21" s="85">
        <v>1569</v>
      </c>
      <c r="H21" s="85">
        <v>1294</v>
      </c>
      <c r="I21" s="85">
        <v>1290</v>
      </c>
      <c r="J21" s="85">
        <v>1846</v>
      </c>
      <c r="K21" s="85">
        <v>1491</v>
      </c>
      <c r="L21" s="85">
        <v>1673</v>
      </c>
      <c r="M21" s="85">
        <v>3685</v>
      </c>
      <c r="N21" s="85">
        <v>1798</v>
      </c>
      <c r="O21" s="85">
        <v>2522</v>
      </c>
      <c r="P21" s="85">
        <v>1597</v>
      </c>
      <c r="Q21" s="85">
        <v>891</v>
      </c>
      <c r="R21" s="85">
        <f>SUM(F21:Q21)</f>
        <v>21637</v>
      </c>
      <c r="T21" s="85"/>
    </row>
    <row r="22" spans="2:21" ht="14.25" customHeight="1" x14ac:dyDescent="0.2">
      <c r="D22" s="76" t="s">
        <v>27</v>
      </c>
      <c r="F22" s="85">
        <v>1259.259</v>
      </c>
      <c r="G22" s="85">
        <v>1300.598</v>
      </c>
      <c r="H22" s="85">
        <v>585.43600000000004</v>
      </c>
      <c r="I22" s="85">
        <v>1104.33</v>
      </c>
      <c r="J22" s="85">
        <v>562.76199999999994</v>
      </c>
      <c r="K22" s="85">
        <v>571.39099999999996</v>
      </c>
      <c r="L22" s="85">
        <v>790.15499999999997</v>
      </c>
      <c r="M22" s="85">
        <v>666.87599999999998</v>
      </c>
      <c r="N22" s="85">
        <v>738.61300000000006</v>
      </c>
      <c r="O22" s="85">
        <v>759.625</v>
      </c>
      <c r="P22" s="85">
        <v>493.34699999999998</v>
      </c>
      <c r="Q22" s="85">
        <v>512.72699999999998</v>
      </c>
      <c r="R22" s="85">
        <f>SUM(F22:Q22)</f>
        <v>9345.1189999999988</v>
      </c>
    </row>
    <row r="23" spans="2:21" ht="14.25" customHeight="1" x14ac:dyDescent="0.2">
      <c r="D23" s="76" t="s">
        <v>26</v>
      </c>
      <c r="F23" s="85">
        <v>57</v>
      </c>
      <c r="G23" s="85">
        <v>25791</v>
      </c>
      <c r="H23" s="85">
        <v>55</v>
      </c>
      <c r="I23" s="85">
        <v>0</v>
      </c>
      <c r="J23" s="85">
        <v>83</v>
      </c>
      <c r="K23" s="85">
        <v>24</v>
      </c>
      <c r="L23" s="85">
        <v>15169</v>
      </c>
      <c r="M23" s="85">
        <v>998</v>
      </c>
      <c r="N23" s="85">
        <v>216</v>
      </c>
      <c r="O23" s="85">
        <v>1203</v>
      </c>
      <c r="P23" s="85">
        <v>47000</v>
      </c>
      <c r="Q23" s="85">
        <v>23</v>
      </c>
      <c r="R23" s="85">
        <f>SUM(F23:Q23)</f>
        <v>90619</v>
      </c>
    </row>
    <row r="24" spans="2:21" ht="14.25" customHeight="1" x14ac:dyDescent="0.2">
      <c r="D24" s="76" t="s">
        <v>106</v>
      </c>
      <c r="F24" s="85">
        <f>4154-F21-F22</f>
        <v>913.74099999999999</v>
      </c>
      <c r="G24" s="85">
        <f>4126-G21-G22</f>
        <v>1256.402</v>
      </c>
      <c r="H24" s="85">
        <f>2872-H21-H22</f>
        <v>992.56399999999996</v>
      </c>
      <c r="I24" s="85">
        <f>2855-I21-I22</f>
        <v>460.67000000000007</v>
      </c>
      <c r="J24" s="85">
        <f>2501-J21-J22</f>
        <v>92.238000000000056</v>
      </c>
      <c r="K24" s="85">
        <f>1914-K21-K22</f>
        <v>-148.39099999999996</v>
      </c>
      <c r="L24" s="85">
        <f>3117-L21-L22</f>
        <v>653.84500000000003</v>
      </c>
      <c r="M24" s="85">
        <f>6613-M21-M22</f>
        <v>2261.1239999999998</v>
      </c>
      <c r="N24" s="85">
        <f>3262-N21-N22</f>
        <v>725.38699999999994</v>
      </c>
      <c r="O24" s="85">
        <f>5471-O21-O22</f>
        <v>2189.375</v>
      </c>
      <c r="P24" s="85">
        <f>3315-P21-P22</f>
        <v>1224.653</v>
      </c>
      <c r="Q24" s="85">
        <f>4722-Q21-Q22</f>
        <v>3318.2730000000001</v>
      </c>
      <c r="R24" s="85">
        <f>SUM(F24:Q24)</f>
        <v>13939.880999999998</v>
      </c>
    </row>
    <row r="25" spans="2:21" ht="14.2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4.25" customHeight="1" x14ac:dyDescent="0.2">
      <c r="C26" s="76" t="s">
        <v>29</v>
      </c>
      <c r="F26" s="85">
        <v>0</v>
      </c>
      <c r="G26" s="85">
        <v>58</v>
      </c>
      <c r="H26" s="85">
        <v>11</v>
      </c>
      <c r="I26" s="85">
        <v>4</v>
      </c>
      <c r="J26" s="85">
        <v>2</v>
      </c>
      <c r="K26" s="85">
        <v>39</v>
      </c>
      <c r="L26" s="85">
        <v>2</v>
      </c>
      <c r="M26" s="85">
        <v>9</v>
      </c>
      <c r="N26" s="85">
        <v>3</v>
      </c>
      <c r="O26" s="85">
        <v>0</v>
      </c>
      <c r="P26" s="85">
        <v>6</v>
      </c>
      <c r="Q26" s="85">
        <v>16</v>
      </c>
      <c r="R26" s="85">
        <v>150</v>
      </c>
    </row>
    <row r="27" spans="2:21" ht="14.2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4.25" customHeight="1" x14ac:dyDescent="0.25">
      <c r="B28" s="82" t="s">
        <v>30</v>
      </c>
      <c r="C28" s="82"/>
      <c r="D28" s="82"/>
      <c r="E28" s="82"/>
      <c r="F28" s="83">
        <f t="shared" ref="F28:Q28" si="2">SUM(F30:F36)</f>
        <v>102366</v>
      </c>
      <c r="G28" s="83">
        <f t="shared" si="2"/>
        <v>78506</v>
      </c>
      <c r="H28" s="83">
        <f t="shared" si="2"/>
        <v>108399</v>
      </c>
      <c r="I28" s="83">
        <f t="shared" si="2"/>
        <v>89203</v>
      </c>
      <c r="J28" s="83">
        <f t="shared" si="2"/>
        <v>95880</v>
      </c>
      <c r="K28" s="83">
        <f t="shared" si="2"/>
        <v>76906</v>
      </c>
      <c r="L28" s="83">
        <f t="shared" si="2"/>
        <v>102378</v>
      </c>
      <c r="M28" s="83">
        <f t="shared" si="2"/>
        <v>103218</v>
      </c>
      <c r="N28" s="83">
        <f t="shared" si="2"/>
        <v>95411</v>
      </c>
      <c r="O28" s="83">
        <f t="shared" si="2"/>
        <v>85177</v>
      </c>
      <c r="P28" s="83">
        <f t="shared" si="2"/>
        <v>94249</v>
      </c>
      <c r="Q28" s="83">
        <f t="shared" si="2"/>
        <v>117308</v>
      </c>
      <c r="R28" s="83">
        <f>SUM(F28:Q28)</f>
        <v>1149001</v>
      </c>
    </row>
    <row r="29" spans="2:21" ht="14.2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4.25" customHeight="1" x14ac:dyDescent="0.2">
      <c r="D30" s="76" t="s">
        <v>31</v>
      </c>
      <c r="F30" s="85">
        <v>18478</v>
      </c>
      <c r="G30" s="85">
        <v>15767</v>
      </c>
      <c r="H30" s="85">
        <v>17364</v>
      </c>
      <c r="I30" s="85">
        <v>15986</v>
      </c>
      <c r="J30" s="85">
        <v>17199</v>
      </c>
      <c r="K30" s="85">
        <v>14988</v>
      </c>
      <c r="L30" s="85">
        <v>15395</v>
      </c>
      <c r="M30" s="85">
        <v>15786</v>
      </c>
      <c r="N30" s="85">
        <v>15259</v>
      </c>
      <c r="O30" s="85">
        <v>15259</v>
      </c>
      <c r="P30" s="85">
        <v>15390</v>
      </c>
      <c r="Q30" s="85">
        <v>16841</v>
      </c>
      <c r="R30" s="85">
        <f t="shared" ref="R30:R36" si="3">SUM(F30:Q30)</f>
        <v>193712</v>
      </c>
    </row>
    <row r="31" spans="2:21" ht="14.25" customHeight="1" x14ac:dyDescent="0.2">
      <c r="D31" s="76" t="s">
        <v>32</v>
      </c>
      <c r="F31" s="85">
        <v>32300</v>
      </c>
      <c r="G31" s="85">
        <v>26464</v>
      </c>
      <c r="H31" s="85">
        <v>30385</v>
      </c>
      <c r="I31" s="85">
        <v>19970</v>
      </c>
      <c r="J31" s="85">
        <v>14044</v>
      </c>
      <c r="K31" s="85">
        <v>6463</v>
      </c>
      <c r="L31" s="85">
        <v>29862</v>
      </c>
      <c r="M31" s="85">
        <v>33027</v>
      </c>
      <c r="N31" s="85">
        <v>30174</v>
      </c>
      <c r="O31" s="85">
        <v>18624</v>
      </c>
      <c r="P31" s="85">
        <v>13828</v>
      </c>
      <c r="Q31" s="85">
        <v>12659</v>
      </c>
      <c r="R31" s="85">
        <f t="shared" si="3"/>
        <v>267800</v>
      </c>
    </row>
    <row r="32" spans="2:21" ht="14.25" customHeight="1" x14ac:dyDescent="0.2">
      <c r="D32" s="76" t="s">
        <v>33</v>
      </c>
      <c r="F32" s="85">
        <v>0</v>
      </c>
      <c r="G32" s="85">
        <v>0</v>
      </c>
      <c r="H32" s="85">
        <v>1334</v>
      </c>
      <c r="I32" s="85">
        <v>2287</v>
      </c>
      <c r="J32" s="85">
        <v>2309</v>
      </c>
      <c r="K32" s="85">
        <v>2257</v>
      </c>
      <c r="L32" s="85">
        <v>7347</v>
      </c>
      <c r="M32" s="85">
        <v>4536</v>
      </c>
      <c r="N32" s="85">
        <v>3705</v>
      </c>
      <c r="O32" s="85">
        <v>1624</v>
      </c>
      <c r="P32" s="85">
        <v>2560</v>
      </c>
      <c r="Q32" s="85">
        <v>2160</v>
      </c>
      <c r="R32" s="85">
        <f t="shared" si="3"/>
        <v>30119</v>
      </c>
    </row>
    <row r="33" spans="2:18" ht="14.25" customHeight="1" x14ac:dyDescent="0.2">
      <c r="D33" s="76" t="s">
        <v>78</v>
      </c>
      <c r="F33" s="85">
        <v>1419</v>
      </c>
      <c r="G33" s="85">
        <v>1254</v>
      </c>
      <c r="H33" s="85">
        <v>3371</v>
      </c>
      <c r="I33" s="85">
        <v>2384</v>
      </c>
      <c r="J33" s="85">
        <v>86</v>
      </c>
      <c r="K33" s="85">
        <v>2070</v>
      </c>
      <c r="L33" s="85">
        <v>3453</v>
      </c>
      <c r="M33" s="85">
        <v>479</v>
      </c>
      <c r="N33" s="85">
        <v>1016</v>
      </c>
      <c r="O33" s="85">
        <v>97</v>
      </c>
      <c r="P33" s="85">
        <v>3292</v>
      </c>
      <c r="Q33" s="85">
        <v>8415</v>
      </c>
      <c r="R33" s="85">
        <f t="shared" si="3"/>
        <v>27336</v>
      </c>
    </row>
    <row r="34" spans="2:18" ht="14.25" customHeight="1" x14ac:dyDescent="0.2">
      <c r="D34" s="76" t="s">
        <v>35</v>
      </c>
      <c r="F34" s="85">
        <v>30</v>
      </c>
      <c r="G34" s="85">
        <v>30</v>
      </c>
      <c r="H34" s="85">
        <v>52</v>
      </c>
      <c r="I34" s="85">
        <v>0</v>
      </c>
      <c r="J34" s="85">
        <v>50</v>
      </c>
      <c r="K34" s="85">
        <v>80</v>
      </c>
      <c r="L34" s="85">
        <v>131</v>
      </c>
      <c r="M34" s="85">
        <v>0</v>
      </c>
      <c r="N34" s="85">
        <v>0</v>
      </c>
      <c r="O34" s="85">
        <v>74</v>
      </c>
      <c r="P34" s="85">
        <v>0</v>
      </c>
      <c r="Q34" s="85">
        <v>3282</v>
      </c>
      <c r="R34" s="85">
        <f t="shared" si="3"/>
        <v>3729</v>
      </c>
    </row>
    <row r="35" spans="2:18" ht="14.25" customHeight="1" x14ac:dyDescent="0.2">
      <c r="D35" s="76" t="s">
        <v>79</v>
      </c>
      <c r="F35" s="85">
        <v>530</v>
      </c>
      <c r="G35" s="85">
        <v>-42</v>
      </c>
      <c r="H35" s="85">
        <v>1303</v>
      </c>
      <c r="I35" s="85">
        <v>605</v>
      </c>
      <c r="J35" s="85">
        <v>432</v>
      </c>
      <c r="K35" s="85">
        <v>-302</v>
      </c>
      <c r="L35" s="85">
        <v>425</v>
      </c>
      <c r="M35" s="85">
        <v>268</v>
      </c>
      <c r="N35" s="85">
        <v>1226</v>
      </c>
      <c r="O35" s="85">
        <v>627</v>
      </c>
      <c r="P35" s="85">
        <v>922</v>
      </c>
      <c r="Q35" s="85">
        <v>3756</v>
      </c>
      <c r="R35" s="85">
        <f t="shared" si="3"/>
        <v>9750</v>
      </c>
    </row>
    <row r="36" spans="2:18" ht="14.25" customHeight="1" x14ac:dyDescent="0.2">
      <c r="D36" s="6" t="s">
        <v>80</v>
      </c>
      <c r="F36" s="85">
        <v>49609</v>
      </c>
      <c r="G36" s="85">
        <v>35033</v>
      </c>
      <c r="H36" s="85">
        <v>54590</v>
      </c>
      <c r="I36" s="85">
        <v>47971</v>
      </c>
      <c r="J36" s="85">
        <v>61760</v>
      </c>
      <c r="K36" s="85">
        <v>51350</v>
      </c>
      <c r="L36" s="85">
        <v>45765</v>
      </c>
      <c r="M36" s="85">
        <v>49122</v>
      </c>
      <c r="N36" s="85">
        <v>44031</v>
      </c>
      <c r="O36" s="85">
        <v>48872</v>
      </c>
      <c r="P36" s="85">
        <v>58257</v>
      </c>
      <c r="Q36" s="85">
        <v>70195</v>
      </c>
      <c r="R36" s="85">
        <f t="shared" si="3"/>
        <v>616555</v>
      </c>
    </row>
    <row r="37" spans="2:18" ht="14.2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5" t="s">
        <v>58</v>
      </c>
    </row>
    <row r="38" spans="2:18" ht="14.25" customHeight="1" x14ac:dyDescent="0.25">
      <c r="B38" s="82" t="s">
        <v>38</v>
      </c>
      <c r="C38" s="82"/>
      <c r="D38" s="82"/>
      <c r="E38" s="82"/>
      <c r="F38" s="88">
        <f t="shared" ref="F38:Q38" si="4">+F8-F28</f>
        <v>-29715</v>
      </c>
      <c r="G38" s="88">
        <f t="shared" si="4"/>
        <v>11109</v>
      </c>
      <c r="H38" s="88">
        <f t="shared" si="4"/>
        <v>-33362</v>
      </c>
      <c r="I38" s="88">
        <f t="shared" si="4"/>
        <v>11952</v>
      </c>
      <c r="J38" s="88">
        <f t="shared" si="4"/>
        <v>-1747</v>
      </c>
      <c r="K38" s="88">
        <f t="shared" si="4"/>
        <v>782</v>
      </c>
      <c r="L38" s="88">
        <f t="shared" si="4"/>
        <v>1595</v>
      </c>
      <c r="M38" s="88">
        <f t="shared" si="4"/>
        <v>13897</v>
      </c>
      <c r="N38" s="88">
        <f t="shared" si="4"/>
        <v>-14521</v>
      </c>
      <c r="O38" s="88">
        <f t="shared" si="4"/>
        <v>-1478</v>
      </c>
      <c r="P38" s="88">
        <f t="shared" si="4"/>
        <v>54093</v>
      </c>
      <c r="Q38" s="88">
        <f t="shared" si="4"/>
        <v>-25046</v>
      </c>
      <c r="R38" s="88">
        <f>SUM(F38:Q38)</f>
        <v>-12441</v>
      </c>
    </row>
    <row r="39" spans="2:18" ht="14.2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18" ht="14.25" customHeight="1" x14ac:dyDescent="0.25">
      <c r="B40" s="82" t="s">
        <v>39</v>
      </c>
      <c r="C40" s="82"/>
      <c r="D40" s="82"/>
      <c r="E40" s="82"/>
      <c r="F40" s="83">
        <v>29762</v>
      </c>
      <c r="G40" s="83">
        <v>5494</v>
      </c>
      <c r="H40" s="83">
        <v>19521</v>
      </c>
      <c r="I40" s="83">
        <v>6441</v>
      </c>
      <c r="J40" s="83">
        <v>-25356</v>
      </c>
      <c r="K40" s="83">
        <v>-3806</v>
      </c>
      <c r="L40" s="83">
        <v>8036</v>
      </c>
      <c r="M40" s="83">
        <v>46724</v>
      </c>
      <c r="N40" s="83">
        <v>996</v>
      </c>
      <c r="O40" s="83">
        <v>1657</v>
      </c>
      <c r="P40" s="83">
        <v>-9153</v>
      </c>
      <c r="Q40" s="83">
        <v>18792</v>
      </c>
      <c r="R40" s="83">
        <v>99108</v>
      </c>
    </row>
    <row r="41" spans="2:18" ht="14.25" customHeight="1" x14ac:dyDescent="0.2">
      <c r="C41" s="76" t="s">
        <v>40</v>
      </c>
      <c r="F41" s="84">
        <v>45088</v>
      </c>
      <c r="G41" s="84">
        <v>18309</v>
      </c>
      <c r="H41" s="84">
        <v>11985</v>
      </c>
      <c r="I41" s="84">
        <v>-266</v>
      </c>
      <c r="J41" s="84">
        <v>-5</v>
      </c>
      <c r="K41" s="84">
        <v>-1609</v>
      </c>
      <c r="L41" s="84">
        <v>1398</v>
      </c>
      <c r="M41" s="84">
        <v>-3106</v>
      </c>
      <c r="N41" s="84">
        <v>-15850</v>
      </c>
      <c r="O41" s="84">
        <v>-193</v>
      </c>
      <c r="P41" s="84">
        <v>-1560</v>
      </c>
      <c r="Q41" s="84">
        <v>1971</v>
      </c>
      <c r="R41" s="84">
        <v>56162</v>
      </c>
    </row>
    <row r="42" spans="2:18" ht="14.25" customHeight="1" x14ac:dyDescent="0.2">
      <c r="D42" s="76" t="s">
        <v>41</v>
      </c>
      <c r="F42" s="85">
        <v>50301</v>
      </c>
      <c r="G42" s="85">
        <v>24668</v>
      </c>
      <c r="H42" s="85">
        <v>16358</v>
      </c>
      <c r="I42" s="85">
        <v>1989</v>
      </c>
      <c r="J42" s="85">
        <v>3743</v>
      </c>
      <c r="K42" s="85">
        <v>2792</v>
      </c>
      <c r="L42" s="85">
        <v>3855</v>
      </c>
      <c r="M42" s="85">
        <v>3169</v>
      </c>
      <c r="N42" s="85">
        <v>2461</v>
      </c>
      <c r="O42" s="85">
        <v>1498</v>
      </c>
      <c r="P42" s="85">
        <v>1158</v>
      </c>
      <c r="Q42" s="85">
        <v>6422</v>
      </c>
      <c r="R42" s="85">
        <v>118414</v>
      </c>
    </row>
    <row r="43" spans="2:18" ht="14.25" customHeight="1" x14ac:dyDescent="0.2">
      <c r="D43" s="76" t="s">
        <v>98</v>
      </c>
      <c r="F43" s="85">
        <v>5213</v>
      </c>
      <c r="G43" s="85">
        <v>6359</v>
      </c>
      <c r="H43" s="85">
        <v>4373</v>
      </c>
      <c r="I43" s="85">
        <v>2255</v>
      </c>
      <c r="J43" s="85">
        <v>3748</v>
      </c>
      <c r="K43" s="85">
        <v>4401</v>
      </c>
      <c r="L43" s="85">
        <v>2457</v>
      </c>
      <c r="M43" s="85">
        <v>6275</v>
      </c>
      <c r="N43" s="85">
        <v>18311</v>
      </c>
      <c r="O43" s="85">
        <v>1691</v>
      </c>
      <c r="P43" s="85">
        <v>2718</v>
      </c>
      <c r="Q43" s="85">
        <v>4451</v>
      </c>
      <c r="R43" s="85">
        <v>62252</v>
      </c>
    </row>
    <row r="44" spans="2:18" ht="14.2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18" ht="14.25" customHeight="1" x14ac:dyDescent="0.2">
      <c r="C45" s="76" t="s">
        <v>43</v>
      </c>
      <c r="F45" s="84">
        <v>-15326</v>
      </c>
      <c r="G45" s="84">
        <v>-12815</v>
      </c>
      <c r="H45" s="84">
        <v>7536</v>
      </c>
      <c r="I45" s="84">
        <v>6707</v>
      </c>
      <c r="J45" s="84">
        <v>-25351</v>
      </c>
      <c r="K45" s="84">
        <v>-2197</v>
      </c>
      <c r="L45" s="84">
        <v>6638</v>
      </c>
      <c r="M45" s="84">
        <v>49830</v>
      </c>
      <c r="N45" s="84">
        <v>16846</v>
      </c>
      <c r="O45" s="84">
        <v>1850</v>
      </c>
      <c r="P45" s="84">
        <v>-7593</v>
      </c>
      <c r="Q45" s="84">
        <v>16821</v>
      </c>
      <c r="R45" s="84">
        <v>42946</v>
      </c>
    </row>
    <row r="46" spans="2:18" ht="14.25" customHeight="1" x14ac:dyDescent="0.2">
      <c r="D46" s="76" t="s">
        <v>44</v>
      </c>
      <c r="F46" s="85">
        <v>-1512</v>
      </c>
      <c r="G46" s="85">
        <v>22137</v>
      </c>
      <c r="H46" s="85">
        <v>29256</v>
      </c>
      <c r="I46" s="85">
        <v>109762</v>
      </c>
      <c r="J46" s="85">
        <v>-16154</v>
      </c>
      <c r="K46" s="85">
        <v>9608</v>
      </c>
      <c r="L46" s="85">
        <v>33170</v>
      </c>
      <c r="M46" s="85">
        <v>60448</v>
      </c>
      <c r="N46" s="85">
        <v>40072</v>
      </c>
      <c r="O46" s="85">
        <v>12847</v>
      </c>
      <c r="P46" s="85">
        <v>4327</v>
      </c>
      <c r="Q46" s="85">
        <v>23002</v>
      </c>
      <c r="R46" s="85">
        <v>326963</v>
      </c>
    </row>
    <row r="47" spans="2:18" ht="14.25" customHeight="1" x14ac:dyDescent="0.2">
      <c r="D47" s="76" t="s">
        <v>98</v>
      </c>
      <c r="F47" s="85">
        <v>13814</v>
      </c>
      <c r="G47" s="85">
        <v>34952</v>
      </c>
      <c r="H47" s="85">
        <v>21720</v>
      </c>
      <c r="I47" s="85">
        <v>103055</v>
      </c>
      <c r="J47" s="85">
        <v>9197</v>
      </c>
      <c r="K47" s="85">
        <v>11805</v>
      </c>
      <c r="L47" s="85">
        <v>26532</v>
      </c>
      <c r="M47" s="85">
        <v>10618</v>
      </c>
      <c r="N47" s="85">
        <v>23226</v>
      </c>
      <c r="O47" s="85">
        <v>10997</v>
      </c>
      <c r="P47" s="85">
        <v>11920</v>
      </c>
      <c r="Q47" s="85">
        <v>6181</v>
      </c>
      <c r="R47" s="85">
        <v>284017</v>
      </c>
    </row>
    <row r="48" spans="2:18" ht="14.25" customHeight="1" x14ac:dyDescent="0.2"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8" ht="14.25" customHeight="1" x14ac:dyDescent="0.25">
      <c r="B49" s="82" t="s">
        <v>47</v>
      </c>
      <c r="C49" s="82"/>
      <c r="D49" s="82"/>
      <c r="E49" s="82"/>
      <c r="F49" s="83">
        <v>13278</v>
      </c>
      <c r="G49" s="83">
        <v>20723</v>
      </c>
      <c r="H49" s="83">
        <v>-17468</v>
      </c>
      <c r="I49" s="83">
        <v>7288</v>
      </c>
      <c r="J49" s="83">
        <v>-19366</v>
      </c>
      <c r="K49" s="83">
        <v>-15740</v>
      </c>
      <c r="L49" s="83">
        <v>-5878</v>
      </c>
      <c r="M49" s="83">
        <v>30633</v>
      </c>
      <c r="N49" s="83">
        <v>-14166</v>
      </c>
      <c r="O49" s="83">
        <v>5997</v>
      </c>
      <c r="P49" s="83">
        <v>50219</v>
      </c>
      <c r="Q49" s="83">
        <v>51431</v>
      </c>
      <c r="R49" s="83">
        <v>106951</v>
      </c>
    </row>
    <row r="50" spans="1:18" x14ac:dyDescent="0.2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</row>
    <row r="51" spans="1:18" x14ac:dyDescent="0.2">
      <c r="B51" s="79" t="s">
        <v>48</v>
      </c>
    </row>
    <row r="52" spans="1:18" x14ac:dyDescent="0.2">
      <c r="B52" s="79"/>
      <c r="C52" s="86" t="s">
        <v>99</v>
      </c>
      <c r="D52" s="86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5"/>
    </row>
    <row r="53" spans="1:18" x14ac:dyDescent="0.2">
      <c r="B53" s="86"/>
      <c r="C53" s="86" t="s">
        <v>100</v>
      </c>
      <c r="D53" s="86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5"/>
    </row>
    <row r="55" spans="1:18" x14ac:dyDescent="0.2">
      <c r="R55" s="85"/>
    </row>
    <row r="56" spans="1:18" x14ac:dyDescent="0.2">
      <c r="B56" s="86" t="s">
        <v>52</v>
      </c>
    </row>
    <row r="57" spans="1:18" x14ac:dyDescent="0.2">
      <c r="B57" s="86" t="s">
        <v>107</v>
      </c>
    </row>
  </sheetData>
  <mergeCells count="1">
    <mergeCell ref="B6:E6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MJ59"/>
  <sheetViews>
    <sheetView zoomScaleNormal="100" workbookViewId="0">
      <selection activeCell="U33" sqref="U33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27.140625" style="76" customWidth="1"/>
    <col min="6" max="6" width="9.140625" style="76"/>
    <col min="7" max="7" width="8" style="76" customWidth="1"/>
    <col min="8" max="9" width="9.140625" style="76"/>
    <col min="10" max="11" width="8.7109375" style="76" customWidth="1"/>
    <col min="12" max="13" width="9.140625" style="76"/>
    <col min="14" max="14" width="8.7109375" style="76" customWidth="1"/>
    <col min="15" max="15" width="8" style="76" customWidth="1"/>
    <col min="16" max="17" width="9.140625" style="76"/>
    <col min="18" max="18" width="10.85546875" style="76" customWidth="1"/>
    <col min="19" max="19" width="0.7109375" style="76" customWidth="1"/>
    <col min="20" max="1024" width="9.140625" style="76"/>
  </cols>
  <sheetData>
    <row r="1" spans="1:19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93" t="s">
        <v>55</v>
      </c>
      <c r="B4" s="78"/>
    </row>
    <row r="6" spans="1:19" ht="21" customHeight="1" x14ac:dyDescent="0.2">
      <c r="A6" s="80"/>
      <c r="B6" s="184" t="s">
        <v>3</v>
      </c>
      <c r="C6" s="184"/>
      <c r="D6" s="184"/>
      <c r="E6" s="184"/>
      <c r="F6" s="2" t="s">
        <v>108</v>
      </c>
      <c r="G6" s="2" t="s">
        <v>5</v>
      </c>
      <c r="H6" s="2" t="s">
        <v>6</v>
      </c>
      <c r="I6" s="2" t="s">
        <v>121</v>
      </c>
      <c r="J6" s="2" t="s">
        <v>122</v>
      </c>
      <c r="K6" s="2" t="s">
        <v>123</v>
      </c>
      <c r="L6" s="2" t="s">
        <v>124</v>
      </c>
      <c r="M6" s="2" t="s">
        <v>125</v>
      </c>
      <c r="N6" s="2" t="s">
        <v>126</v>
      </c>
      <c r="O6" s="2" t="s">
        <v>127</v>
      </c>
      <c r="P6" s="2" t="s">
        <v>128</v>
      </c>
      <c r="Q6" s="2" t="s">
        <v>129</v>
      </c>
      <c r="R6" s="2" t="s">
        <v>14</v>
      </c>
      <c r="S6" s="112"/>
    </row>
    <row r="7" spans="1:19" ht="15" customHeight="1" x14ac:dyDescent="0.2">
      <c r="O7" s="85"/>
    </row>
    <row r="8" spans="1:19" ht="15" customHeight="1" x14ac:dyDescent="0.25">
      <c r="B8" s="82" t="s">
        <v>15</v>
      </c>
      <c r="C8" s="82"/>
      <c r="D8" s="82"/>
      <c r="E8" s="82"/>
      <c r="F8" s="83">
        <f t="shared" ref="F8:R8" si="0">F9+F19+F26</f>
        <v>72651</v>
      </c>
      <c r="G8" s="83">
        <f t="shared" si="0"/>
        <v>89615</v>
      </c>
      <c r="H8" s="83">
        <f t="shared" si="0"/>
        <v>75037</v>
      </c>
      <c r="I8" s="83">
        <f t="shared" si="0"/>
        <v>101155</v>
      </c>
      <c r="J8" s="83">
        <f t="shared" si="0"/>
        <v>94133</v>
      </c>
      <c r="K8" s="83">
        <f t="shared" si="0"/>
        <v>77688</v>
      </c>
      <c r="L8" s="83">
        <f t="shared" si="0"/>
        <v>103973</v>
      </c>
      <c r="M8" s="83">
        <f t="shared" si="0"/>
        <v>117115</v>
      </c>
      <c r="N8" s="83">
        <f t="shared" si="0"/>
        <v>80890</v>
      </c>
      <c r="O8" s="83">
        <f t="shared" si="0"/>
        <v>83699</v>
      </c>
      <c r="P8" s="83">
        <f t="shared" si="0"/>
        <v>148342</v>
      </c>
      <c r="Q8" s="83">
        <f t="shared" si="0"/>
        <v>92262</v>
      </c>
      <c r="R8" s="83">
        <f t="shared" si="0"/>
        <v>1136560</v>
      </c>
    </row>
    <row r="9" spans="1:19" ht="15" customHeight="1" x14ac:dyDescent="0.2">
      <c r="C9" s="76" t="s">
        <v>16</v>
      </c>
      <c r="F9" s="84">
        <v>62237</v>
      </c>
      <c r="G9" s="84">
        <v>55470</v>
      </c>
      <c r="H9" s="84">
        <v>68367</v>
      </c>
      <c r="I9" s="84">
        <v>93726</v>
      </c>
      <c r="J9" s="84">
        <v>85438</v>
      </c>
      <c r="K9" s="84">
        <v>67199</v>
      </c>
      <c r="L9" s="84">
        <v>80331</v>
      </c>
      <c r="M9" s="84">
        <v>101271</v>
      </c>
      <c r="N9" s="84">
        <v>68936</v>
      </c>
      <c r="O9" s="84">
        <v>73048</v>
      </c>
      <c r="P9" s="84">
        <v>93060</v>
      </c>
      <c r="Q9" s="84">
        <v>83854</v>
      </c>
      <c r="R9" s="84">
        <v>932937</v>
      </c>
    </row>
    <row r="10" spans="1:19" ht="15" customHeight="1" x14ac:dyDescent="0.2">
      <c r="D10" s="76" t="s">
        <v>17</v>
      </c>
      <c r="F10" s="85">
        <v>49735</v>
      </c>
      <c r="G10" s="85">
        <v>41243</v>
      </c>
      <c r="H10" s="85">
        <v>52130</v>
      </c>
      <c r="I10" s="85">
        <v>75771</v>
      </c>
      <c r="J10" s="85">
        <v>66708</v>
      </c>
      <c r="K10" s="85">
        <v>49131</v>
      </c>
      <c r="L10" s="85">
        <v>58695</v>
      </c>
      <c r="M10" s="85">
        <v>79578</v>
      </c>
      <c r="N10" s="85">
        <v>48929</v>
      </c>
      <c r="O10" s="85">
        <v>53518</v>
      </c>
      <c r="P10" s="85">
        <v>72252</v>
      </c>
      <c r="Q10" s="85">
        <v>65915</v>
      </c>
      <c r="R10" s="85">
        <v>713605</v>
      </c>
    </row>
    <row r="11" spans="1:19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19" ht="15" customHeight="1" x14ac:dyDescent="0.2">
      <c r="E12" s="76" t="s">
        <v>19</v>
      </c>
      <c r="F12" s="85">
        <v>0</v>
      </c>
      <c r="G12" s="85">
        <v>0</v>
      </c>
      <c r="H12" s="85">
        <v>943</v>
      </c>
      <c r="I12" s="85">
        <v>367</v>
      </c>
      <c r="J12" s="85">
        <v>724</v>
      </c>
      <c r="K12" s="85">
        <v>367</v>
      </c>
      <c r="L12" s="85">
        <v>0</v>
      </c>
      <c r="M12" s="85">
        <v>1006</v>
      </c>
      <c r="N12" s="85">
        <v>778</v>
      </c>
      <c r="O12" s="85">
        <v>111</v>
      </c>
      <c r="P12" s="85">
        <v>529</v>
      </c>
      <c r="Q12" s="85">
        <v>310</v>
      </c>
      <c r="R12" s="85">
        <v>5135</v>
      </c>
    </row>
    <row r="13" spans="1:19" ht="15" customHeight="1" x14ac:dyDescent="0.2">
      <c r="E13" s="76" t="s">
        <v>20</v>
      </c>
      <c r="F13" s="85">
        <v>0</v>
      </c>
      <c r="G13" s="85">
        <v>0</v>
      </c>
      <c r="H13" s="85">
        <v>391</v>
      </c>
      <c r="I13" s="85">
        <v>0</v>
      </c>
      <c r="J13" s="85">
        <v>0</v>
      </c>
      <c r="K13" s="85">
        <v>0</v>
      </c>
      <c r="L13" s="85">
        <v>4034</v>
      </c>
      <c r="M13" s="85">
        <v>1565</v>
      </c>
      <c r="N13" s="85">
        <v>1095</v>
      </c>
      <c r="O13" s="85">
        <v>96</v>
      </c>
      <c r="P13" s="85">
        <v>143</v>
      </c>
      <c r="Q13" s="85">
        <v>1436</v>
      </c>
      <c r="R13" s="85">
        <v>8760</v>
      </c>
    </row>
    <row r="14" spans="1:19" ht="15" customHeight="1" x14ac:dyDescent="0.2">
      <c r="D14" s="76" t="s">
        <v>21</v>
      </c>
      <c r="F14" s="85">
        <v>11759</v>
      </c>
      <c r="G14" s="85">
        <v>13423</v>
      </c>
      <c r="H14" s="85">
        <v>15039</v>
      </c>
      <c r="I14" s="85">
        <v>17198</v>
      </c>
      <c r="J14" s="85">
        <v>17531</v>
      </c>
      <c r="K14" s="85">
        <v>17207</v>
      </c>
      <c r="L14" s="85">
        <v>20830</v>
      </c>
      <c r="M14" s="85">
        <v>20908</v>
      </c>
      <c r="N14" s="85">
        <v>19062</v>
      </c>
      <c r="O14" s="85">
        <v>18748</v>
      </c>
      <c r="P14" s="85">
        <v>20345</v>
      </c>
      <c r="Q14" s="85">
        <v>17389</v>
      </c>
      <c r="R14" s="85">
        <v>209439</v>
      </c>
    </row>
    <row r="15" spans="1:19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19" ht="15" customHeight="1" x14ac:dyDescent="0.2">
      <c r="E16" s="76" t="s">
        <v>20</v>
      </c>
      <c r="F16" s="85">
        <v>0</v>
      </c>
      <c r="G16" s="85">
        <v>0</v>
      </c>
      <c r="H16" s="85">
        <v>0</v>
      </c>
      <c r="I16" s="85">
        <v>1920</v>
      </c>
      <c r="J16" s="85">
        <v>1585</v>
      </c>
      <c r="K16" s="85">
        <v>1890</v>
      </c>
      <c r="L16" s="85">
        <v>3313</v>
      </c>
      <c r="M16" s="85">
        <v>1965</v>
      </c>
      <c r="N16" s="85">
        <v>1832</v>
      </c>
      <c r="O16" s="85">
        <v>1417</v>
      </c>
      <c r="P16" s="85">
        <v>1888</v>
      </c>
      <c r="Q16" s="85">
        <v>414</v>
      </c>
      <c r="R16" s="85">
        <v>16224</v>
      </c>
    </row>
    <row r="17" spans="2:21" ht="15" customHeight="1" x14ac:dyDescent="0.2">
      <c r="D17" s="76" t="s">
        <v>106</v>
      </c>
      <c r="F17" s="85">
        <v>743</v>
      </c>
      <c r="G17" s="85">
        <v>804</v>
      </c>
      <c r="H17" s="85">
        <v>1198</v>
      </c>
      <c r="I17" s="85">
        <v>757</v>
      </c>
      <c r="J17" s="85">
        <v>1199</v>
      </c>
      <c r="K17" s="85">
        <v>861</v>
      </c>
      <c r="L17" s="85">
        <v>806</v>
      </c>
      <c r="M17" s="85">
        <v>785</v>
      </c>
      <c r="N17" s="85">
        <v>945</v>
      </c>
      <c r="O17" s="85">
        <v>782</v>
      </c>
      <c r="P17" s="85">
        <v>463</v>
      </c>
      <c r="Q17" s="85">
        <v>550</v>
      </c>
      <c r="R17" s="85">
        <v>9893</v>
      </c>
    </row>
    <row r="18" spans="2:21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5" customHeight="1" x14ac:dyDescent="0.2">
      <c r="C19" s="76" t="s">
        <v>23</v>
      </c>
      <c r="F19" s="84">
        <f t="shared" ref="F19:R19" si="1">SUM(F20:F24)</f>
        <v>10414</v>
      </c>
      <c r="G19" s="84">
        <f t="shared" si="1"/>
        <v>34087</v>
      </c>
      <c r="H19" s="84">
        <f t="shared" si="1"/>
        <v>6659</v>
      </c>
      <c r="I19" s="84">
        <f t="shared" si="1"/>
        <v>7425</v>
      </c>
      <c r="J19" s="84">
        <f t="shared" si="1"/>
        <v>8693</v>
      </c>
      <c r="K19" s="84">
        <f t="shared" si="1"/>
        <v>10450</v>
      </c>
      <c r="L19" s="84">
        <f t="shared" si="1"/>
        <v>23640</v>
      </c>
      <c r="M19" s="84">
        <f t="shared" si="1"/>
        <v>15835</v>
      </c>
      <c r="N19" s="84">
        <f t="shared" si="1"/>
        <v>11951</v>
      </c>
      <c r="O19" s="84">
        <f t="shared" si="1"/>
        <v>10651</v>
      </c>
      <c r="P19" s="84">
        <f t="shared" si="1"/>
        <v>55276</v>
      </c>
      <c r="Q19" s="84">
        <f t="shared" si="1"/>
        <v>8392</v>
      </c>
      <c r="R19" s="84">
        <f t="shared" si="1"/>
        <v>203473</v>
      </c>
    </row>
    <row r="20" spans="2:21" ht="15" customHeight="1" x14ac:dyDescent="0.2">
      <c r="D20" s="76" t="s">
        <v>24</v>
      </c>
      <c r="F20" s="85">
        <v>6203</v>
      </c>
      <c r="G20" s="85">
        <v>4170</v>
      </c>
      <c r="H20" s="85">
        <v>3732</v>
      </c>
      <c r="I20" s="85">
        <v>4570</v>
      </c>
      <c r="J20" s="85">
        <v>6109</v>
      </c>
      <c r="K20" s="85">
        <v>8512</v>
      </c>
      <c r="L20" s="85">
        <v>5354</v>
      </c>
      <c r="M20" s="85">
        <v>8224</v>
      </c>
      <c r="N20" s="85">
        <v>8473</v>
      </c>
      <c r="O20" s="85">
        <v>3977</v>
      </c>
      <c r="P20" s="85">
        <v>4961</v>
      </c>
      <c r="Q20" s="85">
        <v>3647</v>
      </c>
      <c r="R20" s="85">
        <f>SUM(F20:Q20)</f>
        <v>67932</v>
      </c>
    </row>
    <row r="21" spans="2:21" ht="15" customHeight="1" x14ac:dyDescent="0.2">
      <c r="D21" s="76" t="s">
        <v>113</v>
      </c>
      <c r="F21" s="85">
        <v>1981</v>
      </c>
      <c r="G21" s="85">
        <v>1569</v>
      </c>
      <c r="H21" s="85">
        <v>1294</v>
      </c>
      <c r="I21" s="85">
        <v>1290</v>
      </c>
      <c r="J21" s="85">
        <v>1846</v>
      </c>
      <c r="K21" s="85">
        <v>1491</v>
      </c>
      <c r="L21" s="85">
        <v>1673</v>
      </c>
      <c r="M21" s="85">
        <v>3685</v>
      </c>
      <c r="N21" s="85">
        <v>1798</v>
      </c>
      <c r="O21" s="85">
        <v>2522</v>
      </c>
      <c r="P21" s="85">
        <v>1597</v>
      </c>
      <c r="Q21" s="85">
        <v>891</v>
      </c>
      <c r="R21" s="85">
        <f>SUM(F21:Q21)</f>
        <v>21637</v>
      </c>
      <c r="T21" s="85"/>
    </row>
    <row r="22" spans="2:21" ht="15" customHeight="1" x14ac:dyDescent="0.2">
      <c r="D22" s="76" t="s">
        <v>27</v>
      </c>
      <c r="F22" s="85">
        <v>1259.259</v>
      </c>
      <c r="G22" s="85">
        <v>1300.598</v>
      </c>
      <c r="H22" s="85">
        <v>585.43600000000004</v>
      </c>
      <c r="I22" s="85">
        <v>1104.33</v>
      </c>
      <c r="J22" s="85">
        <v>562.76199999999994</v>
      </c>
      <c r="K22" s="85">
        <v>571.39099999999996</v>
      </c>
      <c r="L22" s="85">
        <v>790.15499999999997</v>
      </c>
      <c r="M22" s="85">
        <v>666.87599999999998</v>
      </c>
      <c r="N22" s="85">
        <v>738.61300000000006</v>
      </c>
      <c r="O22" s="85">
        <v>759.625</v>
      </c>
      <c r="P22" s="85">
        <v>493.34699999999998</v>
      </c>
      <c r="Q22" s="85">
        <v>512.72699999999998</v>
      </c>
      <c r="R22" s="85">
        <f>SUM(F22:Q22)</f>
        <v>9345.1189999999988</v>
      </c>
    </row>
    <row r="23" spans="2:21" ht="15" customHeight="1" x14ac:dyDescent="0.2">
      <c r="D23" s="76" t="s">
        <v>26</v>
      </c>
      <c r="F23" s="85">
        <v>57</v>
      </c>
      <c r="G23" s="85">
        <v>25791</v>
      </c>
      <c r="H23" s="85">
        <v>55</v>
      </c>
      <c r="I23" s="85">
        <v>0</v>
      </c>
      <c r="J23" s="85">
        <v>83</v>
      </c>
      <c r="K23" s="85">
        <v>24</v>
      </c>
      <c r="L23" s="85">
        <v>15169</v>
      </c>
      <c r="M23" s="85">
        <v>998</v>
      </c>
      <c r="N23" s="85">
        <v>216</v>
      </c>
      <c r="O23" s="85">
        <v>1203</v>
      </c>
      <c r="P23" s="85">
        <v>47000</v>
      </c>
      <c r="Q23" s="85">
        <v>23</v>
      </c>
      <c r="R23" s="85">
        <f>SUM(F23:Q23)</f>
        <v>90619</v>
      </c>
    </row>
    <row r="24" spans="2:21" ht="15" customHeight="1" x14ac:dyDescent="0.2">
      <c r="D24" s="76" t="s">
        <v>106</v>
      </c>
      <c r="F24" s="85">
        <f>4154-F21-F22</f>
        <v>913.74099999999999</v>
      </c>
      <c r="G24" s="85">
        <f>4126-G21-G22</f>
        <v>1256.402</v>
      </c>
      <c r="H24" s="85">
        <f>2872-H21-H22</f>
        <v>992.56399999999996</v>
      </c>
      <c r="I24" s="85">
        <f>2855-I21-I22</f>
        <v>460.67000000000007</v>
      </c>
      <c r="J24" s="85">
        <f>2501-J21-J22</f>
        <v>92.238000000000056</v>
      </c>
      <c r="K24" s="109">
        <f>1914-K21-K22</f>
        <v>-148.39099999999996</v>
      </c>
      <c r="L24" s="85">
        <f>3117-L21-L22</f>
        <v>653.84500000000003</v>
      </c>
      <c r="M24" s="85">
        <f>6613-M21-M22</f>
        <v>2261.1239999999998</v>
      </c>
      <c r="N24" s="85">
        <f>3262-N21-N22</f>
        <v>725.38699999999994</v>
      </c>
      <c r="O24" s="85">
        <f>5471-O21-O22</f>
        <v>2189.375</v>
      </c>
      <c r="P24" s="85">
        <f>3315-P21-P22</f>
        <v>1224.653</v>
      </c>
      <c r="Q24" s="85">
        <f>4722-Q21-Q22</f>
        <v>3318.2730000000001</v>
      </c>
      <c r="R24" s="85">
        <f>SUM(F24:Q24)</f>
        <v>13939.880999999998</v>
      </c>
    </row>
    <row r="25" spans="2:21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5" customHeight="1" x14ac:dyDescent="0.2">
      <c r="C26" s="76" t="s">
        <v>29</v>
      </c>
      <c r="F26" s="85">
        <v>0</v>
      </c>
      <c r="G26" s="85">
        <v>58</v>
      </c>
      <c r="H26" s="85">
        <v>11</v>
      </c>
      <c r="I26" s="85">
        <v>4</v>
      </c>
      <c r="J26" s="85">
        <v>2</v>
      </c>
      <c r="K26" s="85">
        <v>39</v>
      </c>
      <c r="L26" s="85">
        <v>2</v>
      </c>
      <c r="M26" s="85">
        <v>9</v>
      </c>
      <c r="N26" s="85">
        <v>3</v>
      </c>
      <c r="O26" s="85">
        <v>0</v>
      </c>
      <c r="P26" s="85">
        <v>6</v>
      </c>
      <c r="Q26" s="85">
        <v>16</v>
      </c>
      <c r="R26" s="85">
        <v>150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5">
      <c r="B28" s="82" t="s">
        <v>30</v>
      </c>
      <c r="C28" s="82"/>
      <c r="D28" s="82"/>
      <c r="E28" s="82"/>
      <c r="F28" s="83">
        <f t="shared" ref="F28:Q28" si="2">SUM(F30:F36)</f>
        <v>102366</v>
      </c>
      <c r="G28" s="83">
        <f t="shared" si="2"/>
        <v>78506</v>
      </c>
      <c r="H28" s="83">
        <f t="shared" si="2"/>
        <v>108399</v>
      </c>
      <c r="I28" s="83">
        <f t="shared" si="2"/>
        <v>89203</v>
      </c>
      <c r="J28" s="83">
        <f t="shared" si="2"/>
        <v>95880</v>
      </c>
      <c r="K28" s="83">
        <f t="shared" si="2"/>
        <v>76906</v>
      </c>
      <c r="L28" s="83">
        <f t="shared" si="2"/>
        <v>102378</v>
      </c>
      <c r="M28" s="83">
        <f t="shared" si="2"/>
        <v>103218</v>
      </c>
      <c r="N28" s="83">
        <f t="shared" si="2"/>
        <v>95411</v>
      </c>
      <c r="O28" s="83">
        <f t="shared" si="2"/>
        <v>85177</v>
      </c>
      <c r="P28" s="83">
        <f t="shared" si="2"/>
        <v>94249</v>
      </c>
      <c r="Q28" s="83">
        <f t="shared" si="2"/>
        <v>117308</v>
      </c>
      <c r="R28" s="83">
        <f>SUM(F28:Q28)</f>
        <v>1149001</v>
      </c>
    </row>
    <row r="29" spans="2:21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5" customHeight="1" x14ac:dyDescent="0.2">
      <c r="D30" s="76" t="s">
        <v>31</v>
      </c>
      <c r="F30" s="85">
        <v>18478</v>
      </c>
      <c r="G30" s="85">
        <v>15767</v>
      </c>
      <c r="H30" s="85">
        <v>17364</v>
      </c>
      <c r="I30" s="85">
        <v>15986</v>
      </c>
      <c r="J30" s="85">
        <v>17199</v>
      </c>
      <c r="K30" s="85">
        <v>14988</v>
      </c>
      <c r="L30" s="85">
        <v>15395</v>
      </c>
      <c r="M30" s="85">
        <v>15786</v>
      </c>
      <c r="N30" s="85">
        <v>15259</v>
      </c>
      <c r="O30" s="85">
        <v>15259</v>
      </c>
      <c r="P30" s="85">
        <v>15390</v>
      </c>
      <c r="Q30" s="85">
        <v>16841</v>
      </c>
      <c r="R30" s="85">
        <f t="shared" ref="R30:R36" si="3">SUM(F30:Q30)</f>
        <v>193712</v>
      </c>
    </row>
    <row r="31" spans="2:21" ht="15" customHeight="1" x14ac:dyDescent="0.2">
      <c r="D31" s="76" t="s">
        <v>32</v>
      </c>
      <c r="F31" s="85">
        <v>32300</v>
      </c>
      <c r="G31" s="85">
        <v>26464</v>
      </c>
      <c r="H31" s="85">
        <v>30385</v>
      </c>
      <c r="I31" s="85">
        <v>19970</v>
      </c>
      <c r="J31" s="85">
        <v>14044</v>
      </c>
      <c r="K31" s="85">
        <v>6463</v>
      </c>
      <c r="L31" s="85">
        <v>29862</v>
      </c>
      <c r="M31" s="85">
        <v>33027</v>
      </c>
      <c r="N31" s="85">
        <v>30174</v>
      </c>
      <c r="O31" s="85">
        <v>18624</v>
      </c>
      <c r="P31" s="85">
        <v>13828</v>
      </c>
      <c r="Q31" s="85">
        <v>12659</v>
      </c>
      <c r="R31" s="85">
        <f t="shared" si="3"/>
        <v>267800</v>
      </c>
    </row>
    <row r="32" spans="2:21" ht="15" customHeight="1" x14ac:dyDescent="0.2">
      <c r="D32" s="76" t="s">
        <v>33</v>
      </c>
      <c r="F32" s="85">
        <v>0</v>
      </c>
      <c r="G32" s="85">
        <v>0</v>
      </c>
      <c r="H32" s="85">
        <v>1334</v>
      </c>
      <c r="I32" s="85">
        <v>2287</v>
      </c>
      <c r="J32" s="85">
        <v>2309</v>
      </c>
      <c r="K32" s="85">
        <v>2257</v>
      </c>
      <c r="L32" s="85">
        <v>7347</v>
      </c>
      <c r="M32" s="85">
        <v>4536</v>
      </c>
      <c r="N32" s="85">
        <v>3705</v>
      </c>
      <c r="O32" s="85">
        <v>1624</v>
      </c>
      <c r="P32" s="85">
        <v>2560</v>
      </c>
      <c r="Q32" s="85">
        <v>2160</v>
      </c>
      <c r="R32" s="85">
        <f t="shared" si="3"/>
        <v>30119</v>
      </c>
    </row>
    <row r="33" spans="2:18" ht="15" customHeight="1" x14ac:dyDescent="0.2">
      <c r="D33" s="76" t="s">
        <v>78</v>
      </c>
      <c r="F33" s="85">
        <v>1419</v>
      </c>
      <c r="G33" s="85">
        <v>1254</v>
      </c>
      <c r="H33" s="85">
        <v>3371</v>
      </c>
      <c r="I33" s="85">
        <v>2384</v>
      </c>
      <c r="J33" s="85">
        <v>86</v>
      </c>
      <c r="K33" s="85">
        <v>2070</v>
      </c>
      <c r="L33" s="85">
        <v>3453</v>
      </c>
      <c r="M33" s="85">
        <v>479</v>
      </c>
      <c r="N33" s="85">
        <v>1016</v>
      </c>
      <c r="O33" s="85">
        <v>97</v>
      </c>
      <c r="P33" s="85">
        <v>3292</v>
      </c>
      <c r="Q33" s="85">
        <v>8415</v>
      </c>
      <c r="R33" s="85">
        <f t="shared" si="3"/>
        <v>27336</v>
      </c>
    </row>
    <row r="34" spans="2:18" ht="15" customHeight="1" x14ac:dyDescent="0.2">
      <c r="D34" s="76" t="s">
        <v>35</v>
      </c>
      <c r="F34" s="85">
        <v>30</v>
      </c>
      <c r="G34" s="85">
        <v>30</v>
      </c>
      <c r="H34" s="85">
        <v>52</v>
      </c>
      <c r="I34" s="85">
        <v>0</v>
      </c>
      <c r="J34" s="85">
        <v>50</v>
      </c>
      <c r="K34" s="85">
        <v>80</v>
      </c>
      <c r="L34" s="85">
        <v>131</v>
      </c>
      <c r="M34" s="85">
        <v>0</v>
      </c>
      <c r="N34" s="85">
        <v>0</v>
      </c>
      <c r="O34" s="85">
        <v>74</v>
      </c>
      <c r="P34" s="85">
        <v>0</v>
      </c>
      <c r="Q34" s="85">
        <v>3282</v>
      </c>
      <c r="R34" s="85">
        <f t="shared" si="3"/>
        <v>3729</v>
      </c>
    </row>
    <row r="35" spans="2:18" ht="15" customHeight="1" x14ac:dyDescent="0.2">
      <c r="D35" s="76" t="s">
        <v>79</v>
      </c>
      <c r="F35" s="85">
        <v>530</v>
      </c>
      <c r="G35" s="85">
        <v>-42</v>
      </c>
      <c r="H35" s="85">
        <v>1303</v>
      </c>
      <c r="I35" s="85">
        <v>605</v>
      </c>
      <c r="J35" s="85">
        <v>432</v>
      </c>
      <c r="K35" s="85">
        <v>-302</v>
      </c>
      <c r="L35" s="85">
        <v>425</v>
      </c>
      <c r="M35" s="85">
        <v>268</v>
      </c>
      <c r="N35" s="85">
        <v>1226</v>
      </c>
      <c r="O35" s="85">
        <v>627</v>
      </c>
      <c r="P35" s="85">
        <v>922</v>
      </c>
      <c r="Q35" s="85">
        <v>3756</v>
      </c>
      <c r="R35" s="85">
        <f t="shared" si="3"/>
        <v>9750</v>
      </c>
    </row>
    <row r="36" spans="2:18" ht="15" customHeight="1" x14ac:dyDescent="0.2">
      <c r="D36" s="6" t="s">
        <v>80</v>
      </c>
      <c r="F36" s="85">
        <v>49609</v>
      </c>
      <c r="G36" s="85">
        <v>35033</v>
      </c>
      <c r="H36" s="85">
        <v>54590</v>
      </c>
      <c r="I36" s="85">
        <v>47971</v>
      </c>
      <c r="J36" s="85">
        <v>61760</v>
      </c>
      <c r="K36" s="85">
        <v>51350</v>
      </c>
      <c r="L36" s="85">
        <v>45765</v>
      </c>
      <c r="M36" s="85">
        <v>49122</v>
      </c>
      <c r="N36" s="85">
        <v>44031</v>
      </c>
      <c r="O36" s="85">
        <v>48872</v>
      </c>
      <c r="P36" s="85">
        <v>58257</v>
      </c>
      <c r="Q36" s="85">
        <v>70195</v>
      </c>
      <c r="R36" s="85">
        <f t="shared" si="3"/>
        <v>616555</v>
      </c>
    </row>
    <row r="37" spans="2:18" ht="15" customHeight="1" x14ac:dyDescent="0.2"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5"/>
    </row>
    <row r="38" spans="2:18" ht="15" customHeight="1" x14ac:dyDescent="0.25">
      <c r="B38" s="82" t="s">
        <v>38</v>
      </c>
      <c r="C38" s="82"/>
      <c r="D38" s="82"/>
      <c r="E38" s="82"/>
      <c r="F38" s="88">
        <f t="shared" ref="F38:Q38" si="4">+F8-F28</f>
        <v>-29715</v>
      </c>
      <c r="G38" s="88">
        <f t="shared" si="4"/>
        <v>11109</v>
      </c>
      <c r="H38" s="88">
        <f t="shared" si="4"/>
        <v>-33362</v>
      </c>
      <c r="I38" s="88">
        <f t="shared" si="4"/>
        <v>11952</v>
      </c>
      <c r="J38" s="88">
        <f t="shared" si="4"/>
        <v>-1747</v>
      </c>
      <c r="K38" s="88">
        <f t="shared" si="4"/>
        <v>782</v>
      </c>
      <c r="L38" s="88">
        <f t="shared" si="4"/>
        <v>1595</v>
      </c>
      <c r="M38" s="88">
        <f t="shared" si="4"/>
        <v>13897</v>
      </c>
      <c r="N38" s="88">
        <f t="shared" si="4"/>
        <v>-14521</v>
      </c>
      <c r="O38" s="88">
        <f t="shared" si="4"/>
        <v>-1478</v>
      </c>
      <c r="P38" s="88">
        <f t="shared" si="4"/>
        <v>54093</v>
      </c>
      <c r="Q38" s="88">
        <f t="shared" si="4"/>
        <v>-25046</v>
      </c>
      <c r="R38" s="88">
        <f>SUM(F38:Q38)</f>
        <v>-12441</v>
      </c>
    </row>
    <row r="39" spans="2:18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18" ht="15" customHeight="1" x14ac:dyDescent="0.25">
      <c r="B40" s="82" t="s">
        <v>39</v>
      </c>
      <c r="C40" s="82"/>
      <c r="D40" s="82"/>
      <c r="E40" s="82"/>
      <c r="F40" s="83">
        <v>43563</v>
      </c>
      <c r="G40" s="83">
        <v>40446</v>
      </c>
      <c r="H40" s="83">
        <v>41241</v>
      </c>
      <c r="I40" s="83">
        <v>20965</v>
      </c>
      <c r="J40" s="83">
        <v>-16159</v>
      </c>
      <c r="K40" s="83">
        <v>7999</v>
      </c>
      <c r="L40" s="83">
        <v>34568</v>
      </c>
      <c r="M40" s="83">
        <v>57342</v>
      </c>
      <c r="N40" s="83">
        <v>24222</v>
      </c>
      <c r="O40" s="83">
        <v>12654</v>
      </c>
      <c r="P40" s="83">
        <v>2767</v>
      </c>
      <c r="Q40" s="83">
        <v>23185</v>
      </c>
      <c r="R40" s="83">
        <v>292793</v>
      </c>
    </row>
    <row r="41" spans="2:18" ht="15" customHeight="1" x14ac:dyDescent="0.2">
      <c r="C41" s="76" t="s">
        <v>40</v>
      </c>
      <c r="F41" s="84">
        <v>45088</v>
      </c>
      <c r="G41" s="84">
        <v>18309</v>
      </c>
      <c r="H41" s="84">
        <v>11985</v>
      </c>
      <c r="I41" s="84">
        <v>-266</v>
      </c>
      <c r="J41" s="84">
        <v>-5</v>
      </c>
      <c r="K41" s="84">
        <v>-1609</v>
      </c>
      <c r="L41" s="84">
        <v>1398</v>
      </c>
      <c r="M41" s="84">
        <v>-3106</v>
      </c>
      <c r="N41" s="84">
        <v>-15850</v>
      </c>
      <c r="O41" s="84">
        <v>-193</v>
      </c>
      <c r="P41" s="84">
        <v>-1560</v>
      </c>
      <c r="Q41" s="84">
        <v>1971</v>
      </c>
      <c r="R41" s="84">
        <v>56162</v>
      </c>
    </row>
    <row r="42" spans="2:18" ht="15" customHeight="1" x14ac:dyDescent="0.2">
      <c r="D42" s="76" t="s">
        <v>41</v>
      </c>
      <c r="F42" s="85">
        <v>50301</v>
      </c>
      <c r="G42" s="85">
        <v>24668</v>
      </c>
      <c r="H42" s="85">
        <v>16358</v>
      </c>
      <c r="I42" s="85">
        <v>1989</v>
      </c>
      <c r="J42" s="85">
        <v>3743</v>
      </c>
      <c r="K42" s="85">
        <v>2792</v>
      </c>
      <c r="L42" s="85">
        <v>3855</v>
      </c>
      <c r="M42" s="85">
        <v>3169</v>
      </c>
      <c r="N42" s="85">
        <v>2461</v>
      </c>
      <c r="O42" s="85">
        <v>1498</v>
      </c>
      <c r="P42" s="85">
        <v>1158</v>
      </c>
      <c r="Q42" s="85">
        <v>6422</v>
      </c>
      <c r="R42" s="85">
        <v>118414</v>
      </c>
    </row>
    <row r="43" spans="2:18" ht="15" customHeight="1" x14ac:dyDescent="0.2">
      <c r="D43" s="76" t="s">
        <v>98</v>
      </c>
      <c r="F43" s="85">
        <v>5213</v>
      </c>
      <c r="G43" s="85">
        <v>6359</v>
      </c>
      <c r="H43" s="85">
        <v>4373</v>
      </c>
      <c r="I43" s="85">
        <v>2255</v>
      </c>
      <c r="J43" s="85">
        <v>3748</v>
      </c>
      <c r="K43" s="85">
        <v>4401</v>
      </c>
      <c r="L43" s="85">
        <v>2457</v>
      </c>
      <c r="M43" s="85">
        <v>6275</v>
      </c>
      <c r="N43" s="85">
        <v>18311</v>
      </c>
      <c r="O43" s="85">
        <v>1691</v>
      </c>
      <c r="P43" s="85">
        <v>2718</v>
      </c>
      <c r="Q43" s="85">
        <v>4451</v>
      </c>
      <c r="R43" s="85">
        <v>62252</v>
      </c>
    </row>
    <row r="44" spans="2:18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18" ht="15" customHeight="1" x14ac:dyDescent="0.2">
      <c r="C45" s="76" t="s">
        <v>43</v>
      </c>
      <c r="F45" s="84">
        <v>-1525</v>
      </c>
      <c r="G45" s="84">
        <v>22137</v>
      </c>
      <c r="H45" s="84">
        <v>29256</v>
      </c>
      <c r="I45" s="84">
        <v>21231</v>
      </c>
      <c r="J45" s="84">
        <v>-16154</v>
      </c>
      <c r="K45" s="84">
        <v>9608</v>
      </c>
      <c r="L45" s="84">
        <v>33170</v>
      </c>
      <c r="M45" s="84">
        <v>60448</v>
      </c>
      <c r="N45" s="84">
        <v>40072</v>
      </c>
      <c r="O45" s="84">
        <v>12847</v>
      </c>
      <c r="P45" s="84">
        <v>4327</v>
      </c>
      <c r="Q45" s="84">
        <v>21214</v>
      </c>
      <c r="R45" s="84">
        <v>236631</v>
      </c>
    </row>
    <row r="46" spans="2:18" ht="15" customHeight="1" x14ac:dyDescent="0.2">
      <c r="D46" s="76" t="s">
        <v>44</v>
      </c>
      <c r="F46" s="85">
        <v>-1512</v>
      </c>
      <c r="G46" s="85">
        <v>22137</v>
      </c>
      <c r="H46" s="85">
        <v>29256</v>
      </c>
      <c r="I46" s="85">
        <v>109762</v>
      </c>
      <c r="J46" s="85">
        <v>-16154</v>
      </c>
      <c r="K46" s="85">
        <v>9608</v>
      </c>
      <c r="L46" s="85">
        <v>33170</v>
      </c>
      <c r="M46" s="85">
        <v>60448</v>
      </c>
      <c r="N46" s="85">
        <v>40072</v>
      </c>
      <c r="O46" s="85">
        <v>12847</v>
      </c>
      <c r="P46" s="85">
        <v>4327</v>
      </c>
      <c r="Q46" s="85">
        <v>23002</v>
      </c>
      <c r="R46" s="85">
        <v>326963</v>
      </c>
    </row>
    <row r="47" spans="2:18" ht="15" customHeight="1" x14ac:dyDescent="0.2">
      <c r="D47" s="76" t="s">
        <v>45</v>
      </c>
      <c r="F47" s="85">
        <v>13</v>
      </c>
      <c r="G47" s="85">
        <v>0</v>
      </c>
      <c r="H47" s="85">
        <v>0</v>
      </c>
      <c r="I47" s="85">
        <v>88531</v>
      </c>
      <c r="J47" s="85">
        <v>0</v>
      </c>
      <c r="K47" s="85">
        <v>0</v>
      </c>
      <c r="L47" s="85">
        <v>0</v>
      </c>
      <c r="M47" s="85">
        <v>0</v>
      </c>
      <c r="N47" s="85">
        <v>0</v>
      </c>
      <c r="O47" s="85">
        <v>0</v>
      </c>
      <c r="P47" s="85">
        <v>0</v>
      </c>
      <c r="Q47" s="85">
        <v>1788</v>
      </c>
      <c r="R47" s="85">
        <v>90332</v>
      </c>
    </row>
    <row r="48" spans="2:18" ht="15" customHeight="1" x14ac:dyDescent="0.2">
      <c r="E48" s="6" t="s">
        <v>68</v>
      </c>
      <c r="F48" s="85">
        <v>10694</v>
      </c>
      <c r="G48" s="85">
        <v>8356</v>
      </c>
      <c r="H48" s="85">
        <v>16414</v>
      </c>
      <c r="I48" s="85">
        <v>97134</v>
      </c>
      <c r="J48" s="85">
        <v>17134</v>
      </c>
      <c r="K48" s="85">
        <v>38916</v>
      </c>
      <c r="L48" s="85">
        <v>36691</v>
      </c>
      <c r="M48" s="85">
        <v>15581</v>
      </c>
      <c r="N48" s="85">
        <v>1334</v>
      </c>
      <c r="O48" s="85">
        <v>0</v>
      </c>
      <c r="P48" s="85">
        <v>32713</v>
      </c>
      <c r="Q48" s="85">
        <v>5121</v>
      </c>
      <c r="R48" s="85">
        <v>280088</v>
      </c>
    </row>
    <row r="49" spans="1:18" ht="15" customHeight="1" x14ac:dyDescent="0.2">
      <c r="E49" s="22" t="s">
        <v>81</v>
      </c>
      <c r="F49" s="85">
        <v>10681</v>
      </c>
      <c r="G49" s="85">
        <v>8356</v>
      </c>
      <c r="H49" s="85">
        <v>16414</v>
      </c>
      <c r="I49" s="85">
        <v>8603</v>
      </c>
      <c r="J49" s="85">
        <v>17134</v>
      </c>
      <c r="K49" s="85">
        <v>38916</v>
      </c>
      <c r="L49" s="85">
        <v>36691</v>
      </c>
      <c r="M49" s="85">
        <v>15581</v>
      </c>
      <c r="N49" s="85">
        <v>1334</v>
      </c>
      <c r="O49" s="85">
        <v>0</v>
      </c>
      <c r="P49" s="85">
        <v>32713</v>
      </c>
      <c r="Q49" s="85">
        <v>3333</v>
      </c>
      <c r="R49" s="85">
        <v>189756</v>
      </c>
    </row>
    <row r="50" spans="1:18" ht="15" customHeight="1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 ht="15" customHeight="1" x14ac:dyDescent="0.25">
      <c r="B51" s="82" t="s">
        <v>47</v>
      </c>
      <c r="C51" s="82"/>
      <c r="D51" s="82"/>
      <c r="E51" s="82"/>
      <c r="F51" s="83">
        <v>13278</v>
      </c>
      <c r="G51" s="83">
        <v>20723</v>
      </c>
      <c r="H51" s="83">
        <v>-17468</v>
      </c>
      <c r="I51" s="83">
        <v>7288</v>
      </c>
      <c r="J51" s="83">
        <v>-19366</v>
      </c>
      <c r="K51" s="83">
        <v>-15740</v>
      </c>
      <c r="L51" s="83">
        <v>-5878</v>
      </c>
      <c r="M51" s="83">
        <v>30633</v>
      </c>
      <c r="N51" s="83">
        <v>-14166</v>
      </c>
      <c r="O51" s="83">
        <v>5997</v>
      </c>
      <c r="P51" s="83">
        <v>50219</v>
      </c>
      <c r="Q51" s="83">
        <v>51431</v>
      </c>
      <c r="R51" s="83">
        <v>106951</v>
      </c>
    </row>
    <row r="52" spans="1:18" x14ac:dyDescent="0.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</row>
    <row r="53" spans="1:18" x14ac:dyDescent="0.2">
      <c r="B53" s="79" t="s">
        <v>48</v>
      </c>
      <c r="J53" s="84"/>
      <c r="K53" s="84"/>
      <c r="L53" s="84"/>
      <c r="M53" s="84"/>
      <c r="N53" s="84"/>
      <c r="O53" s="84"/>
      <c r="P53" s="84"/>
      <c r="Q53" s="84"/>
      <c r="R53" s="85"/>
    </row>
    <row r="54" spans="1:18" ht="14.25" customHeight="1" x14ac:dyDescent="0.2">
      <c r="B54" s="79"/>
      <c r="C54" s="189" t="s">
        <v>111</v>
      </c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85"/>
    </row>
    <row r="55" spans="1:18" ht="30.75" customHeight="1" x14ac:dyDescent="0.2">
      <c r="B55" s="7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</row>
    <row r="58" spans="1:18" x14ac:dyDescent="0.2">
      <c r="B58" s="86" t="s">
        <v>52</v>
      </c>
    </row>
    <row r="59" spans="1:18" x14ac:dyDescent="0.2">
      <c r="B59" s="86" t="s">
        <v>107</v>
      </c>
      <c r="F59" s="86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</row>
  </sheetData>
  <mergeCells count="2">
    <mergeCell ref="B6:E6"/>
    <mergeCell ref="C54:Q55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MJ60"/>
  <sheetViews>
    <sheetView zoomScaleNormal="100" workbookViewId="0">
      <selection activeCell="F8" sqref="F8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22.42578125" style="76" customWidth="1"/>
    <col min="6" max="6" width="9.140625" style="76"/>
    <col min="7" max="8" width="8.7109375" style="76" customWidth="1"/>
    <col min="9" max="9" width="8" style="76" customWidth="1"/>
    <col min="10" max="12" width="8.7109375" style="76" customWidth="1"/>
    <col min="13" max="13" width="8" style="76" customWidth="1"/>
    <col min="14" max="14" width="8.7109375" style="76" customWidth="1"/>
    <col min="15" max="15" width="8" style="76" customWidth="1"/>
    <col min="16" max="16" width="8.7109375" style="76" customWidth="1"/>
    <col min="17" max="17" width="9.140625" style="76"/>
    <col min="18" max="18" width="10.85546875" style="76" customWidth="1"/>
    <col min="19" max="19" width="0.7109375" style="76" customWidth="1"/>
    <col min="20" max="1024" width="9.140625" style="76"/>
  </cols>
  <sheetData>
    <row r="1" spans="1:20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20" ht="15" x14ac:dyDescent="0.25">
      <c r="A2" s="77" t="s">
        <v>130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20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20" x14ac:dyDescent="0.2">
      <c r="A4" s="93" t="s">
        <v>96</v>
      </c>
      <c r="B4" s="78"/>
    </row>
    <row r="5" spans="1:20" x14ac:dyDescent="0.2">
      <c r="B5" s="78"/>
    </row>
    <row r="6" spans="1:20" ht="6" customHeight="1" x14ac:dyDescent="0.2"/>
    <row r="7" spans="1:20" ht="22.5" customHeight="1" x14ac:dyDescent="0.2">
      <c r="A7" s="80"/>
      <c r="B7" s="184" t="s">
        <v>3</v>
      </c>
      <c r="C7" s="184"/>
      <c r="D7" s="184"/>
      <c r="E7" s="184"/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56</v>
      </c>
      <c r="Q7" s="2" t="s">
        <v>57</v>
      </c>
      <c r="R7" s="2" t="s">
        <v>14</v>
      </c>
      <c r="S7" s="111"/>
    </row>
    <row r="8" spans="1:20" ht="15" customHeight="1" x14ac:dyDescent="0.2">
      <c r="O8" s="85"/>
    </row>
    <row r="9" spans="1:20" ht="15" customHeight="1" x14ac:dyDescent="0.25">
      <c r="B9" s="82" t="s">
        <v>15</v>
      </c>
      <c r="C9" s="82"/>
      <c r="D9" s="82"/>
      <c r="E9" s="82"/>
      <c r="F9" s="83">
        <f t="shared" ref="F9:R9" si="0">F10+F20+F28</f>
        <v>72633</v>
      </c>
      <c r="G9" s="83">
        <f t="shared" si="0"/>
        <v>64290</v>
      </c>
      <c r="H9" s="83">
        <f t="shared" si="0"/>
        <v>68074</v>
      </c>
      <c r="I9" s="83">
        <f t="shared" si="0"/>
        <v>95026</v>
      </c>
      <c r="J9" s="83">
        <f t="shared" si="0"/>
        <v>89732</v>
      </c>
      <c r="K9" s="83">
        <f t="shared" si="0"/>
        <v>81298</v>
      </c>
      <c r="L9" s="83">
        <f t="shared" si="0"/>
        <v>73667</v>
      </c>
      <c r="M9" s="83">
        <f t="shared" si="0"/>
        <v>97521</v>
      </c>
      <c r="N9" s="83">
        <f t="shared" si="0"/>
        <v>73648</v>
      </c>
      <c r="O9" s="83">
        <f t="shared" si="0"/>
        <v>79856</v>
      </c>
      <c r="P9" s="83">
        <f t="shared" si="0"/>
        <v>86690</v>
      </c>
      <c r="Q9" s="83">
        <f t="shared" si="0"/>
        <v>97203</v>
      </c>
      <c r="R9" s="83">
        <f t="shared" si="0"/>
        <v>979638</v>
      </c>
    </row>
    <row r="10" spans="1:20" ht="15" customHeight="1" x14ac:dyDescent="0.2">
      <c r="C10" s="76" t="s">
        <v>16</v>
      </c>
      <c r="F10" s="84">
        <v>63148</v>
      </c>
      <c r="G10" s="84">
        <v>55002</v>
      </c>
      <c r="H10" s="84">
        <v>61279</v>
      </c>
      <c r="I10" s="84">
        <v>88372</v>
      </c>
      <c r="J10" s="84">
        <v>80082</v>
      </c>
      <c r="K10" s="84">
        <v>69784</v>
      </c>
      <c r="L10" s="84">
        <v>66136</v>
      </c>
      <c r="M10" s="84">
        <v>90104</v>
      </c>
      <c r="N10" s="84">
        <v>59966</v>
      </c>
      <c r="O10" s="84">
        <v>71985</v>
      </c>
      <c r="P10" s="84">
        <v>77899</v>
      </c>
      <c r="Q10" s="84">
        <v>76100</v>
      </c>
      <c r="R10" s="84">
        <v>859857</v>
      </c>
    </row>
    <row r="11" spans="1:20" ht="15" customHeight="1" x14ac:dyDescent="0.2">
      <c r="D11" s="76" t="s">
        <v>17</v>
      </c>
      <c r="F11" s="85">
        <v>49498</v>
      </c>
      <c r="G11" s="85">
        <v>41719</v>
      </c>
      <c r="H11" s="85">
        <v>43740</v>
      </c>
      <c r="I11" s="85">
        <v>71368</v>
      </c>
      <c r="J11" s="85">
        <v>61698</v>
      </c>
      <c r="K11" s="85">
        <v>50368</v>
      </c>
      <c r="L11" s="85">
        <v>48878</v>
      </c>
      <c r="M11" s="85">
        <v>70720</v>
      </c>
      <c r="N11" s="85">
        <v>42766</v>
      </c>
      <c r="O11" s="85">
        <v>52063</v>
      </c>
      <c r="P11" s="85">
        <v>61257</v>
      </c>
      <c r="Q11" s="85">
        <v>58659</v>
      </c>
      <c r="R11" s="85">
        <v>652734</v>
      </c>
    </row>
    <row r="12" spans="1:20" ht="15" customHeight="1" x14ac:dyDescent="0.2">
      <c r="E12" s="86" t="s">
        <v>18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</row>
    <row r="13" spans="1:20" ht="15" customHeight="1" x14ac:dyDescent="0.2">
      <c r="E13" s="76" t="s">
        <v>19</v>
      </c>
      <c r="F13" s="85">
        <v>0</v>
      </c>
      <c r="G13" s="85">
        <v>0</v>
      </c>
      <c r="H13" s="85">
        <v>980</v>
      </c>
      <c r="I13" s="85">
        <v>711</v>
      </c>
      <c r="J13" s="85">
        <v>281</v>
      </c>
      <c r="K13" s="85">
        <v>209</v>
      </c>
      <c r="L13" s="85">
        <v>420</v>
      </c>
      <c r="M13" s="85">
        <v>329</v>
      </c>
      <c r="N13" s="85">
        <v>497</v>
      </c>
      <c r="O13" s="85">
        <v>665</v>
      </c>
      <c r="P13" s="85">
        <v>421</v>
      </c>
      <c r="Q13" s="85">
        <v>574</v>
      </c>
      <c r="R13" s="85">
        <v>5087</v>
      </c>
    </row>
    <row r="14" spans="1:20" ht="15" customHeight="1" x14ac:dyDescent="0.2">
      <c r="E14" s="76" t="s">
        <v>20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4787</v>
      </c>
      <c r="L14" s="85">
        <v>0</v>
      </c>
      <c r="M14" s="85">
        <v>1034</v>
      </c>
      <c r="N14" s="85">
        <v>67</v>
      </c>
      <c r="O14" s="85">
        <v>35</v>
      </c>
      <c r="P14" s="85">
        <v>0</v>
      </c>
      <c r="Q14" s="85">
        <v>0</v>
      </c>
      <c r="R14" s="85">
        <v>5923</v>
      </c>
      <c r="T14" s="85"/>
    </row>
    <row r="15" spans="1:20" ht="15" customHeight="1" x14ac:dyDescent="0.2">
      <c r="D15" s="76" t="s">
        <v>21</v>
      </c>
      <c r="F15" s="85">
        <v>12981</v>
      </c>
      <c r="G15" s="85">
        <v>12588</v>
      </c>
      <c r="H15" s="85">
        <v>16731</v>
      </c>
      <c r="I15" s="85">
        <v>16324</v>
      </c>
      <c r="J15" s="85">
        <v>17608</v>
      </c>
      <c r="K15" s="85">
        <v>18500</v>
      </c>
      <c r="L15" s="85">
        <v>16353</v>
      </c>
      <c r="M15" s="85">
        <v>18232</v>
      </c>
      <c r="N15" s="85">
        <v>16501</v>
      </c>
      <c r="O15" s="85">
        <v>18877</v>
      </c>
      <c r="P15" s="85">
        <v>16342</v>
      </c>
      <c r="Q15" s="85">
        <v>17124</v>
      </c>
      <c r="R15" s="85">
        <v>198161</v>
      </c>
    </row>
    <row r="16" spans="1:20" ht="15" customHeight="1" x14ac:dyDescent="0.2">
      <c r="E16" s="86" t="s">
        <v>18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2:21" ht="15" customHeight="1" x14ac:dyDescent="0.2">
      <c r="E17" s="76" t="s">
        <v>20</v>
      </c>
      <c r="F17" s="85">
        <v>0</v>
      </c>
      <c r="G17" s="85">
        <v>0</v>
      </c>
      <c r="H17" s="85">
        <v>1191</v>
      </c>
      <c r="I17" s="85">
        <v>0</v>
      </c>
      <c r="J17" s="85">
        <v>34</v>
      </c>
      <c r="K17" s="85">
        <v>1019</v>
      </c>
      <c r="L17" s="85">
        <v>0</v>
      </c>
      <c r="M17" s="85">
        <v>0</v>
      </c>
      <c r="N17" s="85">
        <v>143</v>
      </c>
      <c r="O17" s="85">
        <v>2516</v>
      </c>
      <c r="P17" s="85">
        <v>2122</v>
      </c>
      <c r="Q17" s="85">
        <v>2629</v>
      </c>
      <c r="R17" s="85">
        <v>9654</v>
      </c>
    </row>
    <row r="18" spans="2:21" ht="15" customHeight="1" x14ac:dyDescent="0.2">
      <c r="D18" s="76" t="s">
        <v>106</v>
      </c>
      <c r="F18" s="85">
        <v>669</v>
      </c>
      <c r="G18" s="85">
        <v>695</v>
      </c>
      <c r="H18" s="85">
        <v>808</v>
      </c>
      <c r="I18" s="85">
        <v>680</v>
      </c>
      <c r="J18" s="85">
        <v>776</v>
      </c>
      <c r="K18" s="85">
        <v>916</v>
      </c>
      <c r="L18" s="85">
        <v>905</v>
      </c>
      <c r="M18" s="85">
        <v>1152</v>
      </c>
      <c r="N18" s="85">
        <v>699</v>
      </c>
      <c r="O18" s="85">
        <v>1045</v>
      </c>
      <c r="P18" s="85">
        <v>300</v>
      </c>
      <c r="Q18" s="85">
        <v>317</v>
      </c>
      <c r="R18" s="85">
        <v>8962</v>
      </c>
    </row>
    <row r="19" spans="2:21" ht="15" customHeight="1" x14ac:dyDescent="0.2"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U19" s="76" t="s">
        <v>58</v>
      </c>
    </row>
    <row r="20" spans="2:21" ht="15" customHeight="1" x14ac:dyDescent="0.2">
      <c r="C20" s="76" t="s">
        <v>23</v>
      </c>
      <c r="F20" s="84">
        <f t="shared" ref="F20:R20" si="1">SUM(F21:F26)</f>
        <v>9480</v>
      </c>
      <c r="G20" s="84">
        <f t="shared" si="1"/>
        <v>9281</v>
      </c>
      <c r="H20" s="84">
        <f t="shared" si="1"/>
        <v>6786</v>
      </c>
      <c r="I20" s="84">
        <f t="shared" si="1"/>
        <v>6652</v>
      </c>
      <c r="J20" s="84">
        <f t="shared" si="1"/>
        <v>9630</v>
      </c>
      <c r="K20" s="84">
        <f t="shared" si="1"/>
        <v>11511</v>
      </c>
      <c r="L20" s="84">
        <f t="shared" si="1"/>
        <v>7525</v>
      </c>
      <c r="M20" s="84">
        <f t="shared" si="1"/>
        <v>7393</v>
      </c>
      <c r="N20" s="84">
        <f t="shared" si="1"/>
        <v>13668</v>
      </c>
      <c r="O20" s="84">
        <f t="shared" si="1"/>
        <v>7868</v>
      </c>
      <c r="P20" s="84">
        <f t="shared" si="1"/>
        <v>8733</v>
      </c>
      <c r="Q20" s="84">
        <f t="shared" si="1"/>
        <v>21071</v>
      </c>
      <c r="R20" s="84">
        <f t="shared" si="1"/>
        <v>119598</v>
      </c>
    </row>
    <row r="21" spans="2:21" ht="15" customHeight="1" x14ac:dyDescent="0.2">
      <c r="D21" s="76" t="s">
        <v>24</v>
      </c>
      <c r="F21" s="85">
        <v>5889</v>
      </c>
      <c r="G21" s="85">
        <v>6668</v>
      </c>
      <c r="H21" s="85">
        <v>4787</v>
      </c>
      <c r="I21" s="85">
        <v>4835</v>
      </c>
      <c r="J21" s="85">
        <v>4448</v>
      </c>
      <c r="K21" s="85">
        <v>9871</v>
      </c>
      <c r="L21" s="85">
        <v>5006</v>
      </c>
      <c r="M21" s="85">
        <v>4955</v>
      </c>
      <c r="N21" s="85">
        <v>4293</v>
      </c>
      <c r="O21" s="85">
        <v>4013</v>
      </c>
      <c r="P21" s="85">
        <v>4309</v>
      </c>
      <c r="Q21" s="85">
        <v>15372</v>
      </c>
      <c r="R21" s="85">
        <f t="shared" ref="R21:R26" si="2">SUM(F21:Q21)</f>
        <v>74446</v>
      </c>
    </row>
    <row r="22" spans="2:21" ht="15" customHeight="1" x14ac:dyDescent="0.2">
      <c r="D22" s="76" t="s">
        <v>113</v>
      </c>
      <c r="F22" s="85">
        <v>1876</v>
      </c>
      <c r="G22" s="85">
        <v>1536</v>
      </c>
      <c r="H22" s="85">
        <v>1667</v>
      </c>
      <c r="I22" s="85">
        <v>1046</v>
      </c>
      <c r="J22" s="85">
        <v>1355</v>
      </c>
      <c r="K22" s="85">
        <v>1229</v>
      </c>
      <c r="L22" s="85">
        <v>1054</v>
      </c>
      <c r="M22" s="85">
        <v>1364</v>
      </c>
      <c r="N22" s="85">
        <v>1177</v>
      </c>
      <c r="O22" s="85">
        <v>2318</v>
      </c>
      <c r="P22" s="85">
        <v>1221</v>
      </c>
      <c r="Q22" s="85">
        <v>918</v>
      </c>
      <c r="R22" s="85">
        <f t="shared" si="2"/>
        <v>16761</v>
      </c>
      <c r="T22" s="85"/>
    </row>
    <row r="23" spans="2:21" ht="15" customHeight="1" x14ac:dyDescent="0.2">
      <c r="D23" s="76" t="s">
        <v>27</v>
      </c>
      <c r="F23" s="85">
        <v>307.64299999999997</v>
      </c>
      <c r="G23" s="85">
        <v>186.13900000000001</v>
      </c>
      <c r="H23" s="85">
        <v>166.62200000000001</v>
      </c>
      <c r="I23" s="85">
        <v>110.03700000000001</v>
      </c>
      <c r="J23" s="85">
        <v>407.63900000000001</v>
      </c>
      <c r="K23" s="85">
        <v>513.90099999999995</v>
      </c>
      <c r="L23" s="85">
        <v>928.04700000000003</v>
      </c>
      <c r="M23" s="85">
        <v>16.920999999999999</v>
      </c>
      <c r="N23" s="85">
        <v>0</v>
      </c>
      <c r="O23" s="85">
        <v>153.29400000000001</v>
      </c>
      <c r="P23" s="85">
        <v>888.69399999999996</v>
      </c>
      <c r="Q23" s="85">
        <v>574.05600000000004</v>
      </c>
      <c r="R23" s="85">
        <f t="shared" si="2"/>
        <v>4252.9929999999995</v>
      </c>
    </row>
    <row r="24" spans="2:21" ht="15" customHeight="1" x14ac:dyDescent="0.2">
      <c r="D24" s="76" t="s">
        <v>26</v>
      </c>
      <c r="F24" s="85">
        <v>0</v>
      </c>
      <c r="G24" s="85">
        <v>0</v>
      </c>
      <c r="H24" s="85">
        <v>258</v>
      </c>
      <c r="I24" s="85">
        <v>0</v>
      </c>
      <c r="J24" s="85">
        <v>25</v>
      </c>
      <c r="K24" s="85">
        <v>139</v>
      </c>
      <c r="L24" s="85">
        <v>3</v>
      </c>
      <c r="M24" s="85">
        <v>442</v>
      </c>
      <c r="N24" s="85">
        <v>223</v>
      </c>
      <c r="O24" s="85">
        <v>105</v>
      </c>
      <c r="P24" s="85">
        <v>23</v>
      </c>
      <c r="Q24" s="85">
        <v>4597</v>
      </c>
      <c r="R24" s="85">
        <f t="shared" si="2"/>
        <v>5815</v>
      </c>
    </row>
    <row r="25" spans="2:21" ht="15" customHeight="1" x14ac:dyDescent="0.2">
      <c r="D25" s="76" t="s">
        <v>109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7560</v>
      </c>
      <c r="O25" s="85">
        <v>0</v>
      </c>
      <c r="P25" s="85">
        <v>798</v>
      </c>
      <c r="Q25" s="85">
        <v>0</v>
      </c>
      <c r="R25" s="85">
        <f t="shared" si="2"/>
        <v>8358</v>
      </c>
    </row>
    <row r="26" spans="2:21" ht="15" customHeight="1" x14ac:dyDescent="0.2">
      <c r="D26" s="76" t="s">
        <v>106</v>
      </c>
      <c r="F26" s="85">
        <f>3591-F22-F23-F25</f>
        <v>1407.357</v>
      </c>
      <c r="G26" s="85">
        <f>2613-G22-G23-G25</f>
        <v>890.86099999999999</v>
      </c>
      <c r="H26" s="85">
        <f>1741-H22-H23-H25</f>
        <v>-92.622000000000014</v>
      </c>
      <c r="I26" s="85">
        <f>1817-I22-I23-I25</f>
        <v>660.96299999999997</v>
      </c>
      <c r="J26" s="85">
        <f>5157-J22-J23-J25</f>
        <v>3394.3609999999999</v>
      </c>
      <c r="K26" s="85">
        <f>1501-K22-K23-K25</f>
        <v>-241.90099999999995</v>
      </c>
      <c r="L26" s="85">
        <f>2516-L22-L23-L25</f>
        <v>533.95299999999997</v>
      </c>
      <c r="M26" s="85">
        <f>1996-M22-M23-M25</f>
        <v>615.07899999999995</v>
      </c>
      <c r="N26" s="85">
        <f>9152-N22-N23-N25</f>
        <v>415</v>
      </c>
      <c r="O26" s="85">
        <f>3750-O22-O23-O25</f>
        <v>1278.7059999999999</v>
      </c>
      <c r="P26" s="85">
        <f>4401-P22-P23-P25</f>
        <v>1493.306</v>
      </c>
      <c r="Q26" s="85">
        <f>1102-Q22-Q23-Q25</f>
        <v>-390.05600000000004</v>
      </c>
      <c r="R26" s="85">
        <f t="shared" si="2"/>
        <v>9965.0069999999996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">
      <c r="C28" s="76" t="s">
        <v>29</v>
      </c>
      <c r="F28" s="85">
        <v>5</v>
      </c>
      <c r="G28" s="85">
        <v>7</v>
      </c>
      <c r="H28" s="85">
        <v>9</v>
      </c>
      <c r="I28" s="85">
        <v>2</v>
      </c>
      <c r="J28" s="85">
        <v>20</v>
      </c>
      <c r="K28" s="85">
        <v>3</v>
      </c>
      <c r="L28" s="85">
        <v>6</v>
      </c>
      <c r="M28" s="85">
        <v>24</v>
      </c>
      <c r="N28" s="85">
        <v>14</v>
      </c>
      <c r="O28" s="85">
        <v>3</v>
      </c>
      <c r="P28" s="85">
        <v>58</v>
      </c>
      <c r="Q28" s="85">
        <v>32</v>
      </c>
      <c r="R28" s="85">
        <v>183</v>
      </c>
    </row>
    <row r="29" spans="2:21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>
        <v>0</v>
      </c>
    </row>
    <row r="30" spans="2:21" ht="15" customHeight="1" x14ac:dyDescent="0.25">
      <c r="B30" s="82" t="s">
        <v>30</v>
      </c>
      <c r="C30" s="82"/>
      <c r="D30" s="82"/>
      <c r="E30" s="82"/>
      <c r="F30" s="83">
        <f t="shared" ref="F30:Q30" si="3">SUM(F32:F38)</f>
        <v>88078</v>
      </c>
      <c r="G30" s="83">
        <f t="shared" si="3"/>
        <v>89248</v>
      </c>
      <c r="H30" s="83">
        <f t="shared" si="3"/>
        <v>95281</v>
      </c>
      <c r="I30" s="83">
        <f t="shared" si="3"/>
        <v>77384</v>
      </c>
      <c r="J30" s="83">
        <f t="shared" si="3"/>
        <v>83921</v>
      </c>
      <c r="K30" s="83">
        <f t="shared" si="3"/>
        <v>68645</v>
      </c>
      <c r="L30" s="83">
        <f t="shared" si="3"/>
        <v>90677</v>
      </c>
      <c r="M30" s="83">
        <f t="shared" si="3"/>
        <v>83187</v>
      </c>
      <c r="N30" s="83">
        <f t="shared" si="3"/>
        <v>89877</v>
      </c>
      <c r="O30" s="83">
        <f t="shared" si="3"/>
        <v>85698</v>
      </c>
      <c r="P30" s="83">
        <f t="shared" si="3"/>
        <v>88759</v>
      </c>
      <c r="Q30" s="83">
        <f t="shared" si="3"/>
        <v>103674</v>
      </c>
      <c r="R30" s="83">
        <f>SUM(F30:Q30)</f>
        <v>1044429</v>
      </c>
    </row>
    <row r="31" spans="2:21" ht="15" customHeight="1" x14ac:dyDescent="0.2"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  <row r="32" spans="2:21" ht="15" customHeight="1" x14ac:dyDescent="0.2">
      <c r="D32" s="76" t="s">
        <v>31</v>
      </c>
      <c r="F32" s="85">
        <v>13058</v>
      </c>
      <c r="G32" s="85">
        <v>13485</v>
      </c>
      <c r="H32" s="85">
        <v>13370</v>
      </c>
      <c r="I32" s="85">
        <v>13160</v>
      </c>
      <c r="J32" s="85">
        <v>12777</v>
      </c>
      <c r="K32" s="85">
        <v>12910</v>
      </c>
      <c r="L32" s="85">
        <v>12608</v>
      </c>
      <c r="M32" s="85">
        <v>12910</v>
      </c>
      <c r="N32" s="85">
        <v>12376</v>
      </c>
      <c r="O32" s="85">
        <v>13093</v>
      </c>
      <c r="P32" s="85">
        <v>20578</v>
      </c>
      <c r="Q32" s="85">
        <v>24388</v>
      </c>
      <c r="R32" s="85">
        <f t="shared" ref="R32:R38" si="4">SUM(F32:Q32)</f>
        <v>174713</v>
      </c>
    </row>
    <row r="33" spans="2:18" ht="15" customHeight="1" x14ac:dyDescent="0.2">
      <c r="D33" s="76" t="s">
        <v>32</v>
      </c>
      <c r="F33" s="85">
        <v>31894</v>
      </c>
      <c r="G33" s="85">
        <v>36805</v>
      </c>
      <c r="H33" s="85">
        <v>35123</v>
      </c>
      <c r="I33" s="85">
        <v>24680</v>
      </c>
      <c r="J33" s="85">
        <v>15743</v>
      </c>
      <c r="K33" s="85">
        <v>12317</v>
      </c>
      <c r="L33" s="85">
        <v>34176</v>
      </c>
      <c r="M33" s="85">
        <v>30670</v>
      </c>
      <c r="N33" s="85">
        <v>33042</v>
      </c>
      <c r="O33" s="85">
        <v>23329</v>
      </c>
      <c r="P33" s="85">
        <v>15104</v>
      </c>
      <c r="Q33" s="85">
        <v>17225</v>
      </c>
      <c r="R33" s="85">
        <f t="shared" si="4"/>
        <v>310108</v>
      </c>
    </row>
    <row r="34" spans="2:18" ht="15" customHeight="1" x14ac:dyDescent="0.2">
      <c r="D34" s="76" t="s">
        <v>33</v>
      </c>
      <c r="F34" s="85">
        <v>0</v>
      </c>
      <c r="G34" s="85">
        <v>0</v>
      </c>
      <c r="H34" s="85">
        <v>2171</v>
      </c>
      <c r="I34" s="85">
        <v>711</v>
      </c>
      <c r="J34" s="85">
        <v>315</v>
      </c>
      <c r="K34" s="85">
        <v>6015</v>
      </c>
      <c r="L34" s="85">
        <v>420</v>
      </c>
      <c r="M34" s="85">
        <v>1363</v>
      </c>
      <c r="N34" s="85">
        <v>707</v>
      </c>
      <c r="O34" s="85">
        <v>3216</v>
      </c>
      <c r="P34" s="85">
        <v>2543</v>
      </c>
      <c r="Q34" s="85">
        <v>3203</v>
      </c>
      <c r="R34" s="85">
        <f t="shared" si="4"/>
        <v>20664</v>
      </c>
    </row>
    <row r="35" spans="2:18" ht="15" customHeight="1" x14ac:dyDescent="0.2">
      <c r="D35" s="76" t="s">
        <v>78</v>
      </c>
      <c r="F35" s="85">
        <v>1690</v>
      </c>
      <c r="G35" s="85">
        <v>899</v>
      </c>
      <c r="H35" s="85">
        <v>1032</v>
      </c>
      <c r="I35" s="85">
        <v>1421</v>
      </c>
      <c r="J35" s="85">
        <v>1438</v>
      </c>
      <c r="K35" s="85">
        <v>341</v>
      </c>
      <c r="L35" s="85">
        <v>709</v>
      </c>
      <c r="M35" s="85">
        <v>741</v>
      </c>
      <c r="N35" s="85">
        <v>977</v>
      </c>
      <c r="O35" s="85">
        <v>507</v>
      </c>
      <c r="P35" s="85">
        <v>510</v>
      </c>
      <c r="Q35" s="85">
        <v>3545</v>
      </c>
      <c r="R35" s="85">
        <f t="shared" si="4"/>
        <v>13810</v>
      </c>
    </row>
    <row r="36" spans="2:18" ht="15" customHeight="1" x14ac:dyDescent="0.2">
      <c r="D36" s="76" t="s">
        <v>35</v>
      </c>
      <c r="F36" s="85">
        <v>0</v>
      </c>
      <c r="G36" s="85">
        <v>0</v>
      </c>
      <c r="H36" s="85">
        <v>50</v>
      </c>
      <c r="I36" s="85">
        <v>0</v>
      </c>
      <c r="J36" s="85">
        <v>870</v>
      </c>
      <c r="K36" s="85">
        <v>23</v>
      </c>
      <c r="L36" s="85">
        <v>30</v>
      </c>
      <c r="M36" s="85">
        <v>0</v>
      </c>
      <c r="N36" s="85">
        <v>80</v>
      </c>
      <c r="O36" s="85">
        <v>0</v>
      </c>
      <c r="P36" s="85">
        <v>0</v>
      </c>
      <c r="Q36" s="85">
        <v>2508</v>
      </c>
      <c r="R36" s="85">
        <f t="shared" si="4"/>
        <v>3561</v>
      </c>
    </row>
    <row r="37" spans="2:18" ht="15" customHeight="1" x14ac:dyDescent="0.2">
      <c r="D37" s="76" t="s">
        <v>79</v>
      </c>
      <c r="F37" s="85">
        <v>746</v>
      </c>
      <c r="G37" s="85">
        <v>730</v>
      </c>
      <c r="H37" s="85">
        <v>1305</v>
      </c>
      <c r="I37" s="85">
        <v>368</v>
      </c>
      <c r="J37" s="85">
        <v>2533</v>
      </c>
      <c r="K37" s="85">
        <v>1754</v>
      </c>
      <c r="L37" s="85">
        <v>2632</v>
      </c>
      <c r="M37" s="85">
        <v>1632</v>
      </c>
      <c r="N37" s="85">
        <v>1982</v>
      </c>
      <c r="O37" s="85">
        <v>1106</v>
      </c>
      <c r="P37" s="85">
        <v>-2658</v>
      </c>
      <c r="Q37" s="85">
        <v>-11999</v>
      </c>
      <c r="R37" s="85">
        <f t="shared" si="4"/>
        <v>131</v>
      </c>
    </row>
    <row r="38" spans="2:18" ht="15" customHeight="1" x14ac:dyDescent="0.2">
      <c r="D38" s="6" t="s">
        <v>80</v>
      </c>
      <c r="F38" s="85">
        <v>40690</v>
      </c>
      <c r="G38" s="85">
        <v>37329</v>
      </c>
      <c r="H38" s="85">
        <v>42230</v>
      </c>
      <c r="I38" s="85">
        <v>37044</v>
      </c>
      <c r="J38" s="85">
        <v>50245</v>
      </c>
      <c r="K38" s="85">
        <v>35285</v>
      </c>
      <c r="L38" s="85">
        <v>40102</v>
      </c>
      <c r="M38" s="85">
        <v>35871</v>
      </c>
      <c r="N38" s="85">
        <v>40713</v>
      </c>
      <c r="O38" s="85">
        <v>44447</v>
      </c>
      <c r="P38" s="85">
        <v>52682</v>
      </c>
      <c r="Q38" s="85">
        <v>64804</v>
      </c>
      <c r="R38" s="85">
        <f t="shared" si="4"/>
        <v>521442</v>
      </c>
    </row>
    <row r="39" spans="2:18" ht="15" customHeight="1" x14ac:dyDescent="0.2"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5"/>
    </row>
    <row r="40" spans="2:18" ht="15" customHeight="1" x14ac:dyDescent="0.25">
      <c r="B40" s="82" t="s">
        <v>38</v>
      </c>
      <c r="C40" s="82"/>
      <c r="D40" s="82"/>
      <c r="E40" s="82"/>
      <c r="F40" s="88">
        <f t="shared" ref="F40:Q40" si="5">+F9-F30</f>
        <v>-15445</v>
      </c>
      <c r="G40" s="88">
        <f t="shared" si="5"/>
        <v>-24958</v>
      </c>
      <c r="H40" s="88">
        <f t="shared" si="5"/>
        <v>-27207</v>
      </c>
      <c r="I40" s="88">
        <f t="shared" si="5"/>
        <v>17642</v>
      </c>
      <c r="J40" s="88">
        <f t="shared" si="5"/>
        <v>5811</v>
      </c>
      <c r="K40" s="88">
        <f t="shared" si="5"/>
        <v>12653</v>
      </c>
      <c r="L40" s="88">
        <f t="shared" si="5"/>
        <v>-17010</v>
      </c>
      <c r="M40" s="88">
        <f t="shared" si="5"/>
        <v>14334</v>
      </c>
      <c r="N40" s="88">
        <f t="shared" si="5"/>
        <v>-16229</v>
      </c>
      <c r="O40" s="88">
        <f t="shared" si="5"/>
        <v>-5842</v>
      </c>
      <c r="P40" s="88">
        <f t="shared" si="5"/>
        <v>-2069</v>
      </c>
      <c r="Q40" s="88">
        <f t="shared" si="5"/>
        <v>-6471</v>
      </c>
      <c r="R40" s="88">
        <f>SUM(F40:Q40)</f>
        <v>-64791</v>
      </c>
    </row>
    <row r="41" spans="2:18" ht="15" customHeight="1" x14ac:dyDescent="0.2"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</row>
    <row r="42" spans="2:18" ht="15" customHeight="1" x14ac:dyDescent="0.25">
      <c r="B42" s="82" t="s">
        <v>39</v>
      </c>
      <c r="C42" s="82"/>
      <c r="D42" s="82"/>
      <c r="E42" s="82"/>
      <c r="F42" s="83">
        <v>94244</v>
      </c>
      <c r="G42" s="83">
        <v>7642</v>
      </c>
      <c r="H42" s="83">
        <v>7844</v>
      </c>
      <c r="I42" s="83">
        <v>9267</v>
      </c>
      <c r="J42" s="83">
        <v>-24986</v>
      </c>
      <c r="K42" s="83">
        <v>-26615</v>
      </c>
      <c r="L42" s="83">
        <v>-6042</v>
      </c>
      <c r="M42" s="83">
        <v>48408</v>
      </c>
      <c r="N42" s="83">
        <v>-6970</v>
      </c>
      <c r="O42" s="83">
        <v>13663</v>
      </c>
      <c r="P42" s="83">
        <v>-15665</v>
      </c>
      <c r="Q42" s="83">
        <v>9331</v>
      </c>
      <c r="R42" s="83">
        <v>110121</v>
      </c>
    </row>
    <row r="43" spans="2:18" ht="15" customHeight="1" x14ac:dyDescent="0.2">
      <c r="C43" s="76" t="s">
        <v>40</v>
      </c>
      <c r="F43" s="84">
        <v>104988</v>
      </c>
      <c r="G43" s="84">
        <v>-6013</v>
      </c>
      <c r="H43" s="84">
        <v>-2081</v>
      </c>
      <c r="I43" s="84">
        <v>730</v>
      </c>
      <c r="J43" s="84">
        <v>-674</v>
      </c>
      <c r="K43" s="84">
        <v>-2930</v>
      </c>
      <c r="L43" s="84">
        <v>-2462</v>
      </c>
      <c r="M43" s="84">
        <v>34093</v>
      </c>
      <c r="N43" s="84">
        <v>-869</v>
      </c>
      <c r="O43" s="84">
        <v>1054</v>
      </c>
      <c r="P43" s="84">
        <v>-2169</v>
      </c>
      <c r="Q43" s="84">
        <v>-2913</v>
      </c>
      <c r="R43" s="84">
        <v>120754</v>
      </c>
    </row>
    <row r="44" spans="2:18" ht="15" customHeight="1" x14ac:dyDescent="0.2">
      <c r="D44" s="76" t="s">
        <v>41</v>
      </c>
      <c r="F44" s="85">
        <v>111684</v>
      </c>
      <c r="G44" s="85">
        <v>1225</v>
      </c>
      <c r="H44" s="85">
        <v>2113</v>
      </c>
      <c r="I44" s="85">
        <v>2452</v>
      </c>
      <c r="J44" s="85">
        <v>4989</v>
      </c>
      <c r="K44" s="85">
        <v>2654</v>
      </c>
      <c r="L44" s="85">
        <v>3418</v>
      </c>
      <c r="M44" s="85">
        <v>40663</v>
      </c>
      <c r="N44" s="85">
        <v>3141</v>
      </c>
      <c r="O44" s="85">
        <v>3369</v>
      </c>
      <c r="P44" s="85">
        <v>69110</v>
      </c>
      <c r="Q44" s="85">
        <v>39263</v>
      </c>
      <c r="R44" s="85">
        <v>284081</v>
      </c>
    </row>
    <row r="45" spans="2:18" ht="15" customHeight="1" x14ac:dyDescent="0.2">
      <c r="D45" s="76" t="s">
        <v>98</v>
      </c>
      <c r="F45" s="85">
        <v>6696</v>
      </c>
      <c r="G45" s="85">
        <v>7238</v>
      </c>
      <c r="H45" s="85">
        <v>4194</v>
      </c>
      <c r="I45" s="85">
        <v>1722</v>
      </c>
      <c r="J45" s="85">
        <v>5663</v>
      </c>
      <c r="K45" s="85">
        <v>5584</v>
      </c>
      <c r="L45" s="85">
        <v>5880</v>
      </c>
      <c r="M45" s="85">
        <v>6570</v>
      </c>
      <c r="N45" s="85">
        <v>4010</v>
      </c>
      <c r="O45" s="85">
        <v>2315</v>
      </c>
      <c r="P45" s="85">
        <v>71279</v>
      </c>
      <c r="Q45" s="85">
        <v>42176</v>
      </c>
      <c r="R45" s="85">
        <v>163327</v>
      </c>
    </row>
    <row r="46" spans="2:18" ht="15" customHeight="1" x14ac:dyDescent="0.2"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</row>
    <row r="47" spans="2:18" ht="15" customHeight="1" x14ac:dyDescent="0.2">
      <c r="C47" s="76" t="s">
        <v>43</v>
      </c>
      <c r="F47" s="84">
        <v>-10744</v>
      </c>
      <c r="G47" s="84">
        <v>13655</v>
      </c>
      <c r="H47" s="84">
        <v>9925</v>
      </c>
      <c r="I47" s="84">
        <v>8537</v>
      </c>
      <c r="J47" s="84">
        <v>-24312</v>
      </c>
      <c r="K47" s="84">
        <v>-23685</v>
      </c>
      <c r="L47" s="84">
        <v>-3580</v>
      </c>
      <c r="M47" s="84">
        <v>14315</v>
      </c>
      <c r="N47" s="84">
        <v>-6101</v>
      </c>
      <c r="O47" s="84">
        <v>12609</v>
      </c>
      <c r="P47" s="84">
        <v>-13496</v>
      </c>
      <c r="Q47" s="84">
        <v>12244</v>
      </c>
      <c r="R47" s="84">
        <v>-10633</v>
      </c>
    </row>
    <row r="48" spans="2:18" ht="15" customHeight="1" x14ac:dyDescent="0.2">
      <c r="D48" s="76" t="s">
        <v>44</v>
      </c>
      <c r="F48" s="85">
        <v>11613</v>
      </c>
      <c r="G48" s="85">
        <v>91659</v>
      </c>
      <c r="H48" s="85">
        <v>66978</v>
      </c>
      <c r="I48" s="85">
        <v>29006</v>
      </c>
      <c r="J48" s="85">
        <v>-11395</v>
      </c>
      <c r="K48" s="85">
        <v>-10442</v>
      </c>
      <c r="L48" s="85">
        <v>35540</v>
      </c>
      <c r="M48" s="85">
        <v>32649</v>
      </c>
      <c r="N48" s="85">
        <v>71387</v>
      </c>
      <c r="O48" s="85">
        <v>29969</v>
      </c>
      <c r="P48" s="85">
        <v>606</v>
      </c>
      <c r="Q48" s="85">
        <v>22736</v>
      </c>
      <c r="R48" s="85">
        <v>370306</v>
      </c>
    </row>
    <row r="49" spans="1:18" ht="15" customHeight="1" x14ac:dyDescent="0.2">
      <c r="D49" s="76" t="s">
        <v>98</v>
      </c>
      <c r="F49" s="85">
        <v>22357</v>
      </c>
      <c r="G49" s="85">
        <v>78004</v>
      </c>
      <c r="H49" s="85">
        <v>57053</v>
      </c>
      <c r="I49" s="85">
        <v>20469</v>
      </c>
      <c r="J49" s="85">
        <v>12917</v>
      </c>
      <c r="K49" s="85">
        <v>13243</v>
      </c>
      <c r="L49" s="85">
        <v>39120</v>
      </c>
      <c r="M49" s="85">
        <v>18334</v>
      </c>
      <c r="N49" s="85">
        <v>77488</v>
      </c>
      <c r="O49" s="85">
        <v>17360</v>
      </c>
      <c r="P49" s="85">
        <v>14102</v>
      </c>
      <c r="Q49" s="85">
        <v>10492</v>
      </c>
      <c r="R49" s="85">
        <v>380939</v>
      </c>
    </row>
    <row r="50" spans="1:18" ht="15" customHeight="1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 ht="15" customHeight="1" x14ac:dyDescent="0.25">
      <c r="B51" s="82" t="s">
        <v>47</v>
      </c>
      <c r="C51" s="82"/>
      <c r="D51" s="82"/>
      <c r="E51" s="82"/>
      <c r="F51" s="83">
        <v>80912</v>
      </c>
      <c r="G51" s="83">
        <v>-21627</v>
      </c>
      <c r="H51" s="83">
        <v>-6509</v>
      </c>
      <c r="I51" s="83">
        <v>5924</v>
      </c>
      <c r="J51" s="83">
        <v>-61110</v>
      </c>
      <c r="K51" s="83">
        <v>42385</v>
      </c>
      <c r="L51" s="83">
        <v>-26000</v>
      </c>
      <c r="M51" s="83">
        <v>42549</v>
      </c>
      <c r="N51" s="83">
        <v>-25396</v>
      </c>
      <c r="O51" s="83">
        <v>2263</v>
      </c>
      <c r="P51" s="83">
        <v>-29340</v>
      </c>
      <c r="Q51" s="83">
        <v>2012</v>
      </c>
      <c r="R51" s="83">
        <v>6063</v>
      </c>
    </row>
    <row r="52" spans="1:18" x14ac:dyDescent="0.2">
      <c r="F52" s="85"/>
      <c r="G52" s="85"/>
      <c r="H52" s="85"/>
      <c r="I52" s="85"/>
    </row>
    <row r="53" spans="1:18" x14ac:dyDescent="0.2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</row>
    <row r="54" spans="1:18" x14ac:dyDescent="0.2">
      <c r="B54" s="79" t="s">
        <v>48</v>
      </c>
    </row>
    <row r="55" spans="1:18" x14ac:dyDescent="0.2">
      <c r="B55" s="79"/>
      <c r="C55" s="86" t="s">
        <v>99</v>
      </c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5"/>
    </row>
    <row r="56" spans="1:18" x14ac:dyDescent="0.2">
      <c r="B56" s="86"/>
      <c r="C56" s="86" t="s">
        <v>100</v>
      </c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5"/>
    </row>
    <row r="58" spans="1:18" x14ac:dyDescent="0.2">
      <c r="R58" s="85"/>
    </row>
    <row r="59" spans="1:18" x14ac:dyDescent="0.2">
      <c r="B59" s="86" t="s">
        <v>52</v>
      </c>
    </row>
    <row r="60" spans="1:18" x14ac:dyDescent="0.2">
      <c r="B60" s="86" t="s">
        <v>107</v>
      </c>
    </row>
  </sheetData>
  <mergeCells count="1">
    <mergeCell ref="B7:E7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MJ63"/>
  <sheetViews>
    <sheetView zoomScaleNormal="100" workbookViewId="0">
      <selection activeCell="R30" sqref="R30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33.42578125" style="76" customWidth="1"/>
    <col min="6" max="6" width="9.140625" style="76"/>
    <col min="7" max="8" width="8.7109375" style="76" customWidth="1"/>
    <col min="9" max="9" width="8" style="76" customWidth="1"/>
    <col min="10" max="12" width="8.7109375" style="76" customWidth="1"/>
    <col min="13" max="13" width="8" style="76" customWidth="1"/>
    <col min="14" max="14" width="8.7109375" style="76" customWidth="1"/>
    <col min="15" max="15" width="8" style="76" customWidth="1"/>
    <col min="16" max="16" width="8.7109375" style="76" customWidth="1"/>
    <col min="17" max="17" width="9.140625" style="76"/>
    <col min="18" max="18" width="10.85546875" style="76" customWidth="1"/>
    <col min="19" max="19" width="0.7109375" style="76" customWidth="1"/>
    <col min="20" max="1024" width="9.140625" style="76"/>
  </cols>
  <sheetData>
    <row r="1" spans="1:20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20" ht="15" x14ac:dyDescent="0.25">
      <c r="A2" s="77" t="s">
        <v>130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20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20" x14ac:dyDescent="0.2">
      <c r="A4" s="93" t="s">
        <v>55</v>
      </c>
      <c r="B4" s="78"/>
    </row>
    <row r="5" spans="1:20" x14ac:dyDescent="0.2">
      <c r="B5" s="78"/>
    </row>
    <row r="6" spans="1:20" ht="6" customHeight="1" x14ac:dyDescent="0.2"/>
    <row r="7" spans="1:20" ht="21.75" customHeight="1" x14ac:dyDescent="0.2">
      <c r="A7" s="80"/>
      <c r="B7" s="184" t="s">
        <v>3</v>
      </c>
      <c r="C7" s="184"/>
      <c r="D7" s="184"/>
      <c r="E7" s="184"/>
      <c r="F7" s="2" t="s">
        <v>108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65</v>
      </c>
      <c r="O7" s="2" t="s">
        <v>13</v>
      </c>
      <c r="P7" s="2" t="s">
        <v>56</v>
      </c>
      <c r="Q7" s="2" t="s">
        <v>57</v>
      </c>
      <c r="R7" s="2" t="s">
        <v>14</v>
      </c>
      <c r="S7" s="111"/>
    </row>
    <row r="8" spans="1:20" ht="15" customHeight="1" x14ac:dyDescent="0.2">
      <c r="O8" s="85"/>
    </row>
    <row r="9" spans="1:20" ht="15" customHeight="1" x14ac:dyDescent="0.25">
      <c r="B9" s="82" t="s">
        <v>15</v>
      </c>
      <c r="C9" s="82"/>
      <c r="D9" s="82"/>
      <c r="E9" s="82"/>
      <c r="F9" s="83">
        <f t="shared" ref="F9:R9" si="0">F10+F20+F28</f>
        <v>72633</v>
      </c>
      <c r="G9" s="83">
        <f t="shared" si="0"/>
        <v>64290</v>
      </c>
      <c r="H9" s="83">
        <f t="shared" si="0"/>
        <v>68074</v>
      </c>
      <c r="I9" s="83">
        <f t="shared" si="0"/>
        <v>95026</v>
      </c>
      <c r="J9" s="83">
        <f t="shared" si="0"/>
        <v>89732</v>
      </c>
      <c r="K9" s="83">
        <f t="shared" si="0"/>
        <v>81298</v>
      </c>
      <c r="L9" s="83">
        <f t="shared" si="0"/>
        <v>73667</v>
      </c>
      <c r="M9" s="83">
        <f t="shared" si="0"/>
        <v>97521</v>
      </c>
      <c r="N9" s="83">
        <f t="shared" si="0"/>
        <v>73648</v>
      </c>
      <c r="O9" s="83">
        <f t="shared" si="0"/>
        <v>79856</v>
      </c>
      <c r="P9" s="83">
        <f t="shared" si="0"/>
        <v>86690</v>
      </c>
      <c r="Q9" s="83">
        <f t="shared" si="0"/>
        <v>97203</v>
      </c>
      <c r="R9" s="83">
        <f t="shared" si="0"/>
        <v>979638</v>
      </c>
    </row>
    <row r="10" spans="1:20" ht="15" customHeight="1" x14ac:dyDescent="0.2">
      <c r="C10" s="76" t="s">
        <v>16</v>
      </c>
      <c r="F10" s="84">
        <f t="shared" ref="F10:R10" si="1">F11+F15+F18</f>
        <v>63148</v>
      </c>
      <c r="G10" s="84">
        <f t="shared" si="1"/>
        <v>55002</v>
      </c>
      <c r="H10" s="84">
        <f t="shared" si="1"/>
        <v>61279</v>
      </c>
      <c r="I10" s="84">
        <f t="shared" si="1"/>
        <v>88372</v>
      </c>
      <c r="J10" s="84">
        <f t="shared" si="1"/>
        <v>80082</v>
      </c>
      <c r="K10" s="84">
        <f t="shared" si="1"/>
        <v>69784</v>
      </c>
      <c r="L10" s="84">
        <f t="shared" si="1"/>
        <v>66136</v>
      </c>
      <c r="M10" s="84">
        <f t="shared" si="1"/>
        <v>90104</v>
      </c>
      <c r="N10" s="84">
        <f t="shared" si="1"/>
        <v>59966</v>
      </c>
      <c r="O10" s="84">
        <f t="shared" si="1"/>
        <v>71985</v>
      </c>
      <c r="P10" s="84">
        <f t="shared" si="1"/>
        <v>77899</v>
      </c>
      <c r="Q10" s="84">
        <f t="shared" si="1"/>
        <v>76100</v>
      </c>
      <c r="R10" s="84">
        <f t="shared" si="1"/>
        <v>859857</v>
      </c>
    </row>
    <row r="11" spans="1:20" ht="15" customHeight="1" x14ac:dyDescent="0.2">
      <c r="D11" s="76" t="s">
        <v>17</v>
      </c>
      <c r="F11" s="85">
        <v>49498</v>
      </c>
      <c r="G11" s="85">
        <v>41719</v>
      </c>
      <c r="H11" s="85">
        <v>43740</v>
      </c>
      <c r="I11" s="85">
        <v>71368</v>
      </c>
      <c r="J11" s="85">
        <v>61698</v>
      </c>
      <c r="K11" s="85">
        <v>50368</v>
      </c>
      <c r="L11" s="85">
        <v>48878</v>
      </c>
      <c r="M11" s="85">
        <v>70720</v>
      </c>
      <c r="N11" s="85">
        <v>42766</v>
      </c>
      <c r="O11" s="85">
        <v>52063</v>
      </c>
      <c r="P11" s="85">
        <v>61257</v>
      </c>
      <c r="Q11" s="85">
        <v>58659</v>
      </c>
      <c r="R11" s="85">
        <f>SUM(F11:Q11)</f>
        <v>652734</v>
      </c>
    </row>
    <row r="12" spans="1:20" ht="15" customHeight="1" x14ac:dyDescent="0.2">
      <c r="E12" s="86" t="s">
        <v>18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</row>
    <row r="13" spans="1:20" ht="15" customHeight="1" x14ac:dyDescent="0.2">
      <c r="E13" s="76" t="s">
        <v>19</v>
      </c>
      <c r="F13" s="85">
        <v>0</v>
      </c>
      <c r="G13" s="85">
        <v>0</v>
      </c>
      <c r="H13" s="85">
        <v>980</v>
      </c>
      <c r="I13" s="85">
        <v>711</v>
      </c>
      <c r="J13" s="85">
        <v>281</v>
      </c>
      <c r="K13" s="85">
        <v>209</v>
      </c>
      <c r="L13" s="85">
        <v>420</v>
      </c>
      <c r="M13" s="85">
        <v>329</v>
      </c>
      <c r="N13" s="85">
        <v>497</v>
      </c>
      <c r="O13" s="85">
        <v>665</v>
      </c>
      <c r="P13" s="85">
        <v>421</v>
      </c>
      <c r="Q13" s="85">
        <v>574</v>
      </c>
      <c r="R13" s="85">
        <f>SUM(F13:Q13)</f>
        <v>5087</v>
      </c>
    </row>
    <row r="14" spans="1:20" ht="15" customHeight="1" x14ac:dyDescent="0.2">
      <c r="E14" s="76" t="s">
        <v>20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4787</v>
      </c>
      <c r="L14" s="85">
        <v>0</v>
      </c>
      <c r="M14" s="85">
        <v>1034</v>
      </c>
      <c r="N14" s="85">
        <v>67</v>
      </c>
      <c r="O14" s="85">
        <v>35</v>
      </c>
      <c r="P14" s="85">
        <v>0</v>
      </c>
      <c r="Q14" s="85">
        <v>0</v>
      </c>
      <c r="R14" s="85">
        <f>SUM(F14:Q14)</f>
        <v>5923</v>
      </c>
      <c r="T14" s="85"/>
    </row>
    <row r="15" spans="1:20" ht="15" customHeight="1" x14ac:dyDescent="0.2">
      <c r="D15" s="76" t="s">
        <v>21</v>
      </c>
      <c r="F15" s="85">
        <v>12981</v>
      </c>
      <c r="G15" s="85">
        <v>12588</v>
      </c>
      <c r="H15" s="85">
        <v>16731</v>
      </c>
      <c r="I15" s="85">
        <v>16324</v>
      </c>
      <c r="J15" s="85">
        <v>17608</v>
      </c>
      <c r="K15" s="85">
        <v>18500</v>
      </c>
      <c r="L15" s="85">
        <v>16353</v>
      </c>
      <c r="M15" s="85">
        <v>18232</v>
      </c>
      <c r="N15" s="85">
        <v>16501</v>
      </c>
      <c r="O15" s="85">
        <v>18877</v>
      </c>
      <c r="P15" s="85">
        <v>16342</v>
      </c>
      <c r="Q15" s="85">
        <v>17124</v>
      </c>
      <c r="R15" s="85">
        <f>SUM(F15:Q15)</f>
        <v>198161</v>
      </c>
    </row>
    <row r="16" spans="1:20" ht="15" customHeight="1" x14ac:dyDescent="0.2">
      <c r="E16" s="86" t="s">
        <v>18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2:21" ht="15" customHeight="1" x14ac:dyDescent="0.2">
      <c r="E17" s="76" t="s">
        <v>20</v>
      </c>
      <c r="F17" s="85">
        <v>0</v>
      </c>
      <c r="G17" s="85">
        <v>0</v>
      </c>
      <c r="H17" s="85">
        <v>1191</v>
      </c>
      <c r="I17" s="85">
        <v>0</v>
      </c>
      <c r="J17" s="85">
        <v>34</v>
      </c>
      <c r="K17" s="85">
        <v>1019</v>
      </c>
      <c r="L17" s="85">
        <v>0</v>
      </c>
      <c r="M17" s="85">
        <v>0</v>
      </c>
      <c r="N17" s="85">
        <v>143</v>
      </c>
      <c r="O17" s="85">
        <v>2516</v>
      </c>
      <c r="P17" s="85">
        <v>2122</v>
      </c>
      <c r="Q17" s="85">
        <v>2629</v>
      </c>
      <c r="R17" s="85">
        <f>SUM(F17:Q17)</f>
        <v>9654</v>
      </c>
    </row>
    <row r="18" spans="2:21" ht="15" customHeight="1" x14ac:dyDescent="0.2">
      <c r="D18" s="76" t="s">
        <v>106</v>
      </c>
      <c r="F18" s="85">
        <v>669</v>
      </c>
      <c r="G18" s="85">
        <v>695</v>
      </c>
      <c r="H18" s="85">
        <v>808</v>
      </c>
      <c r="I18" s="85">
        <v>680</v>
      </c>
      <c r="J18" s="85">
        <v>776</v>
      </c>
      <c r="K18" s="85">
        <v>916</v>
      </c>
      <c r="L18" s="85">
        <v>905</v>
      </c>
      <c r="M18" s="85">
        <v>1152</v>
      </c>
      <c r="N18" s="85">
        <v>699</v>
      </c>
      <c r="O18" s="85">
        <v>1045</v>
      </c>
      <c r="P18" s="85">
        <v>300</v>
      </c>
      <c r="Q18" s="85">
        <v>317</v>
      </c>
      <c r="R18" s="85">
        <f>SUM(F18:Q18)</f>
        <v>8962</v>
      </c>
    </row>
    <row r="19" spans="2:21" ht="15" customHeight="1" x14ac:dyDescent="0.2"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U19" s="76" t="s">
        <v>58</v>
      </c>
    </row>
    <row r="20" spans="2:21" ht="15" customHeight="1" x14ac:dyDescent="0.2">
      <c r="C20" s="76" t="s">
        <v>23</v>
      </c>
      <c r="F20" s="84">
        <f t="shared" ref="F20:R20" si="2">SUM(F21:F26)</f>
        <v>9480</v>
      </c>
      <c r="G20" s="84">
        <f t="shared" si="2"/>
        <v>9281</v>
      </c>
      <c r="H20" s="84">
        <f t="shared" si="2"/>
        <v>6786</v>
      </c>
      <c r="I20" s="84">
        <f t="shared" si="2"/>
        <v>6652</v>
      </c>
      <c r="J20" s="84">
        <f t="shared" si="2"/>
        <v>9630</v>
      </c>
      <c r="K20" s="84">
        <f t="shared" si="2"/>
        <v>11511</v>
      </c>
      <c r="L20" s="84">
        <f t="shared" si="2"/>
        <v>7525</v>
      </c>
      <c r="M20" s="84">
        <f t="shared" si="2"/>
        <v>7393</v>
      </c>
      <c r="N20" s="84">
        <f t="shared" si="2"/>
        <v>13668</v>
      </c>
      <c r="O20" s="84">
        <f t="shared" si="2"/>
        <v>7868</v>
      </c>
      <c r="P20" s="84">
        <f t="shared" si="2"/>
        <v>8733</v>
      </c>
      <c r="Q20" s="84">
        <f t="shared" si="2"/>
        <v>21071</v>
      </c>
      <c r="R20" s="84">
        <f t="shared" si="2"/>
        <v>119598</v>
      </c>
    </row>
    <row r="21" spans="2:21" ht="15" customHeight="1" x14ac:dyDescent="0.2">
      <c r="D21" s="76" t="s">
        <v>24</v>
      </c>
      <c r="F21" s="85">
        <v>5889</v>
      </c>
      <c r="G21" s="85">
        <v>6668</v>
      </c>
      <c r="H21" s="85">
        <v>4787</v>
      </c>
      <c r="I21" s="85">
        <v>4835</v>
      </c>
      <c r="J21" s="85">
        <v>4448</v>
      </c>
      <c r="K21" s="85">
        <v>9871</v>
      </c>
      <c r="L21" s="85">
        <v>5006</v>
      </c>
      <c r="M21" s="85">
        <v>4955</v>
      </c>
      <c r="N21" s="85">
        <v>4293</v>
      </c>
      <c r="O21" s="85">
        <v>4013</v>
      </c>
      <c r="P21" s="85">
        <v>4309</v>
      </c>
      <c r="Q21" s="85">
        <v>15372</v>
      </c>
      <c r="R21" s="85">
        <f t="shared" ref="R21:R26" si="3">SUM(F21:Q21)</f>
        <v>74446</v>
      </c>
    </row>
    <row r="22" spans="2:21" ht="15" customHeight="1" x14ac:dyDescent="0.2">
      <c r="D22" s="76" t="s">
        <v>113</v>
      </c>
      <c r="F22" s="85">
        <v>1876</v>
      </c>
      <c r="G22" s="85">
        <v>1536</v>
      </c>
      <c r="H22" s="85">
        <v>1667</v>
      </c>
      <c r="I22" s="85">
        <v>1046</v>
      </c>
      <c r="J22" s="85">
        <v>1355</v>
      </c>
      <c r="K22" s="85">
        <v>1229</v>
      </c>
      <c r="L22" s="85">
        <v>1054</v>
      </c>
      <c r="M22" s="85">
        <v>1364</v>
      </c>
      <c r="N22" s="85">
        <v>1177</v>
      </c>
      <c r="O22" s="85">
        <v>2318</v>
      </c>
      <c r="P22" s="85">
        <v>1221</v>
      </c>
      <c r="Q22" s="85">
        <v>918</v>
      </c>
      <c r="R22" s="85">
        <f t="shared" si="3"/>
        <v>16761</v>
      </c>
      <c r="T22" s="85"/>
    </row>
    <row r="23" spans="2:21" ht="15" customHeight="1" x14ac:dyDescent="0.2">
      <c r="D23" s="76" t="s">
        <v>27</v>
      </c>
      <c r="F23" s="85">
        <v>307.64299999999997</v>
      </c>
      <c r="G23" s="85">
        <v>186.13900000000001</v>
      </c>
      <c r="H23" s="85">
        <v>166.62200000000001</v>
      </c>
      <c r="I23" s="85">
        <v>110.03700000000001</v>
      </c>
      <c r="J23" s="85">
        <v>407.63900000000001</v>
      </c>
      <c r="K23" s="85">
        <v>513.90099999999995</v>
      </c>
      <c r="L23" s="85">
        <v>928.04700000000003</v>
      </c>
      <c r="M23" s="85">
        <v>16.920999999999999</v>
      </c>
      <c r="N23" s="85">
        <v>0</v>
      </c>
      <c r="O23" s="85">
        <v>153.29400000000001</v>
      </c>
      <c r="P23" s="85">
        <v>888.69399999999996</v>
      </c>
      <c r="Q23" s="85">
        <v>574.05600000000004</v>
      </c>
      <c r="R23" s="85">
        <f t="shared" si="3"/>
        <v>4252.9929999999995</v>
      </c>
    </row>
    <row r="24" spans="2:21" ht="15" customHeight="1" x14ac:dyDescent="0.2">
      <c r="D24" s="76" t="s">
        <v>26</v>
      </c>
      <c r="F24" s="85">
        <v>0</v>
      </c>
      <c r="G24" s="85">
        <v>0</v>
      </c>
      <c r="H24" s="85">
        <v>258</v>
      </c>
      <c r="I24" s="85">
        <v>0</v>
      </c>
      <c r="J24" s="85">
        <v>25</v>
      </c>
      <c r="K24" s="85">
        <v>139</v>
      </c>
      <c r="L24" s="85">
        <v>3</v>
      </c>
      <c r="M24" s="85">
        <v>442</v>
      </c>
      <c r="N24" s="85">
        <v>223</v>
      </c>
      <c r="O24" s="85">
        <v>105</v>
      </c>
      <c r="P24" s="85">
        <v>23</v>
      </c>
      <c r="Q24" s="85">
        <v>4597</v>
      </c>
      <c r="R24" s="85">
        <f t="shared" si="3"/>
        <v>5815</v>
      </c>
    </row>
    <row r="25" spans="2:21" ht="15" customHeight="1" x14ac:dyDescent="0.2">
      <c r="D25" s="76" t="s">
        <v>109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7560</v>
      </c>
      <c r="O25" s="85">
        <v>0</v>
      </c>
      <c r="P25" s="85">
        <v>798</v>
      </c>
      <c r="Q25" s="85">
        <v>0</v>
      </c>
      <c r="R25" s="85">
        <f t="shared" si="3"/>
        <v>8358</v>
      </c>
    </row>
    <row r="26" spans="2:21" ht="15" customHeight="1" x14ac:dyDescent="0.2">
      <c r="D26" s="76" t="s">
        <v>106</v>
      </c>
      <c r="F26" s="85">
        <f>3591-F22-F23-F25</f>
        <v>1407.357</v>
      </c>
      <c r="G26" s="85">
        <f>2613-G22-G23-G25</f>
        <v>890.86099999999999</v>
      </c>
      <c r="H26" s="85">
        <f>1741-H22-H23-H25</f>
        <v>-92.622000000000014</v>
      </c>
      <c r="I26" s="85">
        <f>1817-I22-I23-I25</f>
        <v>660.96299999999997</v>
      </c>
      <c r="J26" s="85">
        <f>5157-J22-J23-J25</f>
        <v>3394.3609999999999</v>
      </c>
      <c r="K26" s="85">
        <f>1501-K22-K23-K25</f>
        <v>-241.90099999999995</v>
      </c>
      <c r="L26" s="85">
        <f>2516-L22-L23-L25</f>
        <v>533.95299999999997</v>
      </c>
      <c r="M26" s="85">
        <f>1996-M22-M23-M25</f>
        <v>615.07899999999995</v>
      </c>
      <c r="N26" s="85">
        <f>9152-N22-N23-N25</f>
        <v>415</v>
      </c>
      <c r="O26" s="85">
        <f>3750-O22-O23-O25</f>
        <v>1278.7059999999999</v>
      </c>
      <c r="P26" s="85">
        <f>4401-P22-P23-P25</f>
        <v>1493.306</v>
      </c>
      <c r="Q26" s="85">
        <f>1102-Q22-Q23-Q25</f>
        <v>-390.05600000000004</v>
      </c>
      <c r="R26" s="85">
        <f t="shared" si="3"/>
        <v>9965.0069999999996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">
      <c r="C28" s="76" t="s">
        <v>29</v>
      </c>
      <c r="F28" s="85">
        <v>5</v>
      </c>
      <c r="G28" s="85">
        <v>7</v>
      </c>
      <c r="H28" s="85">
        <v>9</v>
      </c>
      <c r="I28" s="85">
        <v>2</v>
      </c>
      <c r="J28" s="85">
        <v>20</v>
      </c>
      <c r="K28" s="85">
        <v>3</v>
      </c>
      <c r="L28" s="85">
        <v>6</v>
      </c>
      <c r="M28" s="85">
        <v>24</v>
      </c>
      <c r="N28" s="85">
        <v>14</v>
      </c>
      <c r="O28" s="85">
        <v>3</v>
      </c>
      <c r="P28" s="85">
        <v>58</v>
      </c>
      <c r="Q28" s="85">
        <v>32</v>
      </c>
      <c r="R28" s="85">
        <v>183</v>
      </c>
    </row>
    <row r="29" spans="2:21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>
        <v>0</v>
      </c>
    </row>
    <row r="30" spans="2:21" ht="15" customHeight="1" x14ac:dyDescent="0.25">
      <c r="B30" s="82" t="s">
        <v>30</v>
      </c>
      <c r="C30" s="82"/>
      <c r="D30" s="82"/>
      <c r="E30" s="82"/>
      <c r="F30" s="83">
        <f t="shared" ref="F30:Q30" si="4">SUM(F32:F38)</f>
        <v>88078</v>
      </c>
      <c r="G30" s="83">
        <f t="shared" si="4"/>
        <v>89248</v>
      </c>
      <c r="H30" s="83">
        <f t="shared" si="4"/>
        <v>95281</v>
      </c>
      <c r="I30" s="83">
        <f t="shared" si="4"/>
        <v>77384</v>
      </c>
      <c r="J30" s="83">
        <f t="shared" si="4"/>
        <v>83921</v>
      </c>
      <c r="K30" s="83">
        <f t="shared" si="4"/>
        <v>68645</v>
      </c>
      <c r="L30" s="83">
        <f t="shared" si="4"/>
        <v>90677</v>
      </c>
      <c r="M30" s="83">
        <f t="shared" si="4"/>
        <v>83187</v>
      </c>
      <c r="N30" s="83">
        <f t="shared" si="4"/>
        <v>89877</v>
      </c>
      <c r="O30" s="83">
        <f t="shared" si="4"/>
        <v>85698</v>
      </c>
      <c r="P30" s="83">
        <f t="shared" si="4"/>
        <v>88759</v>
      </c>
      <c r="Q30" s="83">
        <f t="shared" si="4"/>
        <v>103674</v>
      </c>
      <c r="R30" s="83">
        <f>SUM(F30:Q30)</f>
        <v>1044429</v>
      </c>
    </row>
    <row r="31" spans="2:21" ht="15" customHeight="1" x14ac:dyDescent="0.2"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  <row r="32" spans="2:21" ht="15" customHeight="1" x14ac:dyDescent="0.2">
      <c r="D32" s="76" t="s">
        <v>31</v>
      </c>
      <c r="F32" s="85">
        <v>13058</v>
      </c>
      <c r="G32" s="85">
        <v>13485</v>
      </c>
      <c r="H32" s="85">
        <v>13370</v>
      </c>
      <c r="I32" s="85">
        <v>13160</v>
      </c>
      <c r="J32" s="85">
        <v>12777</v>
      </c>
      <c r="K32" s="85">
        <v>12910</v>
      </c>
      <c r="L32" s="85">
        <v>12608</v>
      </c>
      <c r="M32" s="85">
        <v>12910</v>
      </c>
      <c r="N32" s="85">
        <v>12376</v>
      </c>
      <c r="O32" s="85">
        <v>13093</v>
      </c>
      <c r="P32" s="85">
        <v>20578</v>
      </c>
      <c r="Q32" s="85">
        <v>24388</v>
      </c>
      <c r="R32" s="85">
        <f t="shared" ref="R32:R38" si="5">SUM(F32:Q32)</f>
        <v>174713</v>
      </c>
    </row>
    <row r="33" spans="2:18" ht="15" customHeight="1" x14ac:dyDescent="0.2">
      <c r="D33" s="76" t="s">
        <v>32</v>
      </c>
      <c r="F33" s="85">
        <v>31894</v>
      </c>
      <c r="G33" s="85">
        <v>36805</v>
      </c>
      <c r="H33" s="85">
        <v>35123</v>
      </c>
      <c r="I33" s="85">
        <v>24680</v>
      </c>
      <c r="J33" s="85">
        <v>15743</v>
      </c>
      <c r="K33" s="85">
        <v>12317</v>
      </c>
      <c r="L33" s="85">
        <v>34176</v>
      </c>
      <c r="M33" s="85">
        <v>30670</v>
      </c>
      <c r="N33" s="85">
        <v>33042</v>
      </c>
      <c r="O33" s="85">
        <v>23329</v>
      </c>
      <c r="P33" s="85">
        <v>15104</v>
      </c>
      <c r="Q33" s="85">
        <v>17225</v>
      </c>
      <c r="R33" s="85">
        <f t="shared" si="5"/>
        <v>310108</v>
      </c>
    </row>
    <row r="34" spans="2:18" ht="15" customHeight="1" x14ac:dyDescent="0.2">
      <c r="D34" s="76" t="s">
        <v>33</v>
      </c>
      <c r="F34" s="85">
        <v>0</v>
      </c>
      <c r="G34" s="85">
        <v>0</v>
      </c>
      <c r="H34" s="85">
        <v>2171</v>
      </c>
      <c r="I34" s="85">
        <v>711</v>
      </c>
      <c r="J34" s="85">
        <v>315</v>
      </c>
      <c r="K34" s="85">
        <v>6015</v>
      </c>
      <c r="L34" s="85">
        <v>420</v>
      </c>
      <c r="M34" s="85">
        <v>1363</v>
      </c>
      <c r="N34" s="85">
        <v>707</v>
      </c>
      <c r="O34" s="85">
        <v>3216</v>
      </c>
      <c r="P34" s="85">
        <v>2543</v>
      </c>
      <c r="Q34" s="85">
        <v>3203</v>
      </c>
      <c r="R34" s="85">
        <f t="shared" si="5"/>
        <v>20664</v>
      </c>
    </row>
    <row r="35" spans="2:18" ht="15" customHeight="1" x14ac:dyDescent="0.2">
      <c r="D35" s="76" t="s">
        <v>78</v>
      </c>
      <c r="F35" s="85">
        <v>1690</v>
      </c>
      <c r="G35" s="85">
        <v>899</v>
      </c>
      <c r="H35" s="85">
        <v>1032</v>
      </c>
      <c r="I35" s="85">
        <v>1421</v>
      </c>
      <c r="J35" s="85">
        <v>1438</v>
      </c>
      <c r="K35" s="85">
        <v>341</v>
      </c>
      <c r="L35" s="85">
        <v>709</v>
      </c>
      <c r="M35" s="85">
        <v>741</v>
      </c>
      <c r="N35" s="85">
        <v>977</v>
      </c>
      <c r="O35" s="85">
        <v>507</v>
      </c>
      <c r="P35" s="85">
        <v>510</v>
      </c>
      <c r="Q35" s="85">
        <v>3545</v>
      </c>
      <c r="R35" s="85">
        <f t="shared" si="5"/>
        <v>13810</v>
      </c>
    </row>
    <row r="36" spans="2:18" ht="15" customHeight="1" x14ac:dyDescent="0.2">
      <c r="D36" s="76" t="s">
        <v>35</v>
      </c>
      <c r="F36" s="85">
        <v>0</v>
      </c>
      <c r="G36" s="85">
        <v>0</v>
      </c>
      <c r="H36" s="85">
        <v>50</v>
      </c>
      <c r="I36" s="85">
        <v>0</v>
      </c>
      <c r="J36" s="85">
        <v>870</v>
      </c>
      <c r="K36" s="85">
        <v>23</v>
      </c>
      <c r="L36" s="85">
        <v>30</v>
      </c>
      <c r="M36" s="85">
        <v>0</v>
      </c>
      <c r="N36" s="85">
        <v>80</v>
      </c>
      <c r="O36" s="85">
        <v>0</v>
      </c>
      <c r="P36" s="85">
        <v>0</v>
      </c>
      <c r="Q36" s="85">
        <v>2508</v>
      </c>
      <c r="R36" s="85">
        <f t="shared" si="5"/>
        <v>3561</v>
      </c>
    </row>
    <row r="37" spans="2:18" ht="15" customHeight="1" x14ac:dyDescent="0.2">
      <c r="D37" s="76" t="s">
        <v>79</v>
      </c>
      <c r="F37" s="85">
        <v>746</v>
      </c>
      <c r="G37" s="85">
        <v>730</v>
      </c>
      <c r="H37" s="85">
        <v>1305</v>
      </c>
      <c r="I37" s="85">
        <v>368</v>
      </c>
      <c r="J37" s="85">
        <v>2533</v>
      </c>
      <c r="K37" s="85">
        <v>1754</v>
      </c>
      <c r="L37" s="85">
        <v>2632</v>
      </c>
      <c r="M37" s="85">
        <v>1632</v>
      </c>
      <c r="N37" s="85">
        <v>1982</v>
      </c>
      <c r="O37" s="85">
        <v>1106</v>
      </c>
      <c r="P37" s="85">
        <v>-2658</v>
      </c>
      <c r="Q37" s="85">
        <v>-11999</v>
      </c>
      <c r="R37" s="85">
        <f t="shared" si="5"/>
        <v>131</v>
      </c>
    </row>
    <row r="38" spans="2:18" ht="15" customHeight="1" x14ac:dyDescent="0.2">
      <c r="D38" s="6" t="s">
        <v>80</v>
      </c>
      <c r="F38" s="85">
        <v>40690</v>
      </c>
      <c r="G38" s="85">
        <v>37329</v>
      </c>
      <c r="H38" s="85">
        <v>42230</v>
      </c>
      <c r="I38" s="85">
        <v>37044</v>
      </c>
      <c r="J38" s="85">
        <v>50245</v>
      </c>
      <c r="K38" s="85">
        <v>35285</v>
      </c>
      <c r="L38" s="85">
        <v>40102</v>
      </c>
      <c r="M38" s="85">
        <v>35871</v>
      </c>
      <c r="N38" s="85">
        <v>40713</v>
      </c>
      <c r="O38" s="85">
        <v>44447</v>
      </c>
      <c r="P38" s="85">
        <v>52682</v>
      </c>
      <c r="Q38" s="85">
        <v>64804</v>
      </c>
      <c r="R38" s="85">
        <f t="shared" si="5"/>
        <v>521442</v>
      </c>
    </row>
    <row r="39" spans="2:18" ht="15" customHeight="1" x14ac:dyDescent="0.2"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5"/>
    </row>
    <row r="40" spans="2:18" ht="15" customHeight="1" x14ac:dyDescent="0.25">
      <c r="B40" s="82" t="s">
        <v>38</v>
      </c>
      <c r="C40" s="82"/>
      <c r="D40" s="82"/>
      <c r="E40" s="82"/>
      <c r="F40" s="88">
        <f t="shared" ref="F40:Q40" si="6">+F9-F30</f>
        <v>-15445</v>
      </c>
      <c r="G40" s="88">
        <f t="shared" si="6"/>
        <v>-24958</v>
      </c>
      <c r="H40" s="88">
        <f t="shared" si="6"/>
        <v>-27207</v>
      </c>
      <c r="I40" s="88">
        <f t="shared" si="6"/>
        <v>17642</v>
      </c>
      <c r="J40" s="88">
        <f t="shared" si="6"/>
        <v>5811</v>
      </c>
      <c r="K40" s="88">
        <f t="shared" si="6"/>
        <v>12653</v>
      </c>
      <c r="L40" s="88">
        <f t="shared" si="6"/>
        <v>-17010</v>
      </c>
      <c r="M40" s="88">
        <f t="shared" si="6"/>
        <v>14334</v>
      </c>
      <c r="N40" s="88">
        <f t="shared" si="6"/>
        <v>-16229</v>
      </c>
      <c r="O40" s="88">
        <f t="shared" si="6"/>
        <v>-5842</v>
      </c>
      <c r="P40" s="88">
        <f t="shared" si="6"/>
        <v>-2069</v>
      </c>
      <c r="Q40" s="88">
        <f t="shared" si="6"/>
        <v>-6471</v>
      </c>
      <c r="R40" s="88">
        <f>SUM(F40:Q40)</f>
        <v>-64791</v>
      </c>
    </row>
    <row r="41" spans="2:18" ht="15" customHeight="1" x14ac:dyDescent="0.2"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</row>
    <row r="42" spans="2:18" ht="15" customHeight="1" x14ac:dyDescent="0.25">
      <c r="B42" s="82" t="s">
        <v>39</v>
      </c>
      <c r="C42" s="82"/>
      <c r="D42" s="82"/>
      <c r="E42" s="82"/>
      <c r="F42" s="83">
        <v>116569</v>
      </c>
      <c r="G42" s="83">
        <v>19725</v>
      </c>
      <c r="H42" s="83">
        <v>20257</v>
      </c>
      <c r="I42" s="83">
        <v>29736</v>
      </c>
      <c r="J42" s="83">
        <v>-12069</v>
      </c>
      <c r="K42" s="83">
        <v>-13372</v>
      </c>
      <c r="L42" s="83">
        <v>33078</v>
      </c>
      <c r="M42" s="83">
        <v>66742</v>
      </c>
      <c r="N42" s="83">
        <v>15551</v>
      </c>
      <c r="O42" s="83">
        <v>31023</v>
      </c>
      <c r="P42" s="83">
        <v>-1563</v>
      </c>
      <c r="Q42" s="83">
        <v>19823</v>
      </c>
      <c r="R42" s="83">
        <v>325500</v>
      </c>
    </row>
    <row r="43" spans="2:18" ht="15" customHeight="1" x14ac:dyDescent="0.2">
      <c r="C43" s="76" t="s">
        <v>40</v>
      </c>
      <c r="F43" s="84">
        <v>104988</v>
      </c>
      <c r="G43" s="84">
        <v>-6013</v>
      </c>
      <c r="H43" s="84">
        <v>-2081</v>
      </c>
      <c r="I43" s="84">
        <v>730</v>
      </c>
      <c r="J43" s="84">
        <v>-674</v>
      </c>
      <c r="K43" s="84">
        <v>-2930</v>
      </c>
      <c r="L43" s="84">
        <v>-2462</v>
      </c>
      <c r="M43" s="84">
        <v>34093</v>
      </c>
      <c r="N43" s="84">
        <v>-869</v>
      </c>
      <c r="O43" s="84">
        <v>1054</v>
      </c>
      <c r="P43" s="84">
        <v>-2169</v>
      </c>
      <c r="Q43" s="84">
        <v>-2913</v>
      </c>
      <c r="R43" s="84">
        <v>120754</v>
      </c>
    </row>
    <row r="44" spans="2:18" ht="15" customHeight="1" x14ac:dyDescent="0.2">
      <c r="D44" s="76" t="s">
        <v>41</v>
      </c>
      <c r="F44" s="85">
        <v>111684</v>
      </c>
      <c r="G44" s="85">
        <v>1225</v>
      </c>
      <c r="H44" s="85">
        <v>2113</v>
      </c>
      <c r="I44" s="85">
        <v>2452</v>
      </c>
      <c r="J44" s="85">
        <v>4989</v>
      </c>
      <c r="K44" s="85">
        <v>2654</v>
      </c>
      <c r="L44" s="85">
        <v>3418</v>
      </c>
      <c r="M44" s="85">
        <v>40663</v>
      </c>
      <c r="N44" s="85">
        <v>3141</v>
      </c>
      <c r="O44" s="85">
        <v>3369</v>
      </c>
      <c r="P44" s="85">
        <v>69110</v>
      </c>
      <c r="Q44" s="85">
        <v>39263</v>
      </c>
      <c r="R44" s="85">
        <v>284081</v>
      </c>
    </row>
    <row r="45" spans="2:18" ht="15" customHeight="1" x14ac:dyDescent="0.2">
      <c r="D45" s="76" t="s">
        <v>98</v>
      </c>
      <c r="F45" s="85">
        <v>6696</v>
      </c>
      <c r="G45" s="85">
        <v>7238</v>
      </c>
      <c r="H45" s="85">
        <v>4194</v>
      </c>
      <c r="I45" s="85">
        <v>1722</v>
      </c>
      <c r="J45" s="85">
        <v>5663</v>
      </c>
      <c r="K45" s="85">
        <v>5584</v>
      </c>
      <c r="L45" s="85">
        <v>5880</v>
      </c>
      <c r="M45" s="85">
        <v>6570</v>
      </c>
      <c r="N45" s="85">
        <v>4010</v>
      </c>
      <c r="O45" s="85">
        <v>2315</v>
      </c>
      <c r="P45" s="85">
        <v>71279</v>
      </c>
      <c r="Q45" s="85">
        <v>42176</v>
      </c>
      <c r="R45" s="85">
        <v>163327</v>
      </c>
    </row>
    <row r="46" spans="2:18" ht="15" customHeight="1" x14ac:dyDescent="0.2"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</row>
    <row r="47" spans="2:18" ht="15" customHeight="1" x14ac:dyDescent="0.2">
      <c r="C47" s="76" t="s">
        <v>43</v>
      </c>
      <c r="F47" s="84">
        <v>11581</v>
      </c>
      <c r="G47" s="84">
        <v>25738</v>
      </c>
      <c r="H47" s="84">
        <v>22338</v>
      </c>
      <c r="I47" s="84">
        <v>29006</v>
      </c>
      <c r="J47" s="84">
        <v>-11395</v>
      </c>
      <c r="K47" s="84">
        <v>-10442</v>
      </c>
      <c r="L47" s="84">
        <v>35540</v>
      </c>
      <c r="M47" s="84">
        <v>32649</v>
      </c>
      <c r="N47" s="84">
        <v>16420</v>
      </c>
      <c r="O47" s="84">
        <v>29969</v>
      </c>
      <c r="P47" s="84">
        <v>606</v>
      </c>
      <c r="Q47" s="84">
        <v>22736</v>
      </c>
      <c r="R47" s="84">
        <v>204746</v>
      </c>
    </row>
    <row r="48" spans="2:18" ht="15" customHeight="1" x14ac:dyDescent="0.2">
      <c r="D48" s="76" t="s">
        <v>44</v>
      </c>
      <c r="F48" s="85">
        <v>11613</v>
      </c>
      <c r="G48" s="85">
        <v>91659</v>
      </c>
      <c r="H48" s="85">
        <v>66978</v>
      </c>
      <c r="I48" s="85">
        <v>29006</v>
      </c>
      <c r="J48" s="85">
        <v>-11395</v>
      </c>
      <c r="K48" s="85">
        <v>-10442</v>
      </c>
      <c r="L48" s="85">
        <v>35540</v>
      </c>
      <c r="M48" s="85">
        <v>32649</v>
      </c>
      <c r="N48" s="85">
        <v>71387</v>
      </c>
      <c r="O48" s="85">
        <v>29969</v>
      </c>
      <c r="P48" s="85">
        <v>606</v>
      </c>
      <c r="Q48" s="85">
        <v>22736</v>
      </c>
      <c r="R48" s="85">
        <v>370306</v>
      </c>
    </row>
    <row r="49" spans="1:18" ht="15" customHeight="1" x14ac:dyDescent="0.2">
      <c r="D49" s="76" t="s">
        <v>45</v>
      </c>
      <c r="F49" s="85">
        <v>32</v>
      </c>
      <c r="G49" s="85">
        <v>65921</v>
      </c>
      <c r="H49" s="85">
        <v>44640</v>
      </c>
      <c r="I49" s="85">
        <v>0</v>
      </c>
      <c r="J49" s="85">
        <v>0</v>
      </c>
      <c r="K49" s="85">
        <v>0</v>
      </c>
      <c r="L49" s="85">
        <v>0</v>
      </c>
      <c r="M49" s="85">
        <v>0</v>
      </c>
      <c r="N49" s="85">
        <v>54967</v>
      </c>
      <c r="O49" s="85">
        <v>0</v>
      </c>
      <c r="P49" s="85">
        <v>0</v>
      </c>
      <c r="Q49" s="85">
        <v>0</v>
      </c>
      <c r="R49" s="85">
        <v>165560</v>
      </c>
    </row>
    <row r="50" spans="1:18" ht="15" customHeight="1" x14ac:dyDescent="0.2">
      <c r="E50" s="6" t="s">
        <v>68</v>
      </c>
      <c r="F50" s="85">
        <v>19226</v>
      </c>
      <c r="G50" s="85">
        <v>80509</v>
      </c>
      <c r="H50" s="85">
        <v>44642</v>
      </c>
      <c r="I50" s="85">
        <v>17659</v>
      </c>
      <c r="J50" s="85">
        <v>10920</v>
      </c>
      <c r="K50" s="85">
        <v>2</v>
      </c>
      <c r="L50" s="85">
        <v>45644</v>
      </c>
      <c r="M50" s="85">
        <v>8058</v>
      </c>
      <c r="N50" s="85">
        <v>76527</v>
      </c>
      <c r="O50" s="85">
        <v>24320</v>
      </c>
      <c r="P50" s="85">
        <v>4304</v>
      </c>
      <c r="Q50" s="85">
        <v>34746</v>
      </c>
      <c r="R50" s="85">
        <v>366557</v>
      </c>
    </row>
    <row r="51" spans="1:18" ht="15" customHeight="1" x14ac:dyDescent="0.2">
      <c r="E51" s="22" t="s">
        <v>81</v>
      </c>
      <c r="F51" s="85">
        <v>19194</v>
      </c>
      <c r="G51" s="85">
        <v>14588</v>
      </c>
      <c r="H51" s="85">
        <v>2</v>
      </c>
      <c r="I51" s="85">
        <v>17659</v>
      </c>
      <c r="J51" s="85">
        <v>10920</v>
      </c>
      <c r="K51" s="85">
        <v>2</v>
      </c>
      <c r="L51" s="85">
        <v>45644</v>
      </c>
      <c r="M51" s="85">
        <v>8058</v>
      </c>
      <c r="N51" s="85">
        <v>21560</v>
      </c>
      <c r="O51" s="85">
        <v>24320</v>
      </c>
      <c r="P51" s="85">
        <v>4304</v>
      </c>
      <c r="Q51" s="85">
        <v>34746</v>
      </c>
      <c r="R51" s="85">
        <v>200997</v>
      </c>
    </row>
    <row r="52" spans="1:18" ht="15" customHeight="1" x14ac:dyDescent="0.2"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</row>
    <row r="53" spans="1:18" ht="15" customHeight="1" x14ac:dyDescent="0.2"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</row>
    <row r="54" spans="1:18" ht="15" customHeight="1" x14ac:dyDescent="0.25">
      <c r="B54" s="82" t="s">
        <v>47</v>
      </c>
      <c r="C54" s="82"/>
      <c r="D54" s="82"/>
      <c r="E54" s="82"/>
      <c r="F54" s="83">
        <v>80912</v>
      </c>
      <c r="G54" s="83">
        <v>-21627</v>
      </c>
      <c r="H54" s="83">
        <v>-6509</v>
      </c>
      <c r="I54" s="83">
        <v>5924</v>
      </c>
      <c r="J54" s="83">
        <v>-61110</v>
      </c>
      <c r="K54" s="83">
        <v>42385</v>
      </c>
      <c r="L54" s="83">
        <v>-26000</v>
      </c>
      <c r="M54" s="83">
        <v>42549</v>
      </c>
      <c r="N54" s="83">
        <v>-25396</v>
      </c>
      <c r="O54" s="83">
        <v>2263</v>
      </c>
      <c r="P54" s="83">
        <v>-29340</v>
      </c>
      <c r="Q54" s="83">
        <v>2012</v>
      </c>
      <c r="R54" s="83">
        <v>6063</v>
      </c>
    </row>
    <row r="55" spans="1:18" x14ac:dyDescent="0.2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</row>
    <row r="56" spans="1:18" x14ac:dyDescent="0.2">
      <c r="B56" s="9" t="s">
        <v>48</v>
      </c>
      <c r="C56" s="6"/>
      <c r="D56" s="6"/>
      <c r="E56" s="6"/>
      <c r="F56" s="6"/>
      <c r="G56" s="6"/>
      <c r="H56" s="6"/>
      <c r="I56" s="6"/>
      <c r="J56" s="6"/>
      <c r="K56" s="6"/>
    </row>
    <row r="57" spans="1:18" ht="12.75" customHeight="1" x14ac:dyDescent="0.2">
      <c r="B57" s="9"/>
      <c r="C57" s="189" t="s">
        <v>111</v>
      </c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85"/>
    </row>
    <row r="58" spans="1:18" ht="14.25" customHeight="1" x14ac:dyDescent="0.2">
      <c r="B58" s="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85"/>
    </row>
    <row r="59" spans="1:18" ht="17.25" customHeight="1" x14ac:dyDescent="0.2">
      <c r="B59" s="10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</row>
    <row r="60" spans="1:18" x14ac:dyDescent="0.2">
      <c r="B60" s="10"/>
      <c r="C60" s="6"/>
      <c r="D60" s="6"/>
      <c r="E60" s="6"/>
      <c r="F60" s="6"/>
      <c r="G60" s="6"/>
      <c r="H60" s="6"/>
      <c r="I60" s="6"/>
      <c r="J60" s="6"/>
      <c r="K60" s="6"/>
      <c r="R60" s="85"/>
    </row>
    <row r="62" spans="1:18" x14ac:dyDescent="0.2">
      <c r="B62" s="86" t="s">
        <v>52</v>
      </c>
    </row>
    <row r="63" spans="1:18" x14ac:dyDescent="0.2">
      <c r="B63" s="86" t="s">
        <v>107</v>
      </c>
    </row>
  </sheetData>
  <mergeCells count="2">
    <mergeCell ref="B7:E7"/>
    <mergeCell ref="C57:Q59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TREASUR&amp;"Arial,Regular"Y
&amp;"Arial,Italic"Statistical Data Analysis Division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MJ59"/>
  <sheetViews>
    <sheetView zoomScaleNormal="100" workbookViewId="0">
      <selection activeCell="M40" sqref="M40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22.42578125" style="76" customWidth="1"/>
    <col min="6" max="8" width="8.7109375" style="76" customWidth="1"/>
    <col min="9" max="10" width="8" style="76" customWidth="1"/>
    <col min="11" max="17" width="8.7109375" style="76" customWidth="1"/>
    <col min="18" max="18" width="9.85546875" style="76" customWidth="1"/>
    <col min="19" max="19" width="0.7109375" style="76" customWidth="1"/>
    <col min="20" max="1024" width="9.140625" style="76"/>
  </cols>
  <sheetData>
    <row r="1" spans="1:20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20" ht="15" x14ac:dyDescent="0.25">
      <c r="A2" s="77" t="s">
        <v>131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20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20" x14ac:dyDescent="0.2">
      <c r="A4" s="93" t="s">
        <v>96</v>
      </c>
      <c r="C4" s="78"/>
      <c r="D4" s="78"/>
      <c r="E4" s="78"/>
      <c r="F4" s="78"/>
      <c r="G4" s="78"/>
      <c r="H4" s="100"/>
      <c r="I4" s="78"/>
      <c r="J4" s="78"/>
      <c r="K4" s="78"/>
      <c r="L4" s="78"/>
      <c r="M4" s="78"/>
      <c r="N4" s="78"/>
      <c r="O4" s="78"/>
      <c r="P4" s="78"/>
      <c r="Q4" s="78"/>
      <c r="R4" s="78"/>
    </row>
    <row r="6" spans="1:20" ht="20.25" customHeight="1" x14ac:dyDescent="0.2">
      <c r="A6" s="80"/>
      <c r="B6" s="184" t="s">
        <v>3</v>
      </c>
      <c r="C6" s="184"/>
      <c r="D6" s="184"/>
      <c r="E6" s="184"/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56</v>
      </c>
      <c r="Q6" s="2" t="s">
        <v>57</v>
      </c>
      <c r="R6" s="2" t="s">
        <v>14</v>
      </c>
      <c r="S6" s="112"/>
    </row>
    <row r="7" spans="1:20" ht="15" customHeight="1" x14ac:dyDescent="0.2">
      <c r="O7" s="85"/>
    </row>
    <row r="8" spans="1:20" ht="15" customHeight="1" x14ac:dyDescent="0.25">
      <c r="B8" s="82" t="s">
        <v>15</v>
      </c>
      <c r="C8" s="82"/>
      <c r="D8" s="82"/>
      <c r="E8" s="82"/>
      <c r="F8" s="83">
        <f t="shared" ref="F8:R8" si="0">SUM(F9+F19+F26)</f>
        <v>64341</v>
      </c>
      <c r="G8" s="83">
        <f t="shared" si="0"/>
        <v>48709</v>
      </c>
      <c r="H8" s="83">
        <f t="shared" si="0"/>
        <v>58264</v>
      </c>
      <c r="I8" s="83">
        <f t="shared" si="0"/>
        <v>82784</v>
      </c>
      <c r="J8" s="83">
        <f t="shared" si="0"/>
        <v>68249</v>
      </c>
      <c r="K8" s="83">
        <f t="shared" si="0"/>
        <v>62036</v>
      </c>
      <c r="L8" s="83">
        <f t="shared" si="0"/>
        <v>65951</v>
      </c>
      <c r="M8" s="83">
        <f t="shared" si="0"/>
        <v>79818</v>
      </c>
      <c r="N8" s="83">
        <f t="shared" si="0"/>
        <v>59341</v>
      </c>
      <c r="O8" s="83">
        <f t="shared" si="0"/>
        <v>71670</v>
      </c>
      <c r="P8" s="83">
        <f t="shared" si="0"/>
        <v>72553</v>
      </c>
      <c r="Q8" s="83">
        <f t="shared" si="0"/>
        <v>61993</v>
      </c>
      <c r="R8" s="83">
        <f t="shared" si="0"/>
        <v>795709</v>
      </c>
    </row>
    <row r="9" spans="1:20" ht="15" customHeight="1" x14ac:dyDescent="0.2">
      <c r="C9" s="76" t="s">
        <v>16</v>
      </c>
      <c r="F9" s="84">
        <f t="shared" ref="F9:R9" si="1">SUM(F10+F14+F17)</f>
        <v>53262</v>
      </c>
      <c r="G9" s="84">
        <f t="shared" si="1"/>
        <v>41612</v>
      </c>
      <c r="H9" s="84">
        <f t="shared" si="1"/>
        <v>48102</v>
      </c>
      <c r="I9" s="84">
        <f t="shared" si="1"/>
        <v>76004</v>
      </c>
      <c r="J9" s="84">
        <f t="shared" si="1"/>
        <v>61768</v>
      </c>
      <c r="K9" s="84">
        <f t="shared" si="1"/>
        <v>52064</v>
      </c>
      <c r="L9" s="84">
        <f t="shared" si="1"/>
        <v>52233</v>
      </c>
      <c r="M9" s="84">
        <f t="shared" si="1"/>
        <v>66830</v>
      </c>
      <c r="N9" s="84">
        <f t="shared" si="1"/>
        <v>50914</v>
      </c>
      <c r="O9" s="84">
        <f t="shared" si="1"/>
        <v>61972</v>
      </c>
      <c r="P9" s="84">
        <f t="shared" si="1"/>
        <v>64882</v>
      </c>
      <c r="Q9" s="84">
        <f t="shared" si="1"/>
        <v>55522</v>
      </c>
      <c r="R9" s="84">
        <f t="shared" si="1"/>
        <v>685165</v>
      </c>
    </row>
    <row r="10" spans="1:20" ht="15" customHeight="1" x14ac:dyDescent="0.2">
      <c r="D10" s="76" t="s">
        <v>17</v>
      </c>
      <c r="F10" s="85">
        <v>42025</v>
      </c>
      <c r="G10" s="85">
        <v>31669</v>
      </c>
      <c r="H10" s="85">
        <v>35985</v>
      </c>
      <c r="I10" s="85">
        <v>62935</v>
      </c>
      <c r="J10" s="85">
        <v>48807</v>
      </c>
      <c r="K10" s="85">
        <v>38581</v>
      </c>
      <c r="L10" s="85">
        <v>40773</v>
      </c>
      <c r="M10" s="85">
        <v>53915</v>
      </c>
      <c r="N10" s="85">
        <v>38239</v>
      </c>
      <c r="O10" s="85">
        <v>47496</v>
      </c>
      <c r="P10" s="85">
        <v>50953</v>
      </c>
      <c r="Q10" s="85">
        <v>43705</v>
      </c>
      <c r="R10" s="85">
        <f>SUM(F10:Q10)</f>
        <v>535083</v>
      </c>
    </row>
    <row r="11" spans="1:20" ht="15" customHeight="1" x14ac:dyDescent="0.2">
      <c r="E11" s="86" t="s">
        <v>18</v>
      </c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</row>
    <row r="12" spans="1:20" ht="15" customHeight="1" x14ac:dyDescent="0.2">
      <c r="E12" s="76" t="s">
        <v>19</v>
      </c>
      <c r="F12" s="85">
        <v>0</v>
      </c>
      <c r="G12" s="85">
        <v>0</v>
      </c>
      <c r="H12" s="85">
        <v>343</v>
      </c>
      <c r="I12" s="85">
        <v>210</v>
      </c>
      <c r="J12" s="85">
        <v>151</v>
      </c>
      <c r="K12" s="85">
        <v>162</v>
      </c>
      <c r="L12" s="85">
        <v>224</v>
      </c>
      <c r="M12" s="85">
        <v>1932</v>
      </c>
      <c r="N12" s="85">
        <v>2486</v>
      </c>
      <c r="O12" s="85">
        <v>590</v>
      </c>
      <c r="P12" s="85">
        <v>434</v>
      </c>
      <c r="Q12" s="85">
        <v>599</v>
      </c>
      <c r="R12" s="85">
        <f>SUM(F12:Q12)</f>
        <v>7131</v>
      </c>
    </row>
    <row r="13" spans="1:20" ht="15" customHeight="1" x14ac:dyDescent="0.2">
      <c r="E13" s="76" t="s">
        <v>20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483</v>
      </c>
      <c r="R13" s="85">
        <f>SUM(F13:Q13)</f>
        <v>483</v>
      </c>
      <c r="T13" s="85"/>
    </row>
    <row r="14" spans="1:20" ht="15" customHeight="1" x14ac:dyDescent="0.2">
      <c r="D14" s="76" t="s">
        <v>21</v>
      </c>
      <c r="F14" s="85">
        <v>10567</v>
      </c>
      <c r="G14" s="85">
        <v>9216</v>
      </c>
      <c r="H14" s="85">
        <v>11383</v>
      </c>
      <c r="I14" s="85">
        <v>12428</v>
      </c>
      <c r="J14" s="85">
        <v>12237</v>
      </c>
      <c r="K14" s="85">
        <v>12603</v>
      </c>
      <c r="L14" s="85">
        <v>10677</v>
      </c>
      <c r="M14" s="85">
        <v>12098</v>
      </c>
      <c r="N14" s="85">
        <v>11910</v>
      </c>
      <c r="O14" s="85">
        <v>13627</v>
      </c>
      <c r="P14" s="85">
        <v>13642</v>
      </c>
      <c r="Q14" s="85">
        <v>11342</v>
      </c>
      <c r="R14" s="85">
        <f>SUM(F14:Q14)</f>
        <v>141730</v>
      </c>
    </row>
    <row r="15" spans="1:20" ht="15" customHeight="1" x14ac:dyDescent="0.2">
      <c r="E15" s="86" t="s">
        <v>18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20" ht="15" customHeight="1" x14ac:dyDescent="0.2">
      <c r="E16" s="76" t="s">
        <v>20</v>
      </c>
      <c r="F16" s="85">
        <v>0</v>
      </c>
      <c r="G16" s="85">
        <v>0</v>
      </c>
      <c r="H16" s="85">
        <v>0</v>
      </c>
      <c r="I16" s="85">
        <v>3711</v>
      </c>
      <c r="J16" s="85">
        <v>4</v>
      </c>
      <c r="K16" s="85">
        <v>46</v>
      </c>
      <c r="L16" s="85">
        <v>1</v>
      </c>
      <c r="M16" s="85">
        <v>5</v>
      </c>
      <c r="N16" s="85">
        <v>0</v>
      </c>
      <c r="O16" s="85">
        <v>35</v>
      </c>
      <c r="P16" s="85">
        <v>0</v>
      </c>
      <c r="Q16" s="85">
        <v>9034</v>
      </c>
      <c r="R16" s="85">
        <f>SUM(F16:Q16)</f>
        <v>12836</v>
      </c>
    </row>
    <row r="17" spans="2:21" ht="15" customHeight="1" x14ac:dyDescent="0.2">
      <c r="D17" s="76" t="s">
        <v>106</v>
      </c>
      <c r="F17" s="85">
        <v>670</v>
      </c>
      <c r="G17" s="85">
        <v>727</v>
      </c>
      <c r="H17" s="85">
        <v>734</v>
      </c>
      <c r="I17" s="85">
        <v>641</v>
      </c>
      <c r="J17" s="85">
        <v>724</v>
      </c>
      <c r="K17" s="85">
        <v>880</v>
      </c>
      <c r="L17" s="85">
        <v>783</v>
      </c>
      <c r="M17" s="85">
        <v>817</v>
      </c>
      <c r="N17" s="85">
        <v>765</v>
      </c>
      <c r="O17" s="85">
        <v>849</v>
      </c>
      <c r="P17" s="85">
        <v>287</v>
      </c>
      <c r="Q17" s="85">
        <v>475</v>
      </c>
      <c r="R17" s="85">
        <f>SUM(F17:Q17)</f>
        <v>8352</v>
      </c>
    </row>
    <row r="18" spans="2:21" ht="15" customHeight="1" x14ac:dyDescent="0.2"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U18" s="76" t="s">
        <v>58</v>
      </c>
    </row>
    <row r="19" spans="2:21" ht="15" customHeight="1" x14ac:dyDescent="0.2">
      <c r="C19" s="76" t="s">
        <v>23</v>
      </c>
      <c r="F19" s="84">
        <f t="shared" ref="F19:R19" si="2">SUM(F20:F24)</f>
        <v>11073</v>
      </c>
      <c r="G19" s="84">
        <f t="shared" si="2"/>
        <v>7097</v>
      </c>
      <c r="H19" s="84">
        <f t="shared" si="2"/>
        <v>10154</v>
      </c>
      <c r="I19" s="84">
        <f t="shared" si="2"/>
        <v>6769</v>
      </c>
      <c r="J19" s="84">
        <f t="shared" si="2"/>
        <v>6475</v>
      </c>
      <c r="K19" s="84">
        <f t="shared" si="2"/>
        <v>9967</v>
      </c>
      <c r="L19" s="84">
        <f t="shared" si="2"/>
        <v>13700</v>
      </c>
      <c r="M19" s="84">
        <f t="shared" si="2"/>
        <v>12983</v>
      </c>
      <c r="N19" s="84">
        <f t="shared" si="2"/>
        <v>8414</v>
      </c>
      <c r="O19" s="84">
        <f t="shared" si="2"/>
        <v>9692</v>
      </c>
      <c r="P19" s="84">
        <f t="shared" si="2"/>
        <v>7668</v>
      </c>
      <c r="Q19" s="84">
        <f t="shared" si="2"/>
        <v>6464</v>
      </c>
      <c r="R19" s="84">
        <f t="shared" si="2"/>
        <v>110456</v>
      </c>
    </row>
    <row r="20" spans="2:21" ht="15" customHeight="1" x14ac:dyDescent="0.2">
      <c r="D20" s="76" t="s">
        <v>24</v>
      </c>
      <c r="F20" s="85">
        <v>9003</v>
      </c>
      <c r="G20" s="85">
        <v>3742</v>
      </c>
      <c r="H20" s="85">
        <v>6715</v>
      </c>
      <c r="I20" s="85">
        <v>4742</v>
      </c>
      <c r="J20" s="85">
        <v>4296</v>
      </c>
      <c r="K20" s="85">
        <v>7438</v>
      </c>
      <c r="L20" s="85">
        <v>7779</v>
      </c>
      <c r="M20" s="85">
        <v>4397</v>
      </c>
      <c r="N20" s="85">
        <v>5855</v>
      </c>
      <c r="O20" s="85">
        <v>5973</v>
      </c>
      <c r="P20" s="85">
        <v>6081</v>
      </c>
      <c r="Q20" s="85">
        <v>4576</v>
      </c>
      <c r="R20" s="85">
        <f>SUM(F20:Q20)</f>
        <v>70597</v>
      </c>
    </row>
    <row r="21" spans="2:21" ht="15" customHeight="1" x14ac:dyDescent="0.2">
      <c r="D21" s="76" t="s">
        <v>113</v>
      </c>
      <c r="F21" s="85">
        <v>1645</v>
      </c>
      <c r="G21" s="85">
        <v>2346</v>
      </c>
      <c r="H21" s="85">
        <v>1512</v>
      </c>
      <c r="I21" s="85">
        <v>1583</v>
      </c>
      <c r="J21" s="85">
        <v>1458</v>
      </c>
      <c r="K21" s="85">
        <v>1634</v>
      </c>
      <c r="L21" s="85">
        <v>1409</v>
      </c>
      <c r="M21" s="85">
        <v>1270</v>
      </c>
      <c r="N21" s="85">
        <v>1643</v>
      </c>
      <c r="O21" s="85">
        <v>2287</v>
      </c>
      <c r="P21" s="85">
        <v>1289</v>
      </c>
      <c r="Q21" s="85">
        <v>1159</v>
      </c>
      <c r="R21" s="85">
        <f>SUM(F21:Q21)</f>
        <v>19235</v>
      </c>
      <c r="T21" s="85"/>
    </row>
    <row r="22" spans="2:21" ht="15" customHeight="1" x14ac:dyDescent="0.2">
      <c r="D22" s="76" t="s">
        <v>27</v>
      </c>
      <c r="F22" s="85">
        <v>172.2</v>
      </c>
      <c r="G22" s="85">
        <v>66.695999999999998</v>
      </c>
      <c r="H22" s="85">
        <v>156.452</v>
      </c>
      <c r="I22" s="85">
        <v>226.85499999999999</v>
      </c>
      <c r="J22" s="85">
        <v>265.39100000000002</v>
      </c>
      <c r="K22" s="85">
        <v>205.39599999999999</v>
      </c>
      <c r="L22" s="85">
        <v>296.71300000000002</v>
      </c>
      <c r="M22" s="85">
        <v>180.22200000000001</v>
      </c>
      <c r="N22" s="85">
        <v>179.571</v>
      </c>
      <c r="O22" s="85">
        <v>313.17500000000001</v>
      </c>
      <c r="P22" s="85">
        <v>242.23099999999999</v>
      </c>
      <c r="Q22" s="85">
        <v>136.46100000000001</v>
      </c>
      <c r="R22" s="85">
        <f>SUM(F22:Q22)</f>
        <v>2441.3630000000003</v>
      </c>
    </row>
    <row r="23" spans="2:21" ht="15" customHeight="1" x14ac:dyDescent="0.2">
      <c r="D23" s="76" t="s">
        <v>26</v>
      </c>
      <c r="F23" s="85">
        <v>1</v>
      </c>
      <c r="G23" s="85">
        <v>0</v>
      </c>
      <c r="H23" s="85">
        <v>45</v>
      </c>
      <c r="I23" s="85">
        <v>29</v>
      </c>
      <c r="J23" s="85">
        <v>0</v>
      </c>
      <c r="K23" s="85">
        <v>32</v>
      </c>
      <c r="L23" s="85">
        <v>88</v>
      </c>
      <c r="M23" s="85">
        <v>1998</v>
      </c>
      <c r="N23" s="85">
        <v>19</v>
      </c>
      <c r="O23" s="85">
        <v>7</v>
      </c>
      <c r="P23" s="85">
        <v>161</v>
      </c>
      <c r="Q23" s="85">
        <v>50</v>
      </c>
      <c r="R23" s="85">
        <f>SUM(F23:Q23)</f>
        <v>2430</v>
      </c>
    </row>
    <row r="24" spans="2:21" ht="15" customHeight="1" x14ac:dyDescent="0.2">
      <c r="D24" s="76" t="s">
        <v>106</v>
      </c>
      <c r="F24" s="85">
        <f>2069-F21-F22</f>
        <v>251.8</v>
      </c>
      <c r="G24" s="85">
        <f>3355-G22-G21</f>
        <v>942.30400000000009</v>
      </c>
      <c r="H24" s="85">
        <f>3394-H22-H21</f>
        <v>1725.5479999999998</v>
      </c>
      <c r="I24" s="85">
        <f>1998-I22-I21</f>
        <v>188.14499999999998</v>
      </c>
      <c r="J24" s="85">
        <f>2179-J22-J21</f>
        <v>455.60899999999992</v>
      </c>
      <c r="K24" s="85">
        <f>2497-K22-K21</f>
        <v>657.60399999999981</v>
      </c>
      <c r="L24" s="85">
        <f>5833-L22-L21</f>
        <v>4127.2870000000003</v>
      </c>
      <c r="M24" s="85">
        <f>6588-M22-M21</f>
        <v>5137.7780000000002</v>
      </c>
      <c r="N24" s="85">
        <f>2540-N22-N21</f>
        <v>717.42900000000009</v>
      </c>
      <c r="O24" s="85">
        <f>3712-O22-O21</f>
        <v>1111.8249999999998</v>
      </c>
      <c r="P24" s="85">
        <f>1426-P22-P21</f>
        <v>-105.23099999999999</v>
      </c>
      <c r="Q24" s="85">
        <f>1838-Q22-Q21</f>
        <v>542.53899999999999</v>
      </c>
      <c r="R24" s="85">
        <f>SUM(F24:Q24)</f>
        <v>15752.637000000002</v>
      </c>
    </row>
    <row r="25" spans="2:21" ht="15" customHeight="1" x14ac:dyDescent="0.2"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</row>
    <row r="26" spans="2:21" ht="15" customHeight="1" x14ac:dyDescent="0.2">
      <c r="C26" s="76" t="s">
        <v>29</v>
      </c>
      <c r="F26" s="85">
        <v>6</v>
      </c>
      <c r="G26" s="85">
        <v>0</v>
      </c>
      <c r="H26" s="85">
        <v>8</v>
      </c>
      <c r="I26" s="85">
        <v>11</v>
      </c>
      <c r="J26" s="85">
        <v>6</v>
      </c>
      <c r="K26" s="85">
        <v>5</v>
      </c>
      <c r="L26" s="85">
        <v>18</v>
      </c>
      <c r="M26" s="85">
        <v>5</v>
      </c>
      <c r="N26" s="85">
        <v>13</v>
      </c>
      <c r="O26" s="85">
        <v>6</v>
      </c>
      <c r="P26" s="85">
        <v>3</v>
      </c>
      <c r="Q26" s="85">
        <v>7</v>
      </c>
      <c r="R26" s="85">
        <v>88</v>
      </c>
    </row>
    <row r="27" spans="2:21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1" ht="15" customHeight="1" x14ac:dyDescent="0.25">
      <c r="B28" s="82" t="s">
        <v>30</v>
      </c>
      <c r="C28" s="82"/>
      <c r="D28" s="82"/>
      <c r="E28" s="82"/>
      <c r="F28" s="83">
        <f t="shared" ref="F28:R28" si="3">SUM(F30:F36)</f>
        <v>80843</v>
      </c>
      <c r="G28" s="83">
        <f t="shared" si="3"/>
        <v>72260</v>
      </c>
      <c r="H28" s="83">
        <f t="shared" si="3"/>
        <v>81677</v>
      </c>
      <c r="I28" s="83">
        <f t="shared" si="3"/>
        <v>79445</v>
      </c>
      <c r="J28" s="83">
        <f t="shared" si="3"/>
        <v>75879</v>
      </c>
      <c r="K28" s="83">
        <f t="shared" si="3"/>
        <v>61790</v>
      </c>
      <c r="L28" s="83">
        <f t="shared" si="3"/>
        <v>81012</v>
      </c>
      <c r="M28" s="83">
        <f t="shared" si="3"/>
        <v>78067</v>
      </c>
      <c r="N28" s="83">
        <f t="shared" si="3"/>
        <v>86998</v>
      </c>
      <c r="O28" s="83">
        <f t="shared" si="3"/>
        <v>78734</v>
      </c>
      <c r="P28" s="83">
        <f t="shared" si="3"/>
        <v>79842</v>
      </c>
      <c r="Q28" s="83">
        <f t="shared" si="3"/>
        <v>85940</v>
      </c>
      <c r="R28" s="83">
        <f t="shared" si="3"/>
        <v>942487</v>
      </c>
    </row>
    <row r="29" spans="2:21" ht="9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1" ht="15" customHeight="1" x14ac:dyDescent="0.2">
      <c r="D30" s="76" t="s">
        <v>31</v>
      </c>
      <c r="F30" s="85">
        <v>11724</v>
      </c>
      <c r="G30" s="85">
        <v>12221</v>
      </c>
      <c r="H30" s="85">
        <v>11984</v>
      </c>
      <c r="I30" s="85">
        <v>13907</v>
      </c>
      <c r="J30" s="85">
        <v>13900</v>
      </c>
      <c r="K30" s="85">
        <v>13982</v>
      </c>
      <c r="L30" s="85">
        <v>12934</v>
      </c>
      <c r="M30" s="85">
        <v>13169</v>
      </c>
      <c r="N30" s="85">
        <v>14986</v>
      </c>
      <c r="O30" s="85">
        <v>13051</v>
      </c>
      <c r="P30" s="85">
        <v>13943</v>
      </c>
      <c r="Q30" s="85">
        <v>14749</v>
      </c>
      <c r="R30" s="85">
        <f t="shared" ref="R30:R36" si="4">SUM(F30:Q30)</f>
        <v>160550</v>
      </c>
    </row>
    <row r="31" spans="2:21" ht="15" customHeight="1" x14ac:dyDescent="0.2">
      <c r="D31" s="76" t="s">
        <v>32</v>
      </c>
      <c r="F31" s="85">
        <v>31702</v>
      </c>
      <c r="G31" s="85">
        <v>25061</v>
      </c>
      <c r="H31" s="85">
        <v>28760</v>
      </c>
      <c r="I31" s="85">
        <v>26917</v>
      </c>
      <c r="J31" s="85">
        <v>18954</v>
      </c>
      <c r="K31" s="85">
        <v>11695</v>
      </c>
      <c r="L31" s="85">
        <v>31167</v>
      </c>
      <c r="M31" s="85">
        <v>29282</v>
      </c>
      <c r="N31" s="85">
        <v>31750</v>
      </c>
      <c r="O31" s="85">
        <v>31684</v>
      </c>
      <c r="P31" s="85">
        <v>19404</v>
      </c>
      <c r="Q31" s="85">
        <v>13431</v>
      </c>
      <c r="R31" s="85">
        <f t="shared" si="4"/>
        <v>299807</v>
      </c>
    </row>
    <row r="32" spans="2:21" ht="15" customHeight="1" x14ac:dyDescent="0.2">
      <c r="D32" s="76" t="s">
        <v>33</v>
      </c>
      <c r="F32" s="85">
        <v>0</v>
      </c>
      <c r="G32" s="85">
        <v>0</v>
      </c>
      <c r="H32" s="85">
        <v>343</v>
      </c>
      <c r="I32" s="85">
        <v>3921</v>
      </c>
      <c r="J32" s="85">
        <v>155</v>
      </c>
      <c r="K32" s="85">
        <v>208</v>
      </c>
      <c r="L32" s="85">
        <v>225</v>
      </c>
      <c r="M32" s="85">
        <v>1937</v>
      </c>
      <c r="N32" s="85">
        <v>2486</v>
      </c>
      <c r="O32" s="85">
        <v>625</v>
      </c>
      <c r="P32" s="85">
        <v>434</v>
      </c>
      <c r="Q32" s="85">
        <v>10116</v>
      </c>
      <c r="R32" s="85">
        <f t="shared" si="4"/>
        <v>20450</v>
      </c>
    </row>
    <row r="33" spans="2:20" ht="15" customHeight="1" x14ac:dyDescent="0.2">
      <c r="D33" s="76" t="s">
        <v>78</v>
      </c>
      <c r="F33" s="85">
        <v>191</v>
      </c>
      <c r="G33" s="85">
        <v>146</v>
      </c>
      <c r="H33" s="85">
        <v>153</v>
      </c>
      <c r="I33" s="85">
        <v>479</v>
      </c>
      <c r="J33" s="85">
        <v>907</v>
      </c>
      <c r="K33" s="85">
        <v>38</v>
      </c>
      <c r="L33" s="85">
        <v>1383</v>
      </c>
      <c r="M33" s="85">
        <v>1434</v>
      </c>
      <c r="N33" s="85">
        <v>2949</v>
      </c>
      <c r="O33" s="85">
        <v>540</v>
      </c>
      <c r="P33" s="85">
        <v>649</v>
      </c>
      <c r="Q33" s="85">
        <v>3368</v>
      </c>
      <c r="R33" s="85">
        <f t="shared" si="4"/>
        <v>12237</v>
      </c>
    </row>
    <row r="34" spans="2:20" ht="15" customHeight="1" x14ac:dyDescent="0.2">
      <c r="D34" s="76" t="s">
        <v>35</v>
      </c>
      <c r="F34" s="85">
        <v>0</v>
      </c>
      <c r="G34" s="85">
        <v>0</v>
      </c>
      <c r="H34" s="85">
        <v>0</v>
      </c>
      <c r="I34" s="85">
        <v>0</v>
      </c>
      <c r="J34" s="85">
        <v>50</v>
      </c>
      <c r="K34" s="85">
        <v>0</v>
      </c>
      <c r="L34" s="85">
        <v>10</v>
      </c>
      <c r="M34" s="85">
        <v>70</v>
      </c>
      <c r="N34" s="85">
        <v>60</v>
      </c>
      <c r="O34" s="85">
        <v>0</v>
      </c>
      <c r="P34" s="85">
        <v>0</v>
      </c>
      <c r="Q34" s="85">
        <v>0</v>
      </c>
      <c r="R34" s="85">
        <f t="shared" si="4"/>
        <v>190</v>
      </c>
    </row>
    <row r="35" spans="2:20" ht="15" customHeight="1" x14ac:dyDescent="0.2">
      <c r="D35" s="76" t="s">
        <v>79</v>
      </c>
      <c r="F35" s="85">
        <v>1083</v>
      </c>
      <c r="G35" s="85">
        <v>547</v>
      </c>
      <c r="H35" s="85">
        <v>2768</v>
      </c>
      <c r="I35" s="85">
        <v>-56</v>
      </c>
      <c r="J35" s="85">
        <v>-2492</v>
      </c>
      <c r="K35" s="85">
        <v>345</v>
      </c>
      <c r="L35" s="85">
        <v>1097</v>
      </c>
      <c r="M35" s="85">
        <v>604</v>
      </c>
      <c r="N35" s="85">
        <v>-53</v>
      </c>
      <c r="O35" s="85">
        <v>-3802</v>
      </c>
      <c r="P35" s="85">
        <v>3583</v>
      </c>
      <c r="Q35" s="85">
        <v>-1917</v>
      </c>
      <c r="R35" s="85">
        <f t="shared" si="4"/>
        <v>1707</v>
      </c>
    </row>
    <row r="36" spans="2:20" ht="15" customHeight="1" x14ac:dyDescent="0.2">
      <c r="D36" s="6" t="s">
        <v>80</v>
      </c>
      <c r="F36" s="85">
        <f>34090+2053-F32</f>
        <v>36143</v>
      </c>
      <c r="G36" s="85">
        <f>27712+6573-G32</f>
        <v>34285</v>
      </c>
      <c r="H36" s="85">
        <f>29748+8264-H32</f>
        <v>37669</v>
      </c>
      <c r="I36" s="85">
        <f>33154+5044-I32</f>
        <v>34277</v>
      </c>
      <c r="J36" s="85">
        <f>40545+4015-J32</f>
        <v>44405</v>
      </c>
      <c r="K36" s="85">
        <f>32352+3378-K32</f>
        <v>35522</v>
      </c>
      <c r="L36" s="85">
        <f>30135+4286-L32</f>
        <v>34196</v>
      </c>
      <c r="M36" s="85">
        <f>30320+3188-M32</f>
        <v>31571</v>
      </c>
      <c r="N36" s="85">
        <f>31930+5376-N32</f>
        <v>34820</v>
      </c>
      <c r="O36" s="85">
        <f>32635+4626-O32</f>
        <v>36636</v>
      </c>
      <c r="P36" s="85">
        <f>38303+3960-P32</f>
        <v>41829</v>
      </c>
      <c r="Q36" s="85">
        <f>49068+7241-Q32</f>
        <v>46193</v>
      </c>
      <c r="R36" s="85">
        <f t="shared" si="4"/>
        <v>447546</v>
      </c>
      <c r="T36" s="85"/>
    </row>
    <row r="37" spans="2:20" ht="15" customHeight="1" x14ac:dyDescent="0.2"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T37" s="85"/>
    </row>
    <row r="38" spans="2:20" ht="15" customHeight="1" x14ac:dyDescent="0.25">
      <c r="B38" s="82" t="s">
        <v>38</v>
      </c>
      <c r="C38" s="82"/>
      <c r="D38" s="82"/>
      <c r="E38" s="82"/>
      <c r="F38" s="88">
        <f t="shared" ref="F38:R38" si="5">+F8-F28</f>
        <v>-16502</v>
      </c>
      <c r="G38" s="88">
        <f t="shared" si="5"/>
        <v>-23551</v>
      </c>
      <c r="H38" s="88">
        <f t="shared" si="5"/>
        <v>-23413</v>
      </c>
      <c r="I38" s="88">
        <f t="shared" si="5"/>
        <v>3339</v>
      </c>
      <c r="J38" s="88">
        <f t="shared" si="5"/>
        <v>-7630</v>
      </c>
      <c r="K38" s="88">
        <f t="shared" si="5"/>
        <v>246</v>
      </c>
      <c r="L38" s="88">
        <f t="shared" si="5"/>
        <v>-15061</v>
      </c>
      <c r="M38" s="88">
        <f t="shared" si="5"/>
        <v>1751</v>
      </c>
      <c r="N38" s="88">
        <f t="shared" si="5"/>
        <v>-27657</v>
      </c>
      <c r="O38" s="88">
        <f t="shared" si="5"/>
        <v>-7064</v>
      </c>
      <c r="P38" s="88">
        <f t="shared" si="5"/>
        <v>-7289</v>
      </c>
      <c r="Q38" s="88">
        <f t="shared" si="5"/>
        <v>-23947</v>
      </c>
      <c r="R38" s="88">
        <f t="shared" si="5"/>
        <v>-146778</v>
      </c>
    </row>
    <row r="39" spans="2:20" ht="15" customHeight="1" x14ac:dyDescent="0.2"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2:20" ht="15" customHeight="1" x14ac:dyDescent="0.25">
      <c r="B40" s="82" t="s">
        <v>39</v>
      </c>
      <c r="C40" s="82"/>
      <c r="D40" s="82"/>
      <c r="E40" s="82"/>
      <c r="F40" s="83">
        <v>27764</v>
      </c>
      <c r="G40" s="83">
        <v>87544</v>
      </c>
      <c r="H40" s="83">
        <v>3325</v>
      </c>
      <c r="I40" s="83">
        <v>341</v>
      </c>
      <c r="J40" s="83">
        <v>51960</v>
      </c>
      <c r="K40" s="83">
        <v>-17737</v>
      </c>
      <c r="L40" s="83">
        <v>28239</v>
      </c>
      <c r="M40" s="83">
        <v>-14746</v>
      </c>
      <c r="N40" s="83">
        <v>90887</v>
      </c>
      <c r="O40" s="83">
        <v>-14606</v>
      </c>
      <c r="P40" s="83">
        <v>-5819</v>
      </c>
      <c r="Q40" s="83">
        <v>-1160</v>
      </c>
      <c r="R40" s="83">
        <v>235992</v>
      </c>
    </row>
    <row r="41" spans="2:20" ht="15" customHeight="1" x14ac:dyDescent="0.2">
      <c r="C41" s="76" t="s">
        <v>40</v>
      </c>
      <c r="F41" s="84">
        <v>-503</v>
      </c>
      <c r="G41" s="84">
        <v>69570</v>
      </c>
      <c r="H41" s="84">
        <v>-1933</v>
      </c>
      <c r="I41" s="84">
        <v>576</v>
      </c>
      <c r="J41" s="84">
        <v>35392</v>
      </c>
      <c r="K41" s="84">
        <v>-5666</v>
      </c>
      <c r="L41" s="84">
        <v>-3941</v>
      </c>
      <c r="M41" s="84">
        <v>-24068</v>
      </c>
      <c r="N41" s="84">
        <v>42239</v>
      </c>
      <c r="O41" s="84">
        <v>-16395</v>
      </c>
      <c r="P41" s="84">
        <v>-4529</v>
      </c>
      <c r="Q41" s="84">
        <v>1923</v>
      </c>
      <c r="R41" s="84">
        <v>92665</v>
      </c>
    </row>
    <row r="42" spans="2:20" ht="15" customHeight="1" x14ac:dyDescent="0.2">
      <c r="D42" s="76" t="s">
        <v>41</v>
      </c>
      <c r="F42" s="85">
        <v>5972</v>
      </c>
      <c r="G42" s="85">
        <v>85198</v>
      </c>
      <c r="H42" s="85">
        <v>3262</v>
      </c>
      <c r="I42" s="85">
        <v>3583</v>
      </c>
      <c r="J42" s="85">
        <v>42556</v>
      </c>
      <c r="K42" s="85">
        <v>1309</v>
      </c>
      <c r="L42" s="85">
        <v>1873</v>
      </c>
      <c r="M42" s="85">
        <v>1491</v>
      </c>
      <c r="N42" s="85">
        <v>58836</v>
      </c>
      <c r="O42" s="85">
        <v>3714</v>
      </c>
      <c r="P42" s="85">
        <v>2115</v>
      </c>
      <c r="Q42" s="85">
        <v>8408</v>
      </c>
      <c r="R42" s="85">
        <v>218317</v>
      </c>
    </row>
    <row r="43" spans="2:20" ht="15" customHeight="1" x14ac:dyDescent="0.2">
      <c r="D43" s="76" t="s">
        <v>98</v>
      </c>
      <c r="F43" s="85">
        <v>6475</v>
      </c>
      <c r="G43" s="85">
        <v>15628</v>
      </c>
      <c r="H43" s="85">
        <v>5195</v>
      </c>
      <c r="I43" s="85">
        <v>3007</v>
      </c>
      <c r="J43" s="85">
        <v>7164</v>
      </c>
      <c r="K43" s="85">
        <v>6975</v>
      </c>
      <c r="L43" s="85">
        <v>5814</v>
      </c>
      <c r="M43" s="85">
        <v>25559</v>
      </c>
      <c r="N43" s="85">
        <v>16597</v>
      </c>
      <c r="O43" s="85">
        <v>20109</v>
      </c>
      <c r="P43" s="85">
        <v>6644</v>
      </c>
      <c r="Q43" s="85">
        <v>6485</v>
      </c>
      <c r="R43" s="85">
        <v>125652</v>
      </c>
    </row>
    <row r="44" spans="2:20" ht="15" customHeight="1" x14ac:dyDescent="0.2"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</row>
    <row r="45" spans="2:20" ht="15" customHeight="1" x14ac:dyDescent="0.2">
      <c r="C45" s="76" t="s">
        <v>43</v>
      </c>
      <c r="F45" s="84">
        <v>28267</v>
      </c>
      <c r="G45" s="84">
        <v>17974</v>
      </c>
      <c r="H45" s="84">
        <v>5258</v>
      </c>
      <c r="I45" s="84">
        <v>-235</v>
      </c>
      <c r="J45" s="84">
        <v>16568</v>
      </c>
      <c r="K45" s="84">
        <v>-12071</v>
      </c>
      <c r="L45" s="84">
        <v>32180</v>
      </c>
      <c r="M45" s="84">
        <v>9322</v>
      </c>
      <c r="N45" s="84">
        <v>48648</v>
      </c>
      <c r="O45" s="84">
        <v>1789</v>
      </c>
      <c r="P45" s="84">
        <v>-1290</v>
      </c>
      <c r="Q45" s="84">
        <v>-3083</v>
      </c>
      <c r="R45" s="84">
        <v>143327</v>
      </c>
    </row>
    <row r="46" spans="2:20" ht="15" customHeight="1" x14ac:dyDescent="0.2">
      <c r="D46" s="76" t="s">
        <v>44</v>
      </c>
      <c r="F46" s="85">
        <v>45518</v>
      </c>
      <c r="G46" s="85">
        <v>25167</v>
      </c>
      <c r="H46" s="85">
        <v>16307</v>
      </c>
      <c r="I46" s="85">
        <v>21923</v>
      </c>
      <c r="J46" s="85">
        <v>38729</v>
      </c>
      <c r="K46" s="85">
        <v>7007</v>
      </c>
      <c r="L46" s="85">
        <v>82695</v>
      </c>
      <c r="M46" s="85">
        <v>20215</v>
      </c>
      <c r="N46" s="85">
        <v>78544</v>
      </c>
      <c r="O46" s="85">
        <v>34307</v>
      </c>
      <c r="P46" s="85">
        <v>14893</v>
      </c>
      <c r="Q46" s="85">
        <v>11514</v>
      </c>
      <c r="R46" s="85">
        <v>396819</v>
      </c>
    </row>
    <row r="47" spans="2:20" ht="15" customHeight="1" x14ac:dyDescent="0.2">
      <c r="D47" s="76" t="s">
        <v>98</v>
      </c>
      <c r="F47" s="85">
        <v>17251</v>
      </c>
      <c r="G47" s="85">
        <v>7193</v>
      </c>
      <c r="H47" s="85">
        <v>11049</v>
      </c>
      <c r="I47" s="85">
        <v>22158</v>
      </c>
      <c r="J47" s="85">
        <v>22161</v>
      </c>
      <c r="K47" s="85">
        <v>19078</v>
      </c>
      <c r="L47" s="85">
        <v>50515</v>
      </c>
      <c r="M47" s="85">
        <v>10893</v>
      </c>
      <c r="N47" s="85">
        <v>29896</v>
      </c>
      <c r="O47" s="85">
        <v>32518</v>
      </c>
      <c r="P47" s="85">
        <v>16183</v>
      </c>
      <c r="Q47" s="85">
        <v>14597</v>
      </c>
      <c r="R47" s="85">
        <v>253492</v>
      </c>
    </row>
    <row r="48" spans="2:20" ht="15" customHeight="1" x14ac:dyDescent="0.2"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8" ht="15" customHeight="1" x14ac:dyDescent="0.25">
      <c r="B49" s="82" t="s">
        <v>47</v>
      </c>
      <c r="C49" s="82"/>
      <c r="D49" s="82"/>
      <c r="E49" s="82"/>
      <c r="F49" s="83">
        <v>1870</v>
      </c>
      <c r="G49" s="83">
        <v>66186</v>
      </c>
      <c r="H49" s="83">
        <v>5271</v>
      </c>
      <c r="I49" s="83">
        <v>12106</v>
      </c>
      <c r="J49" s="83">
        <v>575</v>
      </c>
      <c r="K49" s="83">
        <v>15805</v>
      </c>
      <c r="L49" s="83">
        <v>-10679</v>
      </c>
      <c r="M49" s="83">
        <v>-31273</v>
      </c>
      <c r="N49" s="83">
        <v>48394</v>
      </c>
      <c r="O49" s="83">
        <v>-34159</v>
      </c>
      <c r="P49" s="83">
        <v>-22263</v>
      </c>
      <c r="Q49" s="83">
        <v>-29504</v>
      </c>
      <c r="R49" s="83">
        <v>22329</v>
      </c>
    </row>
    <row r="50" spans="1:18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 x14ac:dyDescent="0.2">
      <c r="F51" s="85"/>
      <c r="G51" s="85"/>
      <c r="H51" s="85"/>
      <c r="I51" s="85"/>
    </row>
    <row r="52" spans="1:18" x14ac:dyDescent="0.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</row>
    <row r="53" spans="1:18" x14ac:dyDescent="0.2">
      <c r="B53" s="79" t="s">
        <v>48</v>
      </c>
    </row>
    <row r="54" spans="1:18" x14ac:dyDescent="0.2">
      <c r="B54" s="79"/>
      <c r="C54" s="86" t="s">
        <v>99</v>
      </c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5"/>
    </row>
    <row r="55" spans="1:18" x14ac:dyDescent="0.2">
      <c r="B55" s="86"/>
      <c r="C55" s="86" t="s">
        <v>100</v>
      </c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5"/>
    </row>
    <row r="57" spans="1:18" x14ac:dyDescent="0.2">
      <c r="R57" s="85"/>
    </row>
    <row r="58" spans="1:18" x14ac:dyDescent="0.2">
      <c r="B58" s="86" t="s">
        <v>52</v>
      </c>
    </row>
    <row r="59" spans="1:18" x14ac:dyDescent="0.2">
      <c r="B59" s="86" t="s">
        <v>107</v>
      </c>
    </row>
  </sheetData>
  <mergeCells count="1">
    <mergeCell ref="B6:E6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AMJ61"/>
  <sheetViews>
    <sheetView zoomScaleNormal="100" workbookViewId="0">
      <selection activeCell="F29" sqref="F29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33.42578125" style="76" customWidth="1"/>
    <col min="6" max="8" width="8.7109375" style="76" customWidth="1"/>
    <col min="9" max="11" width="8" style="76" customWidth="1"/>
    <col min="12" max="13" width="8.7109375" style="76" customWidth="1"/>
    <col min="14" max="14" width="9.140625" style="76"/>
    <col min="15" max="17" width="8.7109375" style="76" customWidth="1"/>
    <col min="18" max="18" width="9.85546875" style="76" customWidth="1"/>
    <col min="19" max="19" width="0.7109375" style="76" customWidth="1"/>
    <col min="20" max="1024" width="9.140625" style="76"/>
  </cols>
  <sheetData>
    <row r="1" spans="1:20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20" ht="15" x14ac:dyDescent="0.25">
      <c r="A2" s="77" t="s">
        <v>131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20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20" x14ac:dyDescent="0.2">
      <c r="A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</row>
    <row r="5" spans="1:20" x14ac:dyDescent="0.2">
      <c r="A5" s="93" t="s">
        <v>55</v>
      </c>
      <c r="B5" s="78"/>
    </row>
    <row r="6" spans="1:20" ht="6" customHeight="1" x14ac:dyDescent="0.2"/>
    <row r="7" spans="1:20" ht="22.5" customHeight="1" x14ac:dyDescent="0.2">
      <c r="A7" s="80"/>
      <c r="B7" s="184" t="s">
        <v>3</v>
      </c>
      <c r="C7" s="184"/>
      <c r="D7" s="184"/>
      <c r="E7" s="184"/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65</v>
      </c>
      <c r="O7" s="2" t="s">
        <v>13</v>
      </c>
      <c r="P7" s="2" t="s">
        <v>56</v>
      </c>
      <c r="Q7" s="2" t="s">
        <v>57</v>
      </c>
      <c r="R7" s="2" t="s">
        <v>14</v>
      </c>
      <c r="S7" s="111"/>
    </row>
    <row r="8" spans="1:20" ht="15" customHeight="1" x14ac:dyDescent="0.2">
      <c r="O8" s="85"/>
    </row>
    <row r="9" spans="1:20" ht="15" customHeight="1" x14ac:dyDescent="0.25">
      <c r="B9" s="82" t="s">
        <v>15</v>
      </c>
      <c r="C9" s="82"/>
      <c r="D9" s="82"/>
      <c r="E9" s="82"/>
      <c r="F9" s="83">
        <f t="shared" ref="F9:Q9" si="0">SUM(F10+F20+F27)</f>
        <v>64341</v>
      </c>
      <c r="G9" s="83">
        <f t="shared" si="0"/>
        <v>48709</v>
      </c>
      <c r="H9" s="83">
        <f t="shared" si="0"/>
        <v>58264</v>
      </c>
      <c r="I9" s="83">
        <f t="shared" si="0"/>
        <v>82784</v>
      </c>
      <c r="J9" s="83">
        <f t="shared" si="0"/>
        <v>68249</v>
      </c>
      <c r="K9" s="83">
        <f t="shared" si="0"/>
        <v>62036</v>
      </c>
      <c r="L9" s="83">
        <f t="shared" si="0"/>
        <v>65951</v>
      </c>
      <c r="M9" s="83">
        <f t="shared" si="0"/>
        <v>79818</v>
      </c>
      <c r="N9" s="83">
        <f t="shared" si="0"/>
        <v>59341</v>
      </c>
      <c r="O9" s="83">
        <f t="shared" si="0"/>
        <v>71670</v>
      </c>
      <c r="P9" s="83">
        <f t="shared" si="0"/>
        <v>72553</v>
      </c>
      <c r="Q9" s="83">
        <f t="shared" si="0"/>
        <v>61993</v>
      </c>
      <c r="R9" s="83">
        <f>SUM(F9:Q9)</f>
        <v>795709</v>
      </c>
    </row>
    <row r="10" spans="1:20" ht="15" customHeight="1" x14ac:dyDescent="0.2">
      <c r="C10" s="76" t="s">
        <v>16</v>
      </c>
      <c r="F10" s="84">
        <f t="shared" ref="F10:Q10" si="1">SUM(F11+F15+F18)</f>
        <v>53262</v>
      </c>
      <c r="G10" s="84">
        <f t="shared" si="1"/>
        <v>41612</v>
      </c>
      <c r="H10" s="84">
        <f t="shared" si="1"/>
        <v>48102</v>
      </c>
      <c r="I10" s="84">
        <f t="shared" si="1"/>
        <v>76004</v>
      </c>
      <c r="J10" s="84">
        <f t="shared" si="1"/>
        <v>61768</v>
      </c>
      <c r="K10" s="84">
        <f t="shared" si="1"/>
        <v>52064</v>
      </c>
      <c r="L10" s="84">
        <f t="shared" si="1"/>
        <v>52233</v>
      </c>
      <c r="M10" s="84">
        <f t="shared" si="1"/>
        <v>66830</v>
      </c>
      <c r="N10" s="84">
        <f t="shared" si="1"/>
        <v>50914</v>
      </c>
      <c r="O10" s="84">
        <f t="shared" si="1"/>
        <v>61972</v>
      </c>
      <c r="P10" s="84">
        <f t="shared" si="1"/>
        <v>64882</v>
      </c>
      <c r="Q10" s="84">
        <f t="shared" si="1"/>
        <v>55522</v>
      </c>
      <c r="R10" s="84">
        <f>SUM(F10:Q10)</f>
        <v>685165</v>
      </c>
    </row>
    <row r="11" spans="1:20" ht="15" customHeight="1" x14ac:dyDescent="0.2">
      <c r="D11" s="76" t="s">
        <v>17</v>
      </c>
      <c r="F11" s="85">
        <v>42025</v>
      </c>
      <c r="G11" s="85">
        <v>31669</v>
      </c>
      <c r="H11" s="85">
        <v>35985</v>
      </c>
      <c r="I11" s="85">
        <v>62935</v>
      </c>
      <c r="J11" s="85">
        <v>48807</v>
      </c>
      <c r="K11" s="85">
        <v>38581</v>
      </c>
      <c r="L11" s="85">
        <v>40773</v>
      </c>
      <c r="M11" s="85">
        <v>53915</v>
      </c>
      <c r="N11" s="85">
        <v>38239</v>
      </c>
      <c r="O11" s="85">
        <v>47496</v>
      </c>
      <c r="P11" s="85">
        <v>50953</v>
      </c>
      <c r="Q11" s="85">
        <v>43705</v>
      </c>
      <c r="R11" s="85">
        <f>SUM(F11:Q11)</f>
        <v>535083</v>
      </c>
    </row>
    <row r="12" spans="1:20" ht="15" customHeight="1" x14ac:dyDescent="0.2">
      <c r="E12" s="86" t="s">
        <v>18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</row>
    <row r="13" spans="1:20" ht="15" customHeight="1" x14ac:dyDescent="0.2">
      <c r="E13" s="76" t="s">
        <v>19</v>
      </c>
      <c r="F13" s="85">
        <v>0</v>
      </c>
      <c r="G13" s="85">
        <v>0</v>
      </c>
      <c r="H13" s="85">
        <v>343</v>
      </c>
      <c r="I13" s="85">
        <v>210</v>
      </c>
      <c r="J13" s="85">
        <v>151</v>
      </c>
      <c r="K13" s="85">
        <v>162</v>
      </c>
      <c r="L13" s="85">
        <v>224</v>
      </c>
      <c r="M13" s="85">
        <v>1932</v>
      </c>
      <c r="N13" s="85">
        <v>2486</v>
      </c>
      <c r="O13" s="85">
        <v>590</v>
      </c>
      <c r="P13" s="85">
        <v>434</v>
      </c>
      <c r="Q13" s="85">
        <v>599</v>
      </c>
      <c r="R13" s="85">
        <f>SUM(F13:Q13)</f>
        <v>7131</v>
      </c>
    </row>
    <row r="14" spans="1:20" ht="15" customHeight="1" x14ac:dyDescent="0.2">
      <c r="E14" s="76" t="s">
        <v>20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483</v>
      </c>
      <c r="R14" s="85">
        <f>SUM(F14:Q14)</f>
        <v>483</v>
      </c>
      <c r="T14" s="85"/>
    </row>
    <row r="15" spans="1:20" ht="15" customHeight="1" x14ac:dyDescent="0.2">
      <c r="D15" s="76" t="s">
        <v>21</v>
      </c>
      <c r="F15" s="85">
        <v>10567</v>
      </c>
      <c r="G15" s="85">
        <v>9216</v>
      </c>
      <c r="H15" s="85">
        <v>11383</v>
      </c>
      <c r="I15" s="85">
        <v>12428</v>
      </c>
      <c r="J15" s="85">
        <v>12237</v>
      </c>
      <c r="K15" s="85">
        <v>12603</v>
      </c>
      <c r="L15" s="85">
        <v>10677</v>
      </c>
      <c r="M15" s="85">
        <v>12098</v>
      </c>
      <c r="N15" s="85">
        <v>11910</v>
      </c>
      <c r="O15" s="85">
        <v>13627</v>
      </c>
      <c r="P15" s="85">
        <v>13642</v>
      </c>
      <c r="Q15" s="85">
        <v>11342</v>
      </c>
      <c r="R15" s="85">
        <f>SUM(F15:Q15)</f>
        <v>141730</v>
      </c>
    </row>
    <row r="16" spans="1:20" ht="15" customHeight="1" x14ac:dyDescent="0.2">
      <c r="E16" s="86" t="s">
        <v>18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2:21" ht="15" customHeight="1" x14ac:dyDescent="0.2">
      <c r="E17" s="76" t="s">
        <v>20</v>
      </c>
      <c r="F17" s="85">
        <v>0</v>
      </c>
      <c r="G17" s="85">
        <v>0</v>
      </c>
      <c r="H17" s="85">
        <v>0</v>
      </c>
      <c r="I17" s="85">
        <v>3711</v>
      </c>
      <c r="J17" s="85">
        <v>4</v>
      </c>
      <c r="K17" s="85">
        <v>46</v>
      </c>
      <c r="L17" s="85">
        <v>1</v>
      </c>
      <c r="M17" s="85">
        <v>5</v>
      </c>
      <c r="N17" s="85">
        <v>0</v>
      </c>
      <c r="O17" s="85">
        <v>35</v>
      </c>
      <c r="P17" s="85">
        <v>0</v>
      </c>
      <c r="Q17" s="85">
        <v>9034</v>
      </c>
      <c r="R17" s="85">
        <f>SUM(F17:Q17)</f>
        <v>12836</v>
      </c>
    </row>
    <row r="18" spans="2:21" ht="15" customHeight="1" x14ac:dyDescent="0.2">
      <c r="D18" s="76" t="s">
        <v>106</v>
      </c>
      <c r="F18" s="85">
        <v>670</v>
      </c>
      <c r="G18" s="85">
        <v>727</v>
      </c>
      <c r="H18" s="85">
        <v>734</v>
      </c>
      <c r="I18" s="85">
        <v>641</v>
      </c>
      <c r="J18" s="85">
        <v>724</v>
      </c>
      <c r="K18" s="85">
        <v>880</v>
      </c>
      <c r="L18" s="85">
        <v>783</v>
      </c>
      <c r="M18" s="85">
        <v>817</v>
      </c>
      <c r="N18" s="85">
        <v>765</v>
      </c>
      <c r="O18" s="85">
        <v>849</v>
      </c>
      <c r="P18" s="85">
        <v>287</v>
      </c>
      <c r="Q18" s="85">
        <v>475</v>
      </c>
      <c r="R18" s="85">
        <f>SUM(F18:Q18)</f>
        <v>8352</v>
      </c>
    </row>
    <row r="19" spans="2:21" ht="15" customHeight="1" x14ac:dyDescent="0.2"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U19" s="76" t="s">
        <v>58</v>
      </c>
    </row>
    <row r="20" spans="2:21" ht="15" customHeight="1" x14ac:dyDescent="0.2">
      <c r="C20" s="76" t="s">
        <v>23</v>
      </c>
      <c r="F20" s="84">
        <f t="shared" ref="F20:R20" si="2">SUM(F21:F25)</f>
        <v>11073</v>
      </c>
      <c r="G20" s="84">
        <f t="shared" si="2"/>
        <v>7097</v>
      </c>
      <c r="H20" s="84">
        <f t="shared" si="2"/>
        <v>10154</v>
      </c>
      <c r="I20" s="84">
        <f t="shared" si="2"/>
        <v>6769</v>
      </c>
      <c r="J20" s="84">
        <f t="shared" si="2"/>
        <v>6475</v>
      </c>
      <c r="K20" s="84">
        <f t="shared" si="2"/>
        <v>9967</v>
      </c>
      <c r="L20" s="84">
        <f t="shared" si="2"/>
        <v>13700</v>
      </c>
      <c r="M20" s="84">
        <f t="shared" si="2"/>
        <v>12983</v>
      </c>
      <c r="N20" s="84">
        <f t="shared" si="2"/>
        <v>8414</v>
      </c>
      <c r="O20" s="84">
        <f t="shared" si="2"/>
        <v>9692</v>
      </c>
      <c r="P20" s="84">
        <f t="shared" si="2"/>
        <v>7668</v>
      </c>
      <c r="Q20" s="84">
        <f t="shared" si="2"/>
        <v>6464</v>
      </c>
      <c r="R20" s="84">
        <f t="shared" si="2"/>
        <v>110456</v>
      </c>
    </row>
    <row r="21" spans="2:21" ht="15" customHeight="1" x14ac:dyDescent="0.2">
      <c r="D21" s="76" t="s">
        <v>24</v>
      </c>
      <c r="F21" s="85">
        <v>9003</v>
      </c>
      <c r="G21" s="85">
        <v>3742</v>
      </c>
      <c r="H21" s="85">
        <v>6715</v>
      </c>
      <c r="I21" s="85">
        <v>4742</v>
      </c>
      <c r="J21" s="85">
        <v>4296</v>
      </c>
      <c r="K21" s="85">
        <v>7438</v>
      </c>
      <c r="L21" s="85">
        <v>7779</v>
      </c>
      <c r="M21" s="85">
        <v>4397</v>
      </c>
      <c r="N21" s="85">
        <v>5855</v>
      </c>
      <c r="O21" s="85">
        <v>5973</v>
      </c>
      <c r="P21" s="85">
        <v>6081</v>
      </c>
      <c r="Q21" s="85">
        <v>4576</v>
      </c>
      <c r="R21" s="85">
        <f>SUM(F21:Q21)</f>
        <v>70597</v>
      </c>
    </row>
    <row r="22" spans="2:21" ht="15" customHeight="1" x14ac:dyDescent="0.2">
      <c r="D22" s="76" t="s">
        <v>113</v>
      </c>
      <c r="F22" s="85">
        <v>1645</v>
      </c>
      <c r="G22" s="85">
        <v>2346</v>
      </c>
      <c r="H22" s="85">
        <v>1512</v>
      </c>
      <c r="I22" s="85">
        <v>1583</v>
      </c>
      <c r="J22" s="85">
        <v>1458</v>
      </c>
      <c r="K22" s="85">
        <v>1634</v>
      </c>
      <c r="L22" s="85">
        <v>1409</v>
      </c>
      <c r="M22" s="85">
        <v>1270</v>
      </c>
      <c r="N22" s="85">
        <v>1643</v>
      </c>
      <c r="O22" s="85">
        <v>2287</v>
      </c>
      <c r="P22" s="85">
        <v>1289</v>
      </c>
      <c r="Q22" s="85">
        <v>1159</v>
      </c>
      <c r="R22" s="85">
        <f>SUM(F22:Q22)</f>
        <v>19235</v>
      </c>
      <c r="T22" s="85"/>
    </row>
    <row r="23" spans="2:21" ht="15" customHeight="1" x14ac:dyDescent="0.2">
      <c r="D23" s="76" t="s">
        <v>27</v>
      </c>
      <c r="F23" s="85">
        <v>172.2</v>
      </c>
      <c r="G23" s="85">
        <v>66.695999999999998</v>
      </c>
      <c r="H23" s="85">
        <v>156.452</v>
      </c>
      <c r="I23" s="85">
        <v>226.85499999999999</v>
      </c>
      <c r="J23" s="85">
        <v>265.39100000000002</v>
      </c>
      <c r="K23" s="85">
        <v>205.39599999999999</v>
      </c>
      <c r="L23" s="85">
        <v>296.71300000000002</v>
      </c>
      <c r="M23" s="85">
        <v>180.22200000000001</v>
      </c>
      <c r="N23" s="85">
        <v>179.571</v>
      </c>
      <c r="O23" s="85">
        <v>313.17500000000001</v>
      </c>
      <c r="P23" s="85">
        <v>242.23099999999999</v>
      </c>
      <c r="Q23" s="85">
        <v>136.46100000000001</v>
      </c>
      <c r="R23" s="85">
        <f>SUM(F23:Q23)</f>
        <v>2441.3630000000003</v>
      </c>
    </row>
    <row r="24" spans="2:21" ht="15" customHeight="1" x14ac:dyDescent="0.2">
      <c r="D24" s="76" t="s">
        <v>26</v>
      </c>
      <c r="F24" s="85">
        <v>1</v>
      </c>
      <c r="G24" s="85">
        <v>0</v>
      </c>
      <c r="H24" s="85">
        <v>45</v>
      </c>
      <c r="I24" s="85">
        <v>29</v>
      </c>
      <c r="J24" s="85">
        <v>0</v>
      </c>
      <c r="K24" s="85">
        <v>32</v>
      </c>
      <c r="L24" s="85">
        <v>88</v>
      </c>
      <c r="M24" s="85">
        <v>1998</v>
      </c>
      <c r="N24" s="85">
        <v>19</v>
      </c>
      <c r="O24" s="85">
        <v>7</v>
      </c>
      <c r="P24" s="85">
        <v>161</v>
      </c>
      <c r="Q24" s="85">
        <v>50</v>
      </c>
      <c r="R24" s="85">
        <f>SUM(F24:Q24)</f>
        <v>2430</v>
      </c>
    </row>
    <row r="25" spans="2:21" ht="15" customHeight="1" x14ac:dyDescent="0.2">
      <c r="D25" s="76" t="s">
        <v>106</v>
      </c>
      <c r="F25" s="85">
        <f>2069-F22-F23</f>
        <v>251.8</v>
      </c>
      <c r="G25" s="85">
        <f>3355-G23-G22</f>
        <v>942.30400000000009</v>
      </c>
      <c r="H25" s="85">
        <f>3394-H23-H22</f>
        <v>1725.5479999999998</v>
      </c>
      <c r="I25" s="85">
        <f>1998-I23-I22</f>
        <v>188.14499999999998</v>
      </c>
      <c r="J25" s="85">
        <f>2179-J23-J22</f>
        <v>455.60899999999992</v>
      </c>
      <c r="K25" s="85">
        <f>2497-K23-K22</f>
        <v>657.60399999999981</v>
      </c>
      <c r="L25" s="85">
        <f>5833-L23-L22</f>
        <v>4127.2870000000003</v>
      </c>
      <c r="M25" s="85">
        <f>6588-M23-M22</f>
        <v>5137.7780000000002</v>
      </c>
      <c r="N25" s="85">
        <f>2540-N23-N22</f>
        <v>717.42900000000009</v>
      </c>
      <c r="O25" s="85">
        <f>3712-O23-O22</f>
        <v>1111.8249999999998</v>
      </c>
      <c r="P25" s="85">
        <f>1426-P23-P22</f>
        <v>-105.23099999999999</v>
      </c>
      <c r="Q25" s="85">
        <f>1838-Q23-Q22</f>
        <v>542.53899999999999</v>
      </c>
      <c r="R25" s="85">
        <f>SUM(F25:Q25)</f>
        <v>15752.637000000002</v>
      </c>
    </row>
    <row r="26" spans="2:21" ht="15" customHeight="1" x14ac:dyDescent="0.2"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</row>
    <row r="27" spans="2:21" ht="15" customHeight="1" x14ac:dyDescent="0.2">
      <c r="C27" s="76" t="s">
        <v>29</v>
      </c>
      <c r="F27" s="85">
        <v>6</v>
      </c>
      <c r="G27" s="85">
        <v>0</v>
      </c>
      <c r="H27" s="85">
        <v>8</v>
      </c>
      <c r="I27" s="85">
        <v>11</v>
      </c>
      <c r="J27" s="85">
        <v>6</v>
      </c>
      <c r="K27" s="85">
        <v>5</v>
      </c>
      <c r="L27" s="85">
        <v>18</v>
      </c>
      <c r="M27" s="85">
        <v>5</v>
      </c>
      <c r="N27" s="85">
        <v>13</v>
      </c>
      <c r="O27" s="85">
        <v>6</v>
      </c>
      <c r="P27" s="85">
        <v>3</v>
      </c>
      <c r="Q27" s="85">
        <v>7</v>
      </c>
      <c r="R27" s="85">
        <v>88</v>
      </c>
    </row>
    <row r="28" spans="2:21" ht="15" customHeight="1" x14ac:dyDescent="0.2"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</row>
    <row r="29" spans="2:21" ht="15" customHeight="1" x14ac:dyDescent="0.25">
      <c r="B29" s="82" t="s">
        <v>30</v>
      </c>
      <c r="C29" s="82"/>
      <c r="D29" s="82"/>
      <c r="E29" s="82"/>
      <c r="F29" s="83">
        <f t="shared" ref="F29:Q29" si="3">SUM(F31:F37)</f>
        <v>80843</v>
      </c>
      <c r="G29" s="83">
        <f t="shared" si="3"/>
        <v>72260</v>
      </c>
      <c r="H29" s="83">
        <f t="shared" si="3"/>
        <v>81677</v>
      </c>
      <c r="I29" s="83">
        <f t="shared" si="3"/>
        <v>79445</v>
      </c>
      <c r="J29" s="83">
        <f t="shared" si="3"/>
        <v>75879</v>
      </c>
      <c r="K29" s="83">
        <f t="shared" si="3"/>
        <v>61790</v>
      </c>
      <c r="L29" s="83">
        <f t="shared" si="3"/>
        <v>81012</v>
      </c>
      <c r="M29" s="83">
        <f t="shared" si="3"/>
        <v>78067</v>
      </c>
      <c r="N29" s="83">
        <f t="shared" si="3"/>
        <v>86998</v>
      </c>
      <c r="O29" s="83">
        <f t="shared" si="3"/>
        <v>78734</v>
      </c>
      <c r="P29" s="83">
        <f t="shared" si="3"/>
        <v>79842</v>
      </c>
      <c r="Q29" s="83">
        <f t="shared" si="3"/>
        <v>85940</v>
      </c>
      <c r="R29" s="83">
        <f>SUM(F29:Q29)</f>
        <v>942487</v>
      </c>
    </row>
    <row r="30" spans="2:21" ht="15" customHeight="1" x14ac:dyDescent="0.2"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</row>
    <row r="31" spans="2:21" ht="15" customHeight="1" x14ac:dyDescent="0.2">
      <c r="D31" s="76" t="s">
        <v>31</v>
      </c>
      <c r="F31" s="85">
        <v>11724</v>
      </c>
      <c r="G31" s="85">
        <v>12221</v>
      </c>
      <c r="H31" s="85">
        <v>11984</v>
      </c>
      <c r="I31" s="85">
        <v>13907</v>
      </c>
      <c r="J31" s="85">
        <v>13900</v>
      </c>
      <c r="K31" s="85">
        <v>13982</v>
      </c>
      <c r="L31" s="85">
        <v>12934</v>
      </c>
      <c r="M31" s="85">
        <v>13169</v>
      </c>
      <c r="N31" s="85">
        <v>14986</v>
      </c>
      <c r="O31" s="85">
        <v>13051</v>
      </c>
      <c r="P31" s="85">
        <v>13943</v>
      </c>
      <c r="Q31" s="85">
        <v>14749</v>
      </c>
      <c r="R31" s="85">
        <f t="shared" ref="R31:R37" si="4">SUM(F31:Q31)</f>
        <v>160550</v>
      </c>
    </row>
    <row r="32" spans="2:21" ht="15" customHeight="1" x14ac:dyDescent="0.2">
      <c r="D32" s="76" t="s">
        <v>32</v>
      </c>
      <c r="F32" s="85">
        <v>31702</v>
      </c>
      <c r="G32" s="85">
        <v>25061</v>
      </c>
      <c r="H32" s="85">
        <v>28760</v>
      </c>
      <c r="I32" s="85">
        <v>26917</v>
      </c>
      <c r="J32" s="85">
        <v>18954</v>
      </c>
      <c r="K32" s="85">
        <v>11695</v>
      </c>
      <c r="L32" s="85">
        <v>31167</v>
      </c>
      <c r="M32" s="85">
        <v>29282</v>
      </c>
      <c r="N32" s="85">
        <v>31750</v>
      </c>
      <c r="O32" s="85">
        <v>31684</v>
      </c>
      <c r="P32" s="85">
        <v>19404</v>
      </c>
      <c r="Q32" s="85">
        <v>13431</v>
      </c>
      <c r="R32" s="85">
        <f t="shared" si="4"/>
        <v>299807</v>
      </c>
    </row>
    <row r="33" spans="2:18" ht="15" customHeight="1" x14ac:dyDescent="0.2">
      <c r="D33" s="76" t="s">
        <v>33</v>
      </c>
      <c r="F33" s="85">
        <v>0</v>
      </c>
      <c r="G33" s="85">
        <v>0</v>
      </c>
      <c r="H33" s="85">
        <v>343</v>
      </c>
      <c r="I33" s="85">
        <v>3921</v>
      </c>
      <c r="J33" s="85">
        <v>155</v>
      </c>
      <c r="K33" s="85">
        <v>208</v>
      </c>
      <c r="L33" s="85">
        <v>225</v>
      </c>
      <c r="M33" s="85">
        <v>1937</v>
      </c>
      <c r="N33" s="85">
        <v>2486</v>
      </c>
      <c r="O33" s="85">
        <v>625</v>
      </c>
      <c r="P33" s="85">
        <v>434</v>
      </c>
      <c r="Q33" s="85">
        <v>10116</v>
      </c>
      <c r="R33" s="85">
        <f t="shared" si="4"/>
        <v>20450</v>
      </c>
    </row>
    <row r="34" spans="2:18" ht="15" customHeight="1" x14ac:dyDescent="0.2">
      <c r="D34" s="76" t="s">
        <v>78</v>
      </c>
      <c r="F34" s="85">
        <v>191</v>
      </c>
      <c r="G34" s="85">
        <v>146</v>
      </c>
      <c r="H34" s="85">
        <v>153</v>
      </c>
      <c r="I34" s="85">
        <v>479</v>
      </c>
      <c r="J34" s="85">
        <v>907</v>
      </c>
      <c r="K34" s="85">
        <v>38</v>
      </c>
      <c r="L34" s="85">
        <v>1383</v>
      </c>
      <c r="M34" s="85">
        <v>1434</v>
      </c>
      <c r="N34" s="85">
        <v>2949</v>
      </c>
      <c r="O34" s="85">
        <v>540</v>
      </c>
      <c r="P34" s="85">
        <v>649</v>
      </c>
      <c r="Q34" s="85">
        <v>3368</v>
      </c>
      <c r="R34" s="85">
        <f t="shared" si="4"/>
        <v>12237</v>
      </c>
    </row>
    <row r="35" spans="2:18" ht="15" customHeight="1" x14ac:dyDescent="0.2">
      <c r="D35" s="76" t="s">
        <v>35</v>
      </c>
      <c r="F35" s="85">
        <v>0</v>
      </c>
      <c r="G35" s="85">
        <v>0</v>
      </c>
      <c r="H35" s="85">
        <v>0</v>
      </c>
      <c r="I35" s="85">
        <v>0</v>
      </c>
      <c r="J35" s="85">
        <v>50</v>
      </c>
      <c r="K35" s="85">
        <v>0</v>
      </c>
      <c r="L35" s="85">
        <v>10</v>
      </c>
      <c r="M35" s="85">
        <v>70</v>
      </c>
      <c r="N35" s="85">
        <v>60</v>
      </c>
      <c r="O35" s="85">
        <v>0</v>
      </c>
      <c r="P35" s="85">
        <v>0</v>
      </c>
      <c r="Q35" s="85">
        <v>0</v>
      </c>
      <c r="R35" s="85">
        <f t="shared" si="4"/>
        <v>190</v>
      </c>
    </row>
    <row r="36" spans="2:18" ht="15" customHeight="1" x14ac:dyDescent="0.2">
      <c r="D36" s="76" t="s">
        <v>79</v>
      </c>
      <c r="F36" s="85">
        <v>1083</v>
      </c>
      <c r="G36" s="85">
        <v>547</v>
      </c>
      <c r="H36" s="85">
        <v>2768</v>
      </c>
      <c r="I36" s="85">
        <v>-56</v>
      </c>
      <c r="J36" s="85">
        <v>-2492</v>
      </c>
      <c r="K36" s="85">
        <v>345</v>
      </c>
      <c r="L36" s="85">
        <v>1097</v>
      </c>
      <c r="M36" s="85">
        <v>604</v>
      </c>
      <c r="N36" s="85">
        <v>-53</v>
      </c>
      <c r="O36" s="85">
        <v>-3802</v>
      </c>
      <c r="P36" s="85">
        <v>3583</v>
      </c>
      <c r="Q36" s="85">
        <v>-1917</v>
      </c>
      <c r="R36" s="85">
        <f t="shared" si="4"/>
        <v>1707</v>
      </c>
    </row>
    <row r="37" spans="2:18" ht="15" customHeight="1" x14ac:dyDescent="0.2">
      <c r="D37" s="6" t="s">
        <v>80</v>
      </c>
      <c r="F37" s="85">
        <v>36143</v>
      </c>
      <c r="G37" s="85">
        <v>34285</v>
      </c>
      <c r="H37" s="85">
        <v>37669</v>
      </c>
      <c r="I37" s="85">
        <v>34277</v>
      </c>
      <c r="J37" s="85">
        <v>44405</v>
      </c>
      <c r="K37" s="85">
        <v>35522</v>
      </c>
      <c r="L37" s="85">
        <v>34196</v>
      </c>
      <c r="M37" s="85">
        <v>31571</v>
      </c>
      <c r="N37" s="85">
        <v>34820</v>
      </c>
      <c r="O37" s="85">
        <v>36636</v>
      </c>
      <c r="P37" s="85">
        <v>41829</v>
      </c>
      <c r="Q37" s="85">
        <v>46193</v>
      </c>
      <c r="R37" s="85">
        <f t="shared" si="4"/>
        <v>447546</v>
      </c>
    </row>
    <row r="38" spans="2:18" ht="15" customHeight="1" x14ac:dyDescent="0.2"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5"/>
    </row>
    <row r="39" spans="2:18" ht="15" customHeight="1" x14ac:dyDescent="0.25">
      <c r="B39" s="82" t="s">
        <v>38</v>
      </c>
      <c r="C39" s="82"/>
      <c r="D39" s="82"/>
      <c r="E39" s="82"/>
      <c r="F39" s="88">
        <f t="shared" ref="F39:Q39" si="5">+F9-F29</f>
        <v>-16502</v>
      </c>
      <c r="G39" s="88">
        <f t="shared" si="5"/>
        <v>-23551</v>
      </c>
      <c r="H39" s="88">
        <f t="shared" si="5"/>
        <v>-23413</v>
      </c>
      <c r="I39" s="88">
        <f t="shared" si="5"/>
        <v>3339</v>
      </c>
      <c r="J39" s="88">
        <f t="shared" si="5"/>
        <v>-7630</v>
      </c>
      <c r="K39" s="88">
        <f t="shared" si="5"/>
        <v>246</v>
      </c>
      <c r="L39" s="88">
        <f t="shared" si="5"/>
        <v>-15061</v>
      </c>
      <c r="M39" s="88">
        <f t="shared" si="5"/>
        <v>1751</v>
      </c>
      <c r="N39" s="88">
        <f t="shared" si="5"/>
        <v>-27657</v>
      </c>
      <c r="O39" s="88">
        <f t="shared" si="5"/>
        <v>-7064</v>
      </c>
      <c r="P39" s="88">
        <f t="shared" si="5"/>
        <v>-7289</v>
      </c>
      <c r="Q39" s="88">
        <f t="shared" si="5"/>
        <v>-23947</v>
      </c>
      <c r="R39" s="88">
        <f>SUM(F39:Q39)</f>
        <v>-146778</v>
      </c>
    </row>
    <row r="40" spans="2:18" ht="15" customHeight="1" x14ac:dyDescent="0.2"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</row>
    <row r="41" spans="2:18" ht="15" customHeight="1" x14ac:dyDescent="0.25">
      <c r="B41" s="82" t="s">
        <v>39</v>
      </c>
      <c r="C41" s="82"/>
      <c r="D41" s="82"/>
      <c r="E41" s="82"/>
      <c r="F41" s="83">
        <v>44866</v>
      </c>
      <c r="G41" s="83">
        <v>94692</v>
      </c>
      <c r="H41" s="83">
        <v>14374</v>
      </c>
      <c r="I41" s="83">
        <v>22499</v>
      </c>
      <c r="J41" s="83">
        <v>73807</v>
      </c>
      <c r="K41" s="83">
        <v>1341</v>
      </c>
      <c r="L41" s="83">
        <v>78754</v>
      </c>
      <c r="M41" s="83">
        <v>-3853</v>
      </c>
      <c r="N41" s="83">
        <v>110753</v>
      </c>
      <c r="O41" s="83">
        <v>10703</v>
      </c>
      <c r="P41" s="83">
        <v>10364</v>
      </c>
      <c r="Q41" s="83">
        <v>13437</v>
      </c>
      <c r="R41" s="83">
        <v>471737</v>
      </c>
    </row>
    <row r="42" spans="2:18" ht="15" customHeight="1" x14ac:dyDescent="0.2">
      <c r="C42" s="76" t="s">
        <v>40</v>
      </c>
      <c r="F42" s="84">
        <v>-503</v>
      </c>
      <c r="G42" s="84">
        <v>69570</v>
      </c>
      <c r="H42" s="84">
        <v>-1933</v>
      </c>
      <c r="I42" s="84">
        <v>576</v>
      </c>
      <c r="J42" s="84">
        <v>35392</v>
      </c>
      <c r="K42" s="84">
        <v>-5666</v>
      </c>
      <c r="L42" s="84">
        <v>-3941</v>
      </c>
      <c r="M42" s="84">
        <v>-24068</v>
      </c>
      <c r="N42" s="84">
        <v>42239</v>
      </c>
      <c r="O42" s="84">
        <v>-16395</v>
      </c>
      <c r="P42" s="84">
        <v>-4529</v>
      </c>
      <c r="Q42" s="84">
        <v>1923</v>
      </c>
      <c r="R42" s="84">
        <v>92665</v>
      </c>
    </row>
    <row r="43" spans="2:18" ht="15" customHeight="1" x14ac:dyDescent="0.2">
      <c r="D43" s="76" t="s">
        <v>41</v>
      </c>
      <c r="F43" s="85">
        <v>5972</v>
      </c>
      <c r="G43" s="85">
        <v>85198</v>
      </c>
      <c r="H43" s="85">
        <v>3262</v>
      </c>
      <c r="I43" s="85">
        <v>3583</v>
      </c>
      <c r="J43" s="85">
        <v>42556</v>
      </c>
      <c r="K43" s="85">
        <v>1309</v>
      </c>
      <c r="L43" s="85">
        <v>1873</v>
      </c>
      <c r="M43" s="85">
        <v>1491</v>
      </c>
      <c r="N43" s="85">
        <v>58836</v>
      </c>
      <c r="O43" s="85">
        <v>3714</v>
      </c>
      <c r="P43" s="85">
        <v>2115</v>
      </c>
      <c r="Q43" s="85">
        <v>8408</v>
      </c>
      <c r="R43" s="85">
        <v>218317</v>
      </c>
    </row>
    <row r="44" spans="2:18" ht="15" customHeight="1" x14ac:dyDescent="0.2">
      <c r="D44" s="76" t="s">
        <v>98</v>
      </c>
      <c r="F44" s="85">
        <v>6475</v>
      </c>
      <c r="G44" s="85">
        <v>15628</v>
      </c>
      <c r="H44" s="85">
        <v>5195</v>
      </c>
      <c r="I44" s="85">
        <v>3007</v>
      </c>
      <c r="J44" s="85">
        <v>7164</v>
      </c>
      <c r="K44" s="85">
        <v>6975</v>
      </c>
      <c r="L44" s="85">
        <v>5814</v>
      </c>
      <c r="M44" s="85">
        <v>25559</v>
      </c>
      <c r="N44" s="85">
        <v>16597</v>
      </c>
      <c r="O44" s="85">
        <v>20109</v>
      </c>
      <c r="P44" s="85">
        <v>6644</v>
      </c>
      <c r="Q44" s="85">
        <v>6485</v>
      </c>
      <c r="R44" s="85">
        <v>125652</v>
      </c>
    </row>
    <row r="45" spans="2:18" ht="15" customHeight="1" x14ac:dyDescent="0.2"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</row>
    <row r="46" spans="2:18" ht="15" customHeight="1" x14ac:dyDescent="0.2">
      <c r="C46" s="76" t="s">
        <v>43</v>
      </c>
      <c r="F46" s="84">
        <v>45369</v>
      </c>
      <c r="G46" s="84">
        <v>25122</v>
      </c>
      <c r="H46" s="84">
        <v>16307</v>
      </c>
      <c r="I46" s="84">
        <v>21923</v>
      </c>
      <c r="J46" s="84">
        <v>38415</v>
      </c>
      <c r="K46" s="84">
        <v>7007</v>
      </c>
      <c r="L46" s="84">
        <v>82695</v>
      </c>
      <c r="M46" s="84">
        <v>20215</v>
      </c>
      <c r="N46" s="84">
        <v>68514</v>
      </c>
      <c r="O46" s="84">
        <v>27098</v>
      </c>
      <c r="P46" s="84">
        <v>14893</v>
      </c>
      <c r="Q46" s="84">
        <v>11514</v>
      </c>
      <c r="R46" s="84">
        <v>379072</v>
      </c>
    </row>
    <row r="47" spans="2:18" ht="15" customHeight="1" x14ac:dyDescent="0.2">
      <c r="D47" s="76" t="s">
        <v>44</v>
      </c>
      <c r="F47" s="85">
        <v>45518</v>
      </c>
      <c r="G47" s="85">
        <v>25167</v>
      </c>
      <c r="H47" s="85">
        <v>16307</v>
      </c>
      <c r="I47" s="85">
        <v>21923</v>
      </c>
      <c r="J47" s="85">
        <v>38729</v>
      </c>
      <c r="K47" s="85">
        <v>7007</v>
      </c>
      <c r="L47" s="85">
        <v>82695</v>
      </c>
      <c r="M47" s="85">
        <v>20215</v>
      </c>
      <c r="N47" s="85">
        <v>78544</v>
      </c>
      <c r="O47" s="85">
        <v>34307</v>
      </c>
      <c r="P47" s="85">
        <v>14893</v>
      </c>
      <c r="Q47" s="85">
        <v>11514</v>
      </c>
      <c r="R47" s="85">
        <v>396819</v>
      </c>
    </row>
    <row r="48" spans="2:18" ht="15" customHeight="1" x14ac:dyDescent="0.2">
      <c r="D48" s="76" t="s">
        <v>45</v>
      </c>
      <c r="F48" s="85">
        <v>149</v>
      </c>
      <c r="G48" s="85">
        <v>45</v>
      </c>
      <c r="H48" s="85">
        <v>0</v>
      </c>
      <c r="I48" s="85">
        <v>0</v>
      </c>
      <c r="J48" s="85">
        <v>314</v>
      </c>
      <c r="K48" s="85">
        <v>0</v>
      </c>
      <c r="L48" s="85">
        <v>0</v>
      </c>
      <c r="M48" s="85">
        <v>0</v>
      </c>
      <c r="N48" s="85">
        <v>10030</v>
      </c>
      <c r="O48" s="85">
        <v>7209</v>
      </c>
      <c r="P48" s="85">
        <v>0</v>
      </c>
      <c r="Q48" s="85">
        <v>0</v>
      </c>
      <c r="R48" s="85">
        <v>17747</v>
      </c>
    </row>
    <row r="49" spans="1:18" ht="15" customHeight="1" x14ac:dyDescent="0.2">
      <c r="E49" s="6" t="s">
        <v>68</v>
      </c>
      <c r="F49" s="85">
        <v>11684</v>
      </c>
      <c r="G49" s="85">
        <v>4451</v>
      </c>
      <c r="H49" s="85">
        <v>14806</v>
      </c>
      <c r="I49" s="85">
        <v>14401</v>
      </c>
      <c r="J49" s="85">
        <v>40523</v>
      </c>
      <c r="K49" s="85">
        <v>34513</v>
      </c>
      <c r="L49" s="85">
        <v>24178</v>
      </c>
      <c r="M49" s="85">
        <v>8238</v>
      </c>
      <c r="N49" s="85">
        <v>39603</v>
      </c>
      <c r="O49" s="85">
        <v>19309</v>
      </c>
      <c r="P49" s="85">
        <v>10873</v>
      </c>
      <c r="Q49" s="85">
        <v>9356</v>
      </c>
      <c r="R49" s="85">
        <v>231935</v>
      </c>
    </row>
    <row r="50" spans="1:18" ht="15" customHeight="1" x14ac:dyDescent="0.2">
      <c r="E50" s="22" t="s">
        <v>81</v>
      </c>
      <c r="F50" s="85">
        <v>11535</v>
      </c>
      <c r="G50" s="85">
        <v>4406</v>
      </c>
      <c r="H50" s="85">
        <v>14806</v>
      </c>
      <c r="I50" s="85">
        <v>14401</v>
      </c>
      <c r="J50" s="85">
        <v>40209</v>
      </c>
      <c r="K50" s="85">
        <v>34513</v>
      </c>
      <c r="L50" s="85">
        <v>24178</v>
      </c>
      <c r="M50" s="85">
        <v>8238</v>
      </c>
      <c r="N50" s="85">
        <v>29573</v>
      </c>
      <c r="O50" s="85">
        <v>12100</v>
      </c>
      <c r="P50" s="85">
        <v>10873</v>
      </c>
      <c r="Q50" s="85">
        <v>9356</v>
      </c>
      <c r="R50" s="85">
        <v>214188</v>
      </c>
    </row>
    <row r="51" spans="1:18" ht="15" customHeight="1" x14ac:dyDescent="0.2"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</row>
    <row r="52" spans="1:18" ht="15" customHeight="1" x14ac:dyDescent="0.25">
      <c r="B52" s="82" t="s">
        <v>47</v>
      </c>
      <c r="C52" s="82"/>
      <c r="D52" s="82"/>
      <c r="E52" s="82"/>
      <c r="F52" s="83">
        <v>1870</v>
      </c>
      <c r="G52" s="83">
        <v>66186</v>
      </c>
      <c r="H52" s="83">
        <v>5271</v>
      </c>
      <c r="I52" s="83">
        <v>12106</v>
      </c>
      <c r="J52" s="83">
        <v>575</v>
      </c>
      <c r="K52" s="83">
        <v>15805</v>
      </c>
      <c r="L52" s="83">
        <v>-10679</v>
      </c>
      <c r="M52" s="83">
        <v>-31273</v>
      </c>
      <c r="N52" s="83">
        <v>48394</v>
      </c>
      <c r="O52" s="83">
        <v>-34159</v>
      </c>
      <c r="P52" s="83">
        <v>-22263</v>
      </c>
      <c r="Q52" s="83">
        <v>-29504</v>
      </c>
      <c r="R52" s="83">
        <v>22329</v>
      </c>
    </row>
    <row r="53" spans="1:18" x14ac:dyDescent="0.2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</row>
    <row r="54" spans="1:18" x14ac:dyDescent="0.2">
      <c r="B54" s="9" t="s">
        <v>48</v>
      </c>
      <c r="C54" s="6"/>
      <c r="D54" s="6"/>
      <c r="E54" s="6"/>
      <c r="F54" s="6"/>
      <c r="G54" s="6"/>
      <c r="H54" s="6"/>
      <c r="I54" s="6"/>
      <c r="J54" s="6"/>
      <c r="K54" s="6"/>
      <c r="L54" s="84"/>
      <c r="M54" s="84"/>
      <c r="N54" s="84"/>
      <c r="O54" s="84"/>
      <c r="P54" s="84"/>
      <c r="Q54" s="84"/>
      <c r="R54" s="85"/>
    </row>
    <row r="55" spans="1:18" ht="12.75" customHeight="1" x14ac:dyDescent="0.2">
      <c r="B55" s="9"/>
      <c r="C55" s="189" t="s">
        <v>111</v>
      </c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85"/>
    </row>
    <row r="56" spans="1:18" ht="14.25" customHeight="1" x14ac:dyDescent="0.2">
      <c r="B56" s="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</row>
    <row r="57" spans="1:18" ht="18.75" customHeight="1" x14ac:dyDescent="0.2">
      <c r="B57" s="10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85"/>
    </row>
    <row r="58" spans="1:18" x14ac:dyDescent="0.2">
      <c r="B58" s="10"/>
      <c r="C58" s="6"/>
      <c r="D58" s="6"/>
      <c r="E58" s="6"/>
      <c r="F58" s="6"/>
      <c r="G58" s="6"/>
      <c r="H58" s="6"/>
      <c r="I58" s="6"/>
      <c r="J58" s="6"/>
      <c r="K58" s="6"/>
    </row>
    <row r="60" spans="1:18" x14ac:dyDescent="0.2">
      <c r="B60" s="86" t="s">
        <v>52</v>
      </c>
    </row>
    <row r="61" spans="1:18" x14ac:dyDescent="0.2">
      <c r="B61" s="86" t="s">
        <v>107</v>
      </c>
    </row>
  </sheetData>
  <mergeCells count="2">
    <mergeCell ref="B7:E7"/>
    <mergeCell ref="C55:Q57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MJ59"/>
  <sheetViews>
    <sheetView zoomScaleNormal="100" workbookViewId="0">
      <selection activeCell="R33" sqref="R33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22.42578125" style="76" customWidth="1"/>
    <col min="6" max="6" width="9.140625" style="76"/>
    <col min="7" max="8" width="8.85546875" style="76" customWidth="1"/>
    <col min="9" max="9" width="8.140625" style="76" customWidth="1"/>
    <col min="10" max="17" width="8.85546875" style="76" customWidth="1"/>
    <col min="18" max="18" width="10" style="76" customWidth="1"/>
    <col min="19" max="1024" width="9.140625" style="76"/>
  </cols>
  <sheetData>
    <row r="1" spans="1:19" ht="15" x14ac:dyDescent="0.25">
      <c r="A1" s="77" t="s">
        <v>53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132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</row>
    <row r="5" spans="1:19" x14ac:dyDescent="0.2">
      <c r="A5" s="93" t="s">
        <v>96</v>
      </c>
      <c r="B5" s="78"/>
    </row>
    <row r="6" spans="1:19" ht="6" customHeight="1" x14ac:dyDescent="0.2"/>
    <row r="7" spans="1:19" ht="21" customHeight="1" x14ac:dyDescent="0.2">
      <c r="A7" s="114"/>
      <c r="B7" s="184" t="s">
        <v>3</v>
      </c>
      <c r="C7" s="184"/>
      <c r="D7" s="184"/>
      <c r="E7" s="184"/>
      <c r="F7" s="106" t="s">
        <v>116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65</v>
      </c>
      <c r="O7" s="2" t="s">
        <v>13</v>
      </c>
      <c r="P7" s="2" t="s">
        <v>56</v>
      </c>
      <c r="Q7" s="2" t="s">
        <v>57</v>
      </c>
      <c r="R7" s="81" t="s">
        <v>14</v>
      </c>
    </row>
    <row r="8" spans="1:19" ht="15" customHeight="1" x14ac:dyDescent="0.2">
      <c r="O8" s="85"/>
    </row>
    <row r="9" spans="1:19" ht="15" customHeight="1" x14ac:dyDescent="0.25">
      <c r="B9" s="82" t="s">
        <v>15</v>
      </c>
      <c r="C9" s="82"/>
      <c r="D9" s="82"/>
      <c r="E9" s="82"/>
      <c r="F9" s="83">
        <f t="shared" ref="F9:R9" si="0">SUM(F10+F20+F28)</f>
        <v>53132</v>
      </c>
      <c r="G9" s="83">
        <f t="shared" si="0"/>
        <v>44612</v>
      </c>
      <c r="H9" s="83">
        <f t="shared" si="0"/>
        <v>54866</v>
      </c>
      <c r="I9" s="83">
        <f t="shared" si="0"/>
        <v>75853</v>
      </c>
      <c r="J9" s="83">
        <f t="shared" si="0"/>
        <v>60332</v>
      </c>
      <c r="K9" s="83">
        <f t="shared" si="0"/>
        <v>54497</v>
      </c>
      <c r="L9" s="83">
        <f t="shared" si="0"/>
        <v>59344</v>
      </c>
      <c r="M9" s="83">
        <f t="shared" si="0"/>
        <v>59757</v>
      </c>
      <c r="N9" s="83">
        <f t="shared" si="0"/>
        <v>54002</v>
      </c>
      <c r="O9" s="83">
        <f t="shared" si="0"/>
        <v>60576</v>
      </c>
      <c r="P9" s="83">
        <f t="shared" si="0"/>
        <v>60521</v>
      </c>
      <c r="Q9" s="83">
        <f t="shared" si="0"/>
        <v>62276</v>
      </c>
      <c r="R9" s="83">
        <f t="shared" si="0"/>
        <v>699768</v>
      </c>
    </row>
    <row r="10" spans="1:19" ht="15" customHeight="1" x14ac:dyDescent="0.2">
      <c r="C10" s="76" t="s">
        <v>16</v>
      </c>
      <c r="F10" s="84">
        <f t="shared" ref="F10:R10" si="1">SUM(F11+F15+F18)</f>
        <v>46705</v>
      </c>
      <c r="G10" s="84">
        <f t="shared" si="1"/>
        <v>38086</v>
      </c>
      <c r="H10" s="84">
        <f t="shared" si="1"/>
        <v>45365</v>
      </c>
      <c r="I10" s="84">
        <f t="shared" si="1"/>
        <v>64308</v>
      </c>
      <c r="J10" s="84">
        <f t="shared" si="1"/>
        <v>52328</v>
      </c>
      <c r="K10" s="84">
        <f t="shared" si="1"/>
        <v>47135</v>
      </c>
      <c r="L10" s="84">
        <f t="shared" si="1"/>
        <v>50013</v>
      </c>
      <c r="M10" s="84">
        <f t="shared" si="1"/>
        <v>53941</v>
      </c>
      <c r="N10" s="84">
        <f t="shared" si="1"/>
        <v>44028</v>
      </c>
      <c r="O10" s="84">
        <f t="shared" si="1"/>
        <v>50514</v>
      </c>
      <c r="P10" s="84">
        <f t="shared" si="1"/>
        <v>54439</v>
      </c>
      <c r="Q10" s="84">
        <f t="shared" si="1"/>
        <v>51152</v>
      </c>
      <c r="R10" s="84">
        <f t="shared" si="1"/>
        <v>598014</v>
      </c>
    </row>
    <row r="11" spans="1:19" ht="15" customHeight="1" x14ac:dyDescent="0.2">
      <c r="D11" s="76" t="s">
        <v>17</v>
      </c>
      <c r="F11" s="85">
        <v>36537</v>
      </c>
      <c r="G11" s="85">
        <v>28833</v>
      </c>
      <c r="H11" s="85">
        <v>33604</v>
      </c>
      <c r="I11" s="85">
        <v>53017</v>
      </c>
      <c r="J11" s="85">
        <v>41259</v>
      </c>
      <c r="K11" s="85">
        <v>35942</v>
      </c>
      <c r="L11" s="85">
        <v>38891</v>
      </c>
      <c r="M11" s="85">
        <v>43128</v>
      </c>
      <c r="N11" s="85">
        <v>32637</v>
      </c>
      <c r="O11" s="85">
        <v>39307</v>
      </c>
      <c r="P11" s="85">
        <v>43951</v>
      </c>
      <c r="Q11" s="85">
        <v>41071</v>
      </c>
      <c r="R11" s="85">
        <f>SUM(F11:Q11)</f>
        <v>468177</v>
      </c>
    </row>
    <row r="12" spans="1:19" ht="15" customHeight="1" x14ac:dyDescent="0.2">
      <c r="E12" s="86" t="s">
        <v>18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</row>
    <row r="13" spans="1:19" ht="15" customHeight="1" x14ac:dyDescent="0.2">
      <c r="E13" s="76" t="s">
        <v>19</v>
      </c>
      <c r="F13" s="85">
        <v>0</v>
      </c>
      <c r="G13" s="85">
        <v>0</v>
      </c>
      <c r="H13" s="85">
        <v>302</v>
      </c>
      <c r="I13" s="85">
        <v>248</v>
      </c>
      <c r="J13" s="85">
        <v>177</v>
      </c>
      <c r="K13" s="85">
        <v>145</v>
      </c>
      <c r="L13" s="85">
        <v>157</v>
      </c>
      <c r="M13" s="85">
        <v>231</v>
      </c>
      <c r="N13" s="85">
        <v>132</v>
      </c>
      <c r="O13" s="85">
        <v>292</v>
      </c>
      <c r="P13" s="85">
        <v>180</v>
      </c>
      <c r="Q13" s="85">
        <v>288</v>
      </c>
      <c r="R13" s="85">
        <f>SUM(F13:Q13)</f>
        <v>2152</v>
      </c>
    </row>
    <row r="14" spans="1:19" ht="15" customHeight="1" x14ac:dyDescent="0.2">
      <c r="E14" s="76" t="s">
        <v>20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0</v>
      </c>
      <c r="R14" s="85">
        <f>SUM(F14:Q14)</f>
        <v>0</v>
      </c>
      <c r="S14" s="85"/>
    </row>
    <row r="15" spans="1:19" ht="15" customHeight="1" x14ac:dyDescent="0.2">
      <c r="D15" s="76" t="s">
        <v>21</v>
      </c>
      <c r="F15" s="85">
        <v>9581</v>
      </c>
      <c r="G15" s="85">
        <v>8634</v>
      </c>
      <c r="H15" s="85">
        <v>10980</v>
      </c>
      <c r="I15" s="85">
        <v>10576</v>
      </c>
      <c r="J15" s="85">
        <v>10373</v>
      </c>
      <c r="K15" s="85">
        <v>10424</v>
      </c>
      <c r="L15" s="85">
        <v>10430</v>
      </c>
      <c r="M15" s="85">
        <v>10081</v>
      </c>
      <c r="N15" s="85">
        <v>10697</v>
      </c>
      <c r="O15" s="85">
        <v>10544</v>
      </c>
      <c r="P15" s="85">
        <v>10233</v>
      </c>
      <c r="Q15" s="85">
        <v>9918</v>
      </c>
      <c r="R15" s="85">
        <f>SUM(F15:Q15)</f>
        <v>122471</v>
      </c>
    </row>
    <row r="16" spans="1:19" ht="15" customHeight="1" x14ac:dyDescent="0.2">
      <c r="E16" s="86" t="s">
        <v>18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2:20" ht="15" customHeight="1" x14ac:dyDescent="0.2">
      <c r="E17" s="76" t="s">
        <v>20</v>
      </c>
      <c r="F17" s="85">
        <v>0</v>
      </c>
      <c r="G17" s="85">
        <v>0</v>
      </c>
      <c r="H17" s="85">
        <v>0</v>
      </c>
      <c r="I17" s="85">
        <v>352</v>
      </c>
      <c r="J17" s="85">
        <v>121</v>
      </c>
      <c r="K17" s="85">
        <v>0</v>
      </c>
      <c r="L17" s="85">
        <v>42</v>
      </c>
      <c r="M17" s="85">
        <v>0</v>
      </c>
      <c r="N17" s="85">
        <v>1750</v>
      </c>
      <c r="O17" s="85">
        <v>70</v>
      </c>
      <c r="P17" s="85">
        <v>97</v>
      </c>
      <c r="Q17" s="85">
        <v>2366</v>
      </c>
      <c r="R17" s="85">
        <f>SUM(F17:Q17)</f>
        <v>4798</v>
      </c>
    </row>
    <row r="18" spans="2:20" ht="15" customHeight="1" x14ac:dyDescent="0.2">
      <c r="D18" s="76" t="s">
        <v>106</v>
      </c>
      <c r="F18" s="85">
        <v>587</v>
      </c>
      <c r="G18" s="85">
        <v>619</v>
      </c>
      <c r="H18" s="85">
        <v>781</v>
      </c>
      <c r="I18" s="85">
        <v>715</v>
      </c>
      <c r="J18" s="85">
        <v>696</v>
      </c>
      <c r="K18" s="85">
        <v>769</v>
      </c>
      <c r="L18" s="85">
        <v>692</v>
      </c>
      <c r="M18" s="85">
        <v>732</v>
      </c>
      <c r="N18" s="85">
        <v>694</v>
      </c>
      <c r="O18" s="85">
        <v>663</v>
      </c>
      <c r="P18" s="85">
        <v>255</v>
      </c>
      <c r="Q18" s="85">
        <v>163</v>
      </c>
      <c r="R18" s="85">
        <f>SUM(F18:Q18)</f>
        <v>7366</v>
      </c>
    </row>
    <row r="19" spans="2:20" ht="15" customHeight="1" x14ac:dyDescent="0.2"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T19" s="76" t="s">
        <v>58</v>
      </c>
    </row>
    <row r="20" spans="2:20" ht="15" customHeight="1" x14ac:dyDescent="0.2">
      <c r="C20" s="76" t="s">
        <v>23</v>
      </c>
      <c r="F20" s="84">
        <f t="shared" ref="F20:R20" si="2">SUM(F21:F26)</f>
        <v>6419</v>
      </c>
      <c r="G20" s="84">
        <f t="shared" si="2"/>
        <v>6521</v>
      </c>
      <c r="H20" s="84">
        <f t="shared" si="2"/>
        <v>9500</v>
      </c>
      <c r="I20" s="84">
        <f t="shared" si="2"/>
        <v>11541</v>
      </c>
      <c r="J20" s="84">
        <f t="shared" si="2"/>
        <v>8003</v>
      </c>
      <c r="K20" s="84">
        <f t="shared" si="2"/>
        <v>7356</v>
      </c>
      <c r="L20" s="84">
        <f t="shared" si="2"/>
        <v>9329.0000000000018</v>
      </c>
      <c r="M20" s="84">
        <f t="shared" si="2"/>
        <v>5808</v>
      </c>
      <c r="N20" s="84">
        <f t="shared" si="2"/>
        <v>9943</v>
      </c>
      <c r="O20" s="84">
        <f t="shared" si="2"/>
        <v>10060</v>
      </c>
      <c r="P20" s="84">
        <f t="shared" si="2"/>
        <v>6078</v>
      </c>
      <c r="Q20" s="84">
        <f t="shared" si="2"/>
        <v>11122</v>
      </c>
      <c r="R20" s="84">
        <f t="shared" si="2"/>
        <v>101680</v>
      </c>
    </row>
    <row r="21" spans="2:20" ht="15" customHeight="1" x14ac:dyDescent="0.2">
      <c r="D21" s="76" t="s">
        <v>24</v>
      </c>
      <c r="F21" s="85">
        <v>4057</v>
      </c>
      <c r="G21" s="85">
        <v>4418</v>
      </c>
      <c r="H21" s="85">
        <v>7657</v>
      </c>
      <c r="I21" s="85">
        <v>4721</v>
      </c>
      <c r="J21" s="85">
        <v>3962</v>
      </c>
      <c r="K21" s="85">
        <v>4441</v>
      </c>
      <c r="L21" s="85">
        <v>6571</v>
      </c>
      <c r="M21" s="85">
        <v>3288</v>
      </c>
      <c r="N21" s="85">
        <v>6560</v>
      </c>
      <c r="O21" s="85">
        <v>6155</v>
      </c>
      <c r="P21" s="85">
        <v>4210</v>
      </c>
      <c r="Q21" s="85">
        <v>8650</v>
      </c>
      <c r="R21" s="85">
        <f t="shared" ref="R21:R26" si="3">SUM(F21:Q21)</f>
        <v>64690</v>
      </c>
    </row>
    <row r="22" spans="2:20" ht="15" customHeight="1" x14ac:dyDescent="0.2">
      <c r="D22" s="76" t="s">
        <v>113</v>
      </c>
      <c r="F22" s="85">
        <v>1595</v>
      </c>
      <c r="G22" s="85">
        <v>1590</v>
      </c>
      <c r="H22" s="85">
        <v>1642</v>
      </c>
      <c r="I22" s="85">
        <v>1489</v>
      </c>
      <c r="J22" s="85">
        <v>1414</v>
      </c>
      <c r="K22" s="85">
        <v>1486</v>
      </c>
      <c r="L22" s="85">
        <v>1478</v>
      </c>
      <c r="M22" s="85">
        <v>1361</v>
      </c>
      <c r="N22" s="85">
        <v>1789</v>
      </c>
      <c r="O22" s="85">
        <v>2223</v>
      </c>
      <c r="P22" s="85">
        <v>1266</v>
      </c>
      <c r="Q22" s="85">
        <v>2241</v>
      </c>
      <c r="R22" s="85">
        <f t="shared" si="3"/>
        <v>19574</v>
      </c>
      <c r="S22" s="85"/>
    </row>
    <row r="23" spans="2:20" ht="15" customHeight="1" x14ac:dyDescent="0.2">
      <c r="D23" s="76" t="s">
        <v>27</v>
      </c>
      <c r="F23" s="85">
        <v>258.42200000000003</v>
      </c>
      <c r="G23" s="85">
        <v>86.605999999999995</v>
      </c>
      <c r="H23" s="85">
        <v>129.1</v>
      </c>
      <c r="I23" s="85">
        <v>127.545</v>
      </c>
      <c r="J23" s="85">
        <v>138.655</v>
      </c>
      <c r="K23" s="85">
        <v>274.96100000000001</v>
      </c>
      <c r="L23" s="85">
        <v>101.506</v>
      </c>
      <c r="M23" s="85">
        <v>135.798</v>
      </c>
      <c r="N23" s="85">
        <v>0</v>
      </c>
      <c r="O23" s="85">
        <v>46.167999999999999</v>
      </c>
      <c r="P23" s="85">
        <v>176.178</v>
      </c>
      <c r="Q23" s="85">
        <v>106.521</v>
      </c>
      <c r="R23" s="85">
        <f t="shared" si="3"/>
        <v>1581.4599999999998</v>
      </c>
    </row>
    <row r="24" spans="2:20" ht="15" customHeight="1" x14ac:dyDescent="0.2">
      <c r="D24" s="76" t="s">
        <v>26</v>
      </c>
      <c r="F24" s="85">
        <v>9</v>
      </c>
      <c r="G24" s="85">
        <v>19</v>
      </c>
      <c r="H24" s="85">
        <v>0</v>
      </c>
      <c r="I24" s="85">
        <v>31</v>
      </c>
      <c r="J24" s="85">
        <v>58</v>
      </c>
      <c r="K24" s="85">
        <v>162</v>
      </c>
      <c r="L24" s="85">
        <v>0</v>
      </c>
      <c r="M24" s="85">
        <v>0</v>
      </c>
      <c r="N24" s="85">
        <v>15</v>
      </c>
      <c r="O24" s="85">
        <v>45</v>
      </c>
      <c r="P24" s="85">
        <v>0</v>
      </c>
      <c r="Q24" s="85">
        <v>81</v>
      </c>
      <c r="R24" s="85">
        <f t="shared" si="3"/>
        <v>420</v>
      </c>
    </row>
    <row r="25" spans="2:20" ht="15" customHeight="1" x14ac:dyDescent="0.2">
      <c r="D25" s="76" t="s">
        <v>109</v>
      </c>
      <c r="F25" s="85">
        <v>0</v>
      </c>
      <c r="G25" s="85">
        <v>0</v>
      </c>
      <c r="H25" s="85">
        <v>0</v>
      </c>
      <c r="I25" s="85">
        <v>4911</v>
      </c>
      <c r="J25" s="85">
        <v>1085</v>
      </c>
      <c r="K25" s="85">
        <v>1120</v>
      </c>
      <c r="L25" s="85">
        <v>1016</v>
      </c>
      <c r="M25" s="85">
        <v>0</v>
      </c>
      <c r="N25" s="85">
        <v>0</v>
      </c>
      <c r="O25" s="85">
        <v>722</v>
      </c>
      <c r="P25" s="85">
        <v>0</v>
      </c>
      <c r="Q25" s="85">
        <v>0</v>
      </c>
      <c r="R25" s="85">
        <f t="shared" si="3"/>
        <v>8854</v>
      </c>
    </row>
    <row r="26" spans="2:20" ht="15" customHeight="1" x14ac:dyDescent="0.2">
      <c r="D26" s="76" t="s">
        <v>106</v>
      </c>
      <c r="F26" s="85">
        <f>2353-F22-F23-F25</f>
        <v>499.57799999999997</v>
      </c>
      <c r="G26" s="85">
        <f>2084-G22-G23-G25</f>
        <v>407.39400000000001</v>
      </c>
      <c r="H26" s="85">
        <f>1843-H22-H23-H25</f>
        <v>71.900000000000006</v>
      </c>
      <c r="I26" s="85">
        <f>6789-I25-I23-I22</f>
        <v>261.45499999999993</v>
      </c>
      <c r="J26" s="85">
        <f>3983-J25-J23-J22</f>
        <v>1345.3449999999998</v>
      </c>
      <c r="K26" s="85">
        <f>2753-K25-K23-K22</f>
        <v>-127.96100000000001</v>
      </c>
      <c r="L26" s="85">
        <f>2758-L25-L23-L22</f>
        <v>162.49399999999991</v>
      </c>
      <c r="M26" s="85">
        <f>2520-M25-M23-M22</f>
        <v>1023.2020000000002</v>
      </c>
      <c r="N26" s="85">
        <f>3368-N25-N23-N22</f>
        <v>1579</v>
      </c>
      <c r="O26" s="85">
        <f>3860-O25-O23-O22</f>
        <v>868.83199999999988</v>
      </c>
      <c r="P26" s="85">
        <f>1868-P25-P23-P22</f>
        <v>425.82200000000012</v>
      </c>
      <c r="Q26" s="85">
        <f>2391-Q25-Q23-Q22</f>
        <v>43.478999999999814</v>
      </c>
      <c r="R26" s="85">
        <f t="shared" si="3"/>
        <v>6560.5399999999991</v>
      </c>
    </row>
    <row r="27" spans="2:20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0" ht="15" customHeight="1" x14ac:dyDescent="0.2">
      <c r="C28" s="76" t="s">
        <v>29</v>
      </c>
      <c r="F28" s="85">
        <v>8</v>
      </c>
      <c r="G28" s="85">
        <v>5</v>
      </c>
      <c r="H28" s="85">
        <v>1</v>
      </c>
      <c r="I28" s="85">
        <v>4</v>
      </c>
      <c r="J28" s="85">
        <v>1</v>
      </c>
      <c r="K28" s="85">
        <v>6</v>
      </c>
      <c r="L28" s="85">
        <v>2</v>
      </c>
      <c r="M28" s="85">
        <v>8</v>
      </c>
      <c r="N28" s="85">
        <v>31</v>
      </c>
      <c r="O28" s="85">
        <v>2</v>
      </c>
      <c r="P28" s="85">
        <v>4</v>
      </c>
      <c r="Q28" s="85">
        <v>2</v>
      </c>
      <c r="R28" s="85">
        <v>74</v>
      </c>
    </row>
    <row r="29" spans="2:20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0" ht="15" customHeight="1" x14ac:dyDescent="0.25">
      <c r="B30" s="82" t="s">
        <v>30</v>
      </c>
      <c r="C30" s="82"/>
      <c r="D30" s="82"/>
      <c r="E30" s="82"/>
      <c r="F30" s="88">
        <f t="shared" ref="F30:Q30" si="4">SUM(F32:F38)</f>
        <v>69249</v>
      </c>
      <c r="G30" s="88">
        <f t="shared" si="4"/>
        <v>63062</v>
      </c>
      <c r="H30" s="88">
        <f t="shared" si="4"/>
        <v>77146</v>
      </c>
      <c r="I30" s="88">
        <f t="shared" si="4"/>
        <v>83677</v>
      </c>
      <c r="J30" s="88">
        <f t="shared" si="4"/>
        <v>73014</v>
      </c>
      <c r="K30" s="88">
        <f t="shared" si="4"/>
        <v>57264</v>
      </c>
      <c r="L30" s="88">
        <f t="shared" si="4"/>
        <v>78636</v>
      </c>
      <c r="M30" s="88">
        <f t="shared" si="4"/>
        <v>71427</v>
      </c>
      <c r="N30" s="88">
        <f t="shared" si="4"/>
        <v>84827</v>
      </c>
      <c r="O30" s="88">
        <f t="shared" si="4"/>
        <v>66395</v>
      </c>
      <c r="P30" s="88">
        <f t="shared" si="4"/>
        <v>73015</v>
      </c>
      <c r="Q30" s="88">
        <f t="shared" si="4"/>
        <v>89113</v>
      </c>
      <c r="R30" s="83">
        <f>SUM(F30:Q30)</f>
        <v>886825</v>
      </c>
    </row>
    <row r="31" spans="2:20" ht="15" customHeight="1" x14ac:dyDescent="0.2"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  <row r="32" spans="2:20" ht="15" customHeight="1" x14ac:dyDescent="0.2">
      <c r="D32" s="76" t="s">
        <v>31</v>
      </c>
      <c r="F32" s="85">
        <v>11892</v>
      </c>
      <c r="G32" s="85">
        <v>12618</v>
      </c>
      <c r="H32" s="85">
        <v>12782</v>
      </c>
      <c r="I32" s="85">
        <v>13330</v>
      </c>
      <c r="J32" s="85">
        <v>12334</v>
      </c>
      <c r="K32" s="85">
        <v>12239</v>
      </c>
      <c r="L32" s="85">
        <v>11829</v>
      </c>
      <c r="M32" s="85">
        <v>11926</v>
      </c>
      <c r="N32" s="85">
        <v>11865</v>
      </c>
      <c r="O32" s="85">
        <v>11789</v>
      </c>
      <c r="P32" s="85">
        <v>12025</v>
      </c>
      <c r="Q32" s="85">
        <v>12895</v>
      </c>
      <c r="R32" s="85">
        <f t="shared" ref="R32:R38" si="5">SUM(F32:Q32)</f>
        <v>147524</v>
      </c>
    </row>
    <row r="33" spans="2:18" ht="15" customHeight="1" x14ac:dyDescent="0.2">
      <c r="D33" s="76" t="s">
        <v>32</v>
      </c>
      <c r="F33" s="85">
        <v>22953</v>
      </c>
      <c r="G33" s="85">
        <v>17823</v>
      </c>
      <c r="H33" s="85">
        <v>26039</v>
      </c>
      <c r="I33" s="85">
        <v>25965</v>
      </c>
      <c r="J33" s="85">
        <v>16258</v>
      </c>
      <c r="K33" s="85">
        <v>11972</v>
      </c>
      <c r="L33" s="85">
        <v>28495</v>
      </c>
      <c r="M33" s="85">
        <v>19463</v>
      </c>
      <c r="N33" s="85">
        <v>30067</v>
      </c>
      <c r="O33" s="85">
        <v>27640</v>
      </c>
      <c r="P33" s="85">
        <v>18488</v>
      </c>
      <c r="Q33" s="85">
        <v>15738</v>
      </c>
      <c r="R33" s="85">
        <f t="shared" si="5"/>
        <v>260901</v>
      </c>
    </row>
    <row r="34" spans="2:18" ht="15" customHeight="1" x14ac:dyDescent="0.2">
      <c r="D34" s="76" t="s">
        <v>33</v>
      </c>
      <c r="F34" s="85">
        <v>0</v>
      </c>
      <c r="G34" s="85">
        <v>0</v>
      </c>
      <c r="H34" s="85">
        <v>302</v>
      </c>
      <c r="I34" s="85">
        <v>600</v>
      </c>
      <c r="J34" s="85">
        <v>298</v>
      </c>
      <c r="K34" s="85">
        <v>145</v>
      </c>
      <c r="L34" s="85">
        <v>199</v>
      </c>
      <c r="M34" s="85">
        <v>231</v>
      </c>
      <c r="N34" s="85">
        <v>1882</v>
      </c>
      <c r="O34" s="85">
        <v>362</v>
      </c>
      <c r="P34" s="85">
        <v>277</v>
      </c>
      <c r="Q34" s="85">
        <v>2654</v>
      </c>
      <c r="R34" s="85">
        <f t="shared" si="5"/>
        <v>6950</v>
      </c>
    </row>
    <row r="35" spans="2:18" ht="15" customHeight="1" x14ac:dyDescent="0.2">
      <c r="D35" s="76" t="s">
        <v>78</v>
      </c>
      <c r="F35" s="85">
        <v>197</v>
      </c>
      <c r="G35" s="85">
        <v>340</v>
      </c>
      <c r="H35" s="85">
        <v>888</v>
      </c>
      <c r="I35" s="85">
        <v>3706</v>
      </c>
      <c r="J35" s="85">
        <v>287</v>
      </c>
      <c r="K35" s="85">
        <v>141</v>
      </c>
      <c r="L35" s="85">
        <v>953</v>
      </c>
      <c r="M35" s="85">
        <v>52</v>
      </c>
      <c r="N35" s="85">
        <v>391</v>
      </c>
      <c r="O35" s="85">
        <v>464</v>
      </c>
      <c r="P35" s="85">
        <v>192</v>
      </c>
      <c r="Q35" s="85">
        <v>6631</v>
      </c>
      <c r="R35" s="85">
        <f t="shared" si="5"/>
        <v>14242</v>
      </c>
    </row>
    <row r="36" spans="2:18" ht="15" customHeight="1" x14ac:dyDescent="0.2">
      <c r="D36" s="76" t="s">
        <v>35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>
        <v>8</v>
      </c>
      <c r="L36" s="85">
        <v>0</v>
      </c>
      <c r="M36" s="85">
        <v>21</v>
      </c>
      <c r="N36" s="85">
        <v>0</v>
      </c>
      <c r="O36" s="85">
        <v>0</v>
      </c>
      <c r="P36" s="85">
        <v>9</v>
      </c>
      <c r="Q36" s="85">
        <v>6</v>
      </c>
      <c r="R36" s="85">
        <f t="shared" si="5"/>
        <v>44</v>
      </c>
    </row>
    <row r="37" spans="2:18" ht="15" customHeight="1" x14ac:dyDescent="0.2">
      <c r="D37" s="76" t="s">
        <v>79</v>
      </c>
      <c r="F37" s="85">
        <v>4150</v>
      </c>
      <c r="G37" s="85">
        <v>827</v>
      </c>
      <c r="H37" s="85">
        <v>-452</v>
      </c>
      <c r="I37" s="85">
        <v>-635</v>
      </c>
      <c r="J37" s="85">
        <v>-3627</v>
      </c>
      <c r="K37" s="85">
        <v>454</v>
      </c>
      <c r="L37" s="85">
        <v>729</v>
      </c>
      <c r="M37" s="85">
        <v>955</v>
      </c>
      <c r="N37" s="85">
        <v>6394</v>
      </c>
      <c r="O37" s="85">
        <v>-5330</v>
      </c>
      <c r="P37" s="85">
        <v>760</v>
      </c>
      <c r="Q37" s="85">
        <v>1451</v>
      </c>
      <c r="R37" s="85">
        <f t="shared" si="5"/>
        <v>5676</v>
      </c>
    </row>
    <row r="38" spans="2:18" ht="15" customHeight="1" x14ac:dyDescent="0.2">
      <c r="D38" s="6" t="s">
        <v>80</v>
      </c>
      <c r="F38" s="85">
        <v>30057</v>
      </c>
      <c r="G38" s="85">
        <v>31454</v>
      </c>
      <c r="H38" s="85">
        <v>37587</v>
      </c>
      <c r="I38" s="85">
        <v>40711</v>
      </c>
      <c r="J38" s="85">
        <v>47464</v>
      </c>
      <c r="K38" s="85">
        <v>32305</v>
      </c>
      <c r="L38" s="85">
        <v>36431</v>
      </c>
      <c r="M38" s="85">
        <v>38779</v>
      </c>
      <c r="N38" s="85">
        <v>34228</v>
      </c>
      <c r="O38" s="85">
        <v>31470</v>
      </c>
      <c r="P38" s="85">
        <v>41264</v>
      </c>
      <c r="Q38" s="85">
        <v>49738</v>
      </c>
      <c r="R38" s="85">
        <f t="shared" si="5"/>
        <v>451488</v>
      </c>
    </row>
    <row r="39" spans="2:18" ht="15" customHeight="1" x14ac:dyDescent="0.2"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5"/>
    </row>
    <row r="40" spans="2:18" ht="15" customHeight="1" x14ac:dyDescent="0.25">
      <c r="B40" s="82" t="s">
        <v>38</v>
      </c>
      <c r="C40" s="82"/>
      <c r="D40" s="82"/>
      <c r="E40" s="82"/>
      <c r="F40" s="88">
        <f t="shared" ref="F40:Q40" si="6">+F9-F30</f>
        <v>-16117</v>
      </c>
      <c r="G40" s="88">
        <f t="shared" si="6"/>
        <v>-18450</v>
      </c>
      <c r="H40" s="88">
        <f t="shared" si="6"/>
        <v>-22280</v>
      </c>
      <c r="I40" s="88">
        <f t="shared" si="6"/>
        <v>-7824</v>
      </c>
      <c r="J40" s="88">
        <f t="shared" si="6"/>
        <v>-12682</v>
      </c>
      <c r="K40" s="88">
        <f t="shared" si="6"/>
        <v>-2767</v>
      </c>
      <c r="L40" s="88">
        <f t="shared" si="6"/>
        <v>-19292</v>
      </c>
      <c r="M40" s="88">
        <f t="shared" si="6"/>
        <v>-11670</v>
      </c>
      <c r="N40" s="88">
        <f t="shared" si="6"/>
        <v>-30825</v>
      </c>
      <c r="O40" s="88">
        <f t="shared" si="6"/>
        <v>-5819</v>
      </c>
      <c r="P40" s="88">
        <f t="shared" si="6"/>
        <v>-12494</v>
      </c>
      <c r="Q40" s="88">
        <f t="shared" si="6"/>
        <v>-26837</v>
      </c>
      <c r="R40" s="88">
        <f>SUM(F40:Q40)</f>
        <v>-187057</v>
      </c>
    </row>
    <row r="41" spans="2:18" ht="15" customHeight="1" x14ac:dyDescent="0.2"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</row>
    <row r="42" spans="2:18" ht="15" customHeight="1" x14ac:dyDescent="0.25">
      <c r="B42" s="82" t="s">
        <v>39</v>
      </c>
      <c r="C42" s="82"/>
      <c r="D42" s="82"/>
      <c r="E42" s="82"/>
      <c r="F42" s="83">
        <v>16299</v>
      </c>
      <c r="G42" s="83">
        <v>7440</v>
      </c>
      <c r="H42" s="83">
        <v>21380</v>
      </c>
      <c r="I42" s="83">
        <v>33871</v>
      </c>
      <c r="J42" s="83">
        <v>23029</v>
      </c>
      <c r="K42" s="83">
        <v>-22916</v>
      </c>
      <c r="L42" s="83">
        <v>61083</v>
      </c>
      <c r="M42" s="83">
        <v>14127</v>
      </c>
      <c r="N42" s="83">
        <v>74409</v>
      </c>
      <c r="O42" s="83">
        <v>-8189</v>
      </c>
      <c r="P42" s="83">
        <v>18553</v>
      </c>
      <c r="Q42" s="83">
        <v>3456</v>
      </c>
      <c r="R42" s="83">
        <v>242542</v>
      </c>
    </row>
    <row r="43" spans="2:18" ht="15" customHeight="1" x14ac:dyDescent="0.2">
      <c r="C43" s="76" t="s">
        <v>40</v>
      </c>
      <c r="F43" s="84">
        <v>-10219</v>
      </c>
      <c r="G43" s="84">
        <v>-2136</v>
      </c>
      <c r="H43" s="84">
        <v>13227</v>
      </c>
      <c r="I43" s="84">
        <v>15586</v>
      </c>
      <c r="J43" s="84">
        <v>20002</v>
      </c>
      <c r="K43" s="84">
        <v>-15633</v>
      </c>
      <c r="L43" s="84">
        <v>12825</v>
      </c>
      <c r="M43" s="84">
        <v>18749</v>
      </c>
      <c r="N43" s="84">
        <v>32601</v>
      </c>
      <c r="O43" s="84">
        <v>-1330</v>
      </c>
      <c r="P43" s="84">
        <v>-4645</v>
      </c>
      <c r="Q43" s="84">
        <v>2140</v>
      </c>
      <c r="R43" s="84">
        <v>81167</v>
      </c>
    </row>
    <row r="44" spans="2:18" ht="15" customHeight="1" x14ac:dyDescent="0.2">
      <c r="D44" s="76" t="s">
        <v>41</v>
      </c>
      <c r="F44" s="85">
        <v>758</v>
      </c>
      <c r="G44" s="85">
        <v>5963</v>
      </c>
      <c r="H44" s="85">
        <v>32096</v>
      </c>
      <c r="I44" s="85">
        <v>18050</v>
      </c>
      <c r="J44" s="85">
        <v>25673</v>
      </c>
      <c r="K44" s="85">
        <v>744</v>
      </c>
      <c r="L44" s="85">
        <v>18462</v>
      </c>
      <c r="M44" s="85">
        <v>25629</v>
      </c>
      <c r="N44" s="85">
        <v>60371</v>
      </c>
      <c r="O44" s="85">
        <v>2002</v>
      </c>
      <c r="P44" s="85">
        <v>1280</v>
      </c>
      <c r="Q44" s="85">
        <v>8505</v>
      </c>
      <c r="R44" s="85">
        <v>199533</v>
      </c>
    </row>
    <row r="45" spans="2:18" ht="15" customHeight="1" x14ac:dyDescent="0.2">
      <c r="D45" s="76" t="s">
        <v>98</v>
      </c>
      <c r="F45" s="85">
        <v>10977</v>
      </c>
      <c r="G45" s="85">
        <v>8099</v>
      </c>
      <c r="H45" s="85">
        <v>18869</v>
      </c>
      <c r="I45" s="85">
        <v>2464</v>
      </c>
      <c r="J45" s="85">
        <v>5671</v>
      </c>
      <c r="K45" s="85">
        <v>16377</v>
      </c>
      <c r="L45" s="85">
        <v>5637</v>
      </c>
      <c r="M45" s="85">
        <v>6880</v>
      </c>
      <c r="N45" s="85">
        <v>27770</v>
      </c>
      <c r="O45" s="85">
        <v>3332</v>
      </c>
      <c r="P45" s="85">
        <v>5925</v>
      </c>
      <c r="Q45" s="85">
        <v>6365</v>
      </c>
      <c r="R45" s="85">
        <v>118366</v>
      </c>
    </row>
    <row r="46" spans="2:18" ht="15" customHeight="1" x14ac:dyDescent="0.2"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</row>
    <row r="47" spans="2:18" ht="15" customHeight="1" x14ac:dyDescent="0.2">
      <c r="C47" s="76" t="s">
        <v>43</v>
      </c>
      <c r="F47" s="84">
        <v>26518</v>
      </c>
      <c r="G47" s="84">
        <v>9576</v>
      </c>
      <c r="H47" s="84">
        <v>8153</v>
      </c>
      <c r="I47" s="84">
        <v>18285</v>
      </c>
      <c r="J47" s="84">
        <v>3027</v>
      </c>
      <c r="K47" s="84">
        <v>-7283</v>
      </c>
      <c r="L47" s="84">
        <v>48258</v>
      </c>
      <c r="M47" s="84">
        <v>-4622</v>
      </c>
      <c r="N47" s="84">
        <v>41808</v>
      </c>
      <c r="O47" s="84">
        <v>-6859</v>
      </c>
      <c r="P47" s="84">
        <v>23198</v>
      </c>
      <c r="Q47" s="84">
        <v>1316</v>
      </c>
      <c r="R47" s="84">
        <v>161375</v>
      </c>
    </row>
    <row r="48" spans="2:18" ht="15" customHeight="1" x14ac:dyDescent="0.2">
      <c r="D48" s="76" t="s">
        <v>44</v>
      </c>
      <c r="F48" s="85">
        <v>36013</v>
      </c>
      <c r="G48" s="85">
        <v>16191</v>
      </c>
      <c r="H48" s="85">
        <v>21672</v>
      </c>
      <c r="I48" s="85">
        <v>35571</v>
      </c>
      <c r="J48" s="85">
        <v>24382</v>
      </c>
      <c r="K48" s="85">
        <v>10954</v>
      </c>
      <c r="L48" s="85">
        <v>91370</v>
      </c>
      <c r="M48" s="85">
        <v>7182</v>
      </c>
      <c r="N48" s="85">
        <v>60264</v>
      </c>
      <c r="O48" s="85">
        <v>17986</v>
      </c>
      <c r="P48" s="85">
        <v>36858</v>
      </c>
      <c r="Q48" s="85">
        <v>25337</v>
      </c>
      <c r="R48" s="85">
        <v>383780</v>
      </c>
    </row>
    <row r="49" spans="1:18" ht="15" customHeight="1" x14ac:dyDescent="0.2">
      <c r="D49" s="76" t="s">
        <v>98</v>
      </c>
      <c r="F49" s="85">
        <v>9495</v>
      </c>
      <c r="G49" s="85">
        <v>6615</v>
      </c>
      <c r="H49" s="85">
        <v>13519</v>
      </c>
      <c r="I49" s="85">
        <v>17286</v>
      </c>
      <c r="J49" s="85">
        <v>21355</v>
      </c>
      <c r="K49" s="85">
        <v>18237</v>
      </c>
      <c r="L49" s="85">
        <v>43112</v>
      </c>
      <c r="M49" s="85">
        <v>11804</v>
      </c>
      <c r="N49" s="85">
        <v>18456</v>
      </c>
      <c r="O49" s="85">
        <v>24845</v>
      </c>
      <c r="P49" s="85">
        <v>13660</v>
      </c>
      <c r="Q49" s="85">
        <v>24021</v>
      </c>
      <c r="R49" s="85">
        <v>222405</v>
      </c>
    </row>
    <row r="50" spans="1:18" ht="15" customHeight="1" x14ac:dyDescent="0.2"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 ht="15" customHeight="1" x14ac:dyDescent="0.25">
      <c r="B51" s="82" t="s">
        <v>47</v>
      </c>
      <c r="C51" s="82"/>
      <c r="D51" s="82"/>
      <c r="E51" s="82"/>
      <c r="F51" s="83">
        <v>-3848</v>
      </c>
      <c r="G51" s="83">
        <v>21918</v>
      </c>
      <c r="H51" s="83">
        <v>-1796</v>
      </c>
      <c r="I51" s="83">
        <v>17233</v>
      </c>
      <c r="J51" s="83">
        <v>-22917</v>
      </c>
      <c r="K51" s="83">
        <v>-6603</v>
      </c>
      <c r="L51" s="83">
        <v>9610</v>
      </c>
      <c r="M51" s="83">
        <v>-7351</v>
      </c>
      <c r="N51" s="83">
        <v>53022</v>
      </c>
      <c r="O51" s="83">
        <v>-15292</v>
      </c>
      <c r="P51" s="83">
        <v>-12789</v>
      </c>
      <c r="Q51" s="83">
        <v>-50599</v>
      </c>
      <c r="R51" s="83">
        <v>-19412</v>
      </c>
    </row>
    <row r="52" spans="1:18" x14ac:dyDescent="0.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</row>
    <row r="53" spans="1:18" x14ac:dyDescent="0.2">
      <c r="B53" s="79" t="s">
        <v>48</v>
      </c>
    </row>
    <row r="54" spans="1:18" x14ac:dyDescent="0.2">
      <c r="B54" s="79"/>
      <c r="C54" s="86" t="s">
        <v>99</v>
      </c>
      <c r="D54" s="86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5"/>
    </row>
    <row r="55" spans="1:18" x14ac:dyDescent="0.2">
      <c r="B55" s="86"/>
      <c r="C55" s="86" t="s">
        <v>100</v>
      </c>
      <c r="D55" s="86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5"/>
    </row>
    <row r="57" spans="1:18" x14ac:dyDescent="0.2">
      <c r="R57" s="85"/>
    </row>
    <row r="58" spans="1:18" x14ac:dyDescent="0.2">
      <c r="B58" s="86" t="s">
        <v>52</v>
      </c>
    </row>
    <row r="59" spans="1:18" x14ac:dyDescent="0.2">
      <c r="B59" s="86" t="s">
        <v>107</v>
      </c>
    </row>
  </sheetData>
  <mergeCells count="1">
    <mergeCell ref="B7:E7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MJ62"/>
  <sheetViews>
    <sheetView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N3" sqref="N3"/>
    </sheetView>
  </sheetViews>
  <sheetFormatPr defaultColWidth="9.140625" defaultRowHeight="14.25" x14ac:dyDescent="0.2"/>
  <cols>
    <col min="1" max="1" width="2.140625" style="76" customWidth="1"/>
    <col min="2" max="2" width="1.42578125" style="76" customWidth="1"/>
    <col min="3" max="3" width="1.140625" style="76" customWidth="1"/>
    <col min="4" max="4" width="1.7109375" style="76" customWidth="1"/>
    <col min="5" max="5" width="33.42578125" style="76" customWidth="1"/>
    <col min="6" max="8" width="8.7109375" style="76" customWidth="1"/>
    <col min="9" max="9" width="8" style="76" customWidth="1"/>
    <col min="10" max="17" width="8.7109375" style="76" customWidth="1"/>
    <col min="18" max="18" width="9.85546875" style="76" customWidth="1"/>
    <col min="19" max="1024" width="9.140625" style="76"/>
  </cols>
  <sheetData>
    <row r="1" spans="1:19" ht="15" x14ac:dyDescent="0.25">
      <c r="A1" s="77" t="s">
        <v>53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9" ht="15" x14ac:dyDescent="0.25">
      <c r="A2" s="77" t="s">
        <v>132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spans="1:19" x14ac:dyDescent="0.2">
      <c r="A3" s="78" t="s">
        <v>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x14ac:dyDescent="0.2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</row>
    <row r="5" spans="1:19" x14ac:dyDescent="0.2">
      <c r="A5" s="93" t="s">
        <v>55</v>
      </c>
      <c r="B5" s="78"/>
    </row>
    <row r="6" spans="1:19" ht="6" customHeight="1" x14ac:dyDescent="0.2"/>
    <row r="7" spans="1:19" ht="21.75" customHeight="1" x14ac:dyDescent="0.2">
      <c r="A7" s="80"/>
      <c r="B7" s="184" t="s">
        <v>3</v>
      </c>
      <c r="C7" s="184"/>
      <c r="D7" s="184"/>
      <c r="E7" s="184"/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56</v>
      </c>
      <c r="Q7" s="2" t="s">
        <v>57</v>
      </c>
      <c r="R7" s="81" t="s">
        <v>14</v>
      </c>
    </row>
    <row r="8" spans="1:19" ht="15" customHeight="1" x14ac:dyDescent="0.2">
      <c r="O8" s="85"/>
    </row>
    <row r="9" spans="1:19" ht="15" customHeight="1" x14ac:dyDescent="0.25">
      <c r="B9" s="82" t="s">
        <v>15</v>
      </c>
      <c r="C9" s="82"/>
      <c r="D9" s="82"/>
      <c r="E9" s="82"/>
      <c r="F9" s="83">
        <f t="shared" ref="F9:R9" si="0">SUM(F10+F20+F28)</f>
        <v>53132</v>
      </c>
      <c r="G9" s="83">
        <f t="shared" si="0"/>
        <v>44612</v>
      </c>
      <c r="H9" s="83">
        <f t="shared" si="0"/>
        <v>54866</v>
      </c>
      <c r="I9" s="83">
        <f t="shared" si="0"/>
        <v>75853</v>
      </c>
      <c r="J9" s="83">
        <f t="shared" si="0"/>
        <v>60332</v>
      </c>
      <c r="K9" s="83">
        <f t="shared" si="0"/>
        <v>54497</v>
      </c>
      <c r="L9" s="83">
        <f t="shared" si="0"/>
        <v>59344</v>
      </c>
      <c r="M9" s="83">
        <f t="shared" si="0"/>
        <v>59757</v>
      </c>
      <c r="N9" s="83">
        <f t="shared" si="0"/>
        <v>54002</v>
      </c>
      <c r="O9" s="83">
        <f t="shared" si="0"/>
        <v>60576</v>
      </c>
      <c r="P9" s="83">
        <f t="shared" si="0"/>
        <v>60521</v>
      </c>
      <c r="Q9" s="83">
        <f t="shared" si="0"/>
        <v>62276</v>
      </c>
      <c r="R9" s="83">
        <f t="shared" si="0"/>
        <v>699768</v>
      </c>
    </row>
    <row r="10" spans="1:19" ht="15" customHeight="1" x14ac:dyDescent="0.2">
      <c r="C10" s="76" t="s">
        <v>16</v>
      </c>
      <c r="F10" s="84">
        <f t="shared" ref="F10:R10" si="1">SUM(F11+F15+F18)</f>
        <v>46705</v>
      </c>
      <c r="G10" s="84">
        <f t="shared" si="1"/>
        <v>38086</v>
      </c>
      <c r="H10" s="84">
        <f t="shared" si="1"/>
        <v>45365</v>
      </c>
      <c r="I10" s="84">
        <f t="shared" si="1"/>
        <v>64308</v>
      </c>
      <c r="J10" s="84">
        <f t="shared" si="1"/>
        <v>52328</v>
      </c>
      <c r="K10" s="84">
        <f t="shared" si="1"/>
        <v>47135</v>
      </c>
      <c r="L10" s="84">
        <f t="shared" si="1"/>
        <v>50013</v>
      </c>
      <c r="M10" s="84">
        <f t="shared" si="1"/>
        <v>53941</v>
      </c>
      <c r="N10" s="84">
        <f t="shared" si="1"/>
        <v>44028</v>
      </c>
      <c r="O10" s="84">
        <f t="shared" si="1"/>
        <v>50514</v>
      </c>
      <c r="P10" s="84">
        <f t="shared" si="1"/>
        <v>54439</v>
      </c>
      <c r="Q10" s="84">
        <f t="shared" si="1"/>
        <v>51152</v>
      </c>
      <c r="R10" s="84">
        <f t="shared" si="1"/>
        <v>598014</v>
      </c>
    </row>
    <row r="11" spans="1:19" ht="15" customHeight="1" x14ac:dyDescent="0.2">
      <c r="D11" s="76" t="s">
        <v>17</v>
      </c>
      <c r="F11" s="85">
        <v>36537</v>
      </c>
      <c r="G11" s="85">
        <v>28833</v>
      </c>
      <c r="H11" s="85">
        <v>33604</v>
      </c>
      <c r="I11" s="85">
        <v>53017</v>
      </c>
      <c r="J11" s="85">
        <v>41259</v>
      </c>
      <c r="K11" s="85">
        <v>35942</v>
      </c>
      <c r="L11" s="85">
        <v>38891</v>
      </c>
      <c r="M11" s="85">
        <v>43128</v>
      </c>
      <c r="N11" s="85">
        <v>32637</v>
      </c>
      <c r="O11" s="85">
        <v>39307</v>
      </c>
      <c r="P11" s="85">
        <v>43951</v>
      </c>
      <c r="Q11" s="85">
        <v>41071</v>
      </c>
      <c r="R11" s="85">
        <f>SUM(F11:Q11)</f>
        <v>468177</v>
      </c>
    </row>
    <row r="12" spans="1:19" ht="15" customHeight="1" x14ac:dyDescent="0.2">
      <c r="E12" s="86" t="s">
        <v>18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</row>
    <row r="13" spans="1:19" ht="15" customHeight="1" x14ac:dyDescent="0.2">
      <c r="E13" s="76" t="s">
        <v>19</v>
      </c>
      <c r="F13" s="85">
        <v>0</v>
      </c>
      <c r="G13" s="85">
        <v>0</v>
      </c>
      <c r="H13" s="85">
        <v>302</v>
      </c>
      <c r="I13" s="85">
        <v>248</v>
      </c>
      <c r="J13" s="85">
        <v>177</v>
      </c>
      <c r="K13" s="85">
        <v>145</v>
      </c>
      <c r="L13" s="85">
        <v>157</v>
      </c>
      <c r="M13" s="85">
        <v>231</v>
      </c>
      <c r="N13" s="85">
        <v>132</v>
      </c>
      <c r="O13" s="85">
        <v>292</v>
      </c>
      <c r="P13" s="85">
        <v>180</v>
      </c>
      <c r="Q13" s="85">
        <v>288</v>
      </c>
      <c r="R13" s="85">
        <f>SUM(F13:Q13)</f>
        <v>2152</v>
      </c>
    </row>
    <row r="14" spans="1:19" ht="15" customHeight="1" x14ac:dyDescent="0.2">
      <c r="E14" s="76" t="s">
        <v>20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5"/>
    </row>
    <row r="15" spans="1:19" ht="15" customHeight="1" x14ac:dyDescent="0.2">
      <c r="D15" s="76" t="s">
        <v>21</v>
      </c>
      <c r="F15" s="85">
        <v>9581</v>
      </c>
      <c r="G15" s="85">
        <v>8634</v>
      </c>
      <c r="H15" s="85">
        <v>10980</v>
      </c>
      <c r="I15" s="85">
        <v>10576</v>
      </c>
      <c r="J15" s="85">
        <v>10373</v>
      </c>
      <c r="K15" s="85">
        <v>10424</v>
      </c>
      <c r="L15" s="85">
        <v>10430</v>
      </c>
      <c r="M15" s="85">
        <v>10081</v>
      </c>
      <c r="N15" s="85">
        <v>10697</v>
      </c>
      <c r="O15" s="85">
        <v>10544</v>
      </c>
      <c r="P15" s="85">
        <v>10233</v>
      </c>
      <c r="Q15" s="85">
        <v>9918</v>
      </c>
      <c r="R15" s="85">
        <f>SUM(F15:Q15)</f>
        <v>122471</v>
      </c>
    </row>
    <row r="16" spans="1:19" ht="15" customHeight="1" x14ac:dyDescent="0.2">
      <c r="E16" s="86" t="s">
        <v>18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2:20" ht="15" customHeight="1" x14ac:dyDescent="0.2">
      <c r="E17" s="76" t="s">
        <v>20</v>
      </c>
      <c r="F17" s="85">
        <v>0</v>
      </c>
      <c r="G17" s="85">
        <v>0</v>
      </c>
      <c r="H17" s="85">
        <v>0</v>
      </c>
      <c r="I17" s="85">
        <v>352</v>
      </c>
      <c r="J17" s="85">
        <v>121</v>
      </c>
      <c r="K17" s="85">
        <v>0</v>
      </c>
      <c r="L17" s="85">
        <v>42</v>
      </c>
      <c r="M17" s="85">
        <v>0</v>
      </c>
      <c r="N17" s="85">
        <v>1750</v>
      </c>
      <c r="O17" s="85">
        <v>70</v>
      </c>
      <c r="P17" s="85">
        <v>97</v>
      </c>
      <c r="Q17" s="85">
        <v>2366</v>
      </c>
      <c r="R17" s="85">
        <f>SUM(F17:Q17)</f>
        <v>4798</v>
      </c>
    </row>
    <row r="18" spans="2:20" ht="15" customHeight="1" x14ac:dyDescent="0.2">
      <c r="D18" s="76" t="s">
        <v>106</v>
      </c>
      <c r="F18" s="85">
        <v>587</v>
      </c>
      <c r="G18" s="85">
        <v>619</v>
      </c>
      <c r="H18" s="85">
        <v>781</v>
      </c>
      <c r="I18" s="85">
        <v>715</v>
      </c>
      <c r="J18" s="85">
        <v>696</v>
      </c>
      <c r="K18" s="85">
        <v>769</v>
      </c>
      <c r="L18" s="85">
        <v>692</v>
      </c>
      <c r="M18" s="85">
        <v>732</v>
      </c>
      <c r="N18" s="85">
        <v>694</v>
      </c>
      <c r="O18" s="85">
        <v>663</v>
      </c>
      <c r="P18" s="85">
        <v>255</v>
      </c>
      <c r="Q18" s="85">
        <v>163</v>
      </c>
      <c r="R18" s="85">
        <f>SUM(F18:Q18)</f>
        <v>7366</v>
      </c>
    </row>
    <row r="19" spans="2:20" ht="15" customHeight="1" x14ac:dyDescent="0.2"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T19" s="76" t="s">
        <v>58</v>
      </c>
    </row>
    <row r="20" spans="2:20" ht="15" customHeight="1" x14ac:dyDescent="0.2">
      <c r="C20" s="76" t="s">
        <v>23</v>
      </c>
      <c r="F20" s="84">
        <f t="shared" ref="F20:R20" si="2">SUM(F21:F26)</f>
        <v>6419</v>
      </c>
      <c r="G20" s="84">
        <f t="shared" si="2"/>
        <v>6521</v>
      </c>
      <c r="H20" s="84">
        <f t="shared" si="2"/>
        <v>9500</v>
      </c>
      <c r="I20" s="84">
        <f t="shared" si="2"/>
        <v>11541</v>
      </c>
      <c r="J20" s="84">
        <f t="shared" si="2"/>
        <v>8003</v>
      </c>
      <c r="K20" s="84">
        <f t="shared" si="2"/>
        <v>7356</v>
      </c>
      <c r="L20" s="84">
        <f t="shared" si="2"/>
        <v>9329.0000000000018</v>
      </c>
      <c r="M20" s="84">
        <f t="shared" si="2"/>
        <v>5808</v>
      </c>
      <c r="N20" s="84">
        <f t="shared" si="2"/>
        <v>9943</v>
      </c>
      <c r="O20" s="84">
        <f t="shared" si="2"/>
        <v>10060</v>
      </c>
      <c r="P20" s="84">
        <f t="shared" si="2"/>
        <v>6078</v>
      </c>
      <c r="Q20" s="84">
        <f t="shared" si="2"/>
        <v>11122</v>
      </c>
      <c r="R20" s="84">
        <f t="shared" si="2"/>
        <v>101680</v>
      </c>
    </row>
    <row r="21" spans="2:20" ht="15" customHeight="1" x14ac:dyDescent="0.2">
      <c r="D21" s="76" t="s">
        <v>24</v>
      </c>
      <c r="F21" s="85">
        <v>4057</v>
      </c>
      <c r="G21" s="85">
        <v>4418</v>
      </c>
      <c r="H21" s="85">
        <v>7657</v>
      </c>
      <c r="I21" s="85">
        <v>4721</v>
      </c>
      <c r="J21" s="85">
        <v>3962</v>
      </c>
      <c r="K21" s="85">
        <v>4441</v>
      </c>
      <c r="L21" s="85">
        <v>6571</v>
      </c>
      <c r="M21" s="85">
        <v>3288</v>
      </c>
      <c r="N21" s="85">
        <v>6560</v>
      </c>
      <c r="O21" s="85">
        <v>6155</v>
      </c>
      <c r="P21" s="85">
        <v>4210</v>
      </c>
      <c r="Q21" s="85">
        <v>8650</v>
      </c>
      <c r="R21" s="85">
        <f t="shared" ref="R21:R26" si="3">SUM(F21:Q21)</f>
        <v>64690</v>
      </c>
    </row>
    <row r="22" spans="2:20" ht="15" customHeight="1" x14ac:dyDescent="0.2">
      <c r="D22" s="76" t="s">
        <v>113</v>
      </c>
      <c r="F22" s="85">
        <v>1595</v>
      </c>
      <c r="G22" s="85">
        <v>1590</v>
      </c>
      <c r="H22" s="85">
        <v>1642</v>
      </c>
      <c r="I22" s="85">
        <v>1489</v>
      </c>
      <c r="J22" s="85">
        <v>1414</v>
      </c>
      <c r="K22" s="85">
        <v>1486</v>
      </c>
      <c r="L22" s="85">
        <v>1478</v>
      </c>
      <c r="M22" s="85">
        <v>1361</v>
      </c>
      <c r="N22" s="85">
        <v>1789</v>
      </c>
      <c r="O22" s="85">
        <v>2223</v>
      </c>
      <c r="P22" s="85">
        <v>1266</v>
      </c>
      <c r="Q22" s="85">
        <v>2241</v>
      </c>
      <c r="R22" s="85">
        <f t="shared" si="3"/>
        <v>19574</v>
      </c>
      <c r="S22" s="85"/>
    </row>
    <row r="23" spans="2:20" ht="15" customHeight="1" x14ac:dyDescent="0.2">
      <c r="D23" s="76" t="s">
        <v>27</v>
      </c>
      <c r="F23" s="85">
        <v>258.42200000000003</v>
      </c>
      <c r="G23" s="85">
        <v>86.605999999999995</v>
      </c>
      <c r="H23" s="85">
        <v>129.1</v>
      </c>
      <c r="I23" s="85">
        <v>127.545</v>
      </c>
      <c r="J23" s="85">
        <v>138.655</v>
      </c>
      <c r="K23" s="85">
        <v>274.96100000000001</v>
      </c>
      <c r="L23" s="85">
        <v>101.506</v>
      </c>
      <c r="M23" s="85">
        <v>135.798</v>
      </c>
      <c r="N23" s="85">
        <v>0</v>
      </c>
      <c r="O23" s="85">
        <v>46.167999999999999</v>
      </c>
      <c r="P23" s="85">
        <v>176.178</v>
      </c>
      <c r="Q23" s="85">
        <v>106.521</v>
      </c>
      <c r="R23" s="85">
        <f t="shared" si="3"/>
        <v>1581.4599999999998</v>
      </c>
    </row>
    <row r="24" spans="2:20" ht="15" customHeight="1" x14ac:dyDescent="0.2">
      <c r="D24" s="76" t="s">
        <v>26</v>
      </c>
      <c r="F24" s="85">
        <v>9</v>
      </c>
      <c r="G24" s="85">
        <v>19</v>
      </c>
      <c r="H24" s="85">
        <v>0</v>
      </c>
      <c r="I24" s="85">
        <v>31</v>
      </c>
      <c r="J24" s="85">
        <v>58</v>
      </c>
      <c r="K24" s="85">
        <v>162</v>
      </c>
      <c r="L24" s="85">
        <v>0</v>
      </c>
      <c r="M24" s="85">
        <v>0</v>
      </c>
      <c r="N24" s="85">
        <v>15</v>
      </c>
      <c r="O24" s="85">
        <v>45</v>
      </c>
      <c r="P24" s="85">
        <v>0</v>
      </c>
      <c r="Q24" s="85">
        <v>81</v>
      </c>
      <c r="R24" s="85">
        <f t="shared" si="3"/>
        <v>420</v>
      </c>
    </row>
    <row r="25" spans="2:20" ht="15" customHeight="1" x14ac:dyDescent="0.2">
      <c r="D25" s="76" t="s">
        <v>109</v>
      </c>
      <c r="F25" s="85">
        <v>0</v>
      </c>
      <c r="G25" s="85">
        <v>0</v>
      </c>
      <c r="H25" s="85">
        <v>0</v>
      </c>
      <c r="I25" s="85">
        <v>4911</v>
      </c>
      <c r="J25" s="85">
        <v>1085</v>
      </c>
      <c r="K25" s="85">
        <v>1120</v>
      </c>
      <c r="L25" s="85">
        <v>1016</v>
      </c>
      <c r="M25" s="85">
        <v>0</v>
      </c>
      <c r="N25" s="85">
        <v>0</v>
      </c>
      <c r="O25" s="85">
        <v>722</v>
      </c>
      <c r="P25" s="85">
        <v>0</v>
      </c>
      <c r="Q25" s="85">
        <v>0</v>
      </c>
      <c r="R25" s="85">
        <f t="shared" si="3"/>
        <v>8854</v>
      </c>
    </row>
    <row r="26" spans="2:20" ht="15" customHeight="1" x14ac:dyDescent="0.2">
      <c r="D26" s="76" t="s">
        <v>106</v>
      </c>
      <c r="F26" s="85">
        <f>2353-F22-F23-F25</f>
        <v>499.57799999999997</v>
      </c>
      <c r="G26" s="85">
        <f>2084-G22-G23-G25</f>
        <v>407.39400000000001</v>
      </c>
      <c r="H26" s="85">
        <f>1843-H22-H23-H25</f>
        <v>71.900000000000006</v>
      </c>
      <c r="I26" s="85">
        <f>6789-I25-I23-I22</f>
        <v>261.45499999999993</v>
      </c>
      <c r="J26" s="85">
        <f>3983-J25-J23-J22</f>
        <v>1345.3449999999998</v>
      </c>
      <c r="K26" s="85">
        <f>2753-K25-K23-K22</f>
        <v>-127.96100000000001</v>
      </c>
      <c r="L26" s="85">
        <f>2758-L25-L23-L22</f>
        <v>162.49399999999991</v>
      </c>
      <c r="M26" s="85">
        <f>2520-M25-M23-M22</f>
        <v>1023.2020000000002</v>
      </c>
      <c r="N26" s="85">
        <f>3368-N25-N23-N22</f>
        <v>1579</v>
      </c>
      <c r="O26" s="85">
        <f>3860-O25-O23-O22</f>
        <v>868.83199999999988</v>
      </c>
      <c r="P26" s="85">
        <f>1868-P25-P23-P22</f>
        <v>425.82200000000012</v>
      </c>
      <c r="Q26" s="85">
        <f>2391-Q25-Q23-Q22</f>
        <v>43.478999999999814</v>
      </c>
      <c r="R26" s="85">
        <f t="shared" si="3"/>
        <v>6560.5399999999991</v>
      </c>
    </row>
    <row r="27" spans="2:20" ht="15" customHeight="1" x14ac:dyDescent="0.2"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</row>
    <row r="28" spans="2:20" ht="15" customHeight="1" x14ac:dyDescent="0.2">
      <c r="C28" s="76" t="s">
        <v>29</v>
      </c>
      <c r="F28" s="85">
        <v>8</v>
      </c>
      <c r="G28" s="85">
        <v>5</v>
      </c>
      <c r="H28" s="85">
        <v>1</v>
      </c>
      <c r="I28" s="85">
        <v>4</v>
      </c>
      <c r="J28" s="85">
        <v>1</v>
      </c>
      <c r="K28" s="85">
        <v>6</v>
      </c>
      <c r="L28" s="85">
        <v>2</v>
      </c>
      <c r="M28" s="85">
        <v>8</v>
      </c>
      <c r="N28" s="85">
        <v>31</v>
      </c>
      <c r="O28" s="85">
        <v>2</v>
      </c>
      <c r="P28" s="85">
        <v>4</v>
      </c>
      <c r="Q28" s="85">
        <v>2</v>
      </c>
      <c r="R28" s="85">
        <v>74</v>
      </c>
    </row>
    <row r="29" spans="2:20" ht="15" customHeight="1" x14ac:dyDescent="0.2"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</row>
    <row r="30" spans="2:20" ht="15" customHeight="1" x14ac:dyDescent="0.25">
      <c r="B30" s="82" t="s">
        <v>30</v>
      </c>
      <c r="C30" s="82"/>
      <c r="D30" s="82"/>
      <c r="E30" s="82"/>
      <c r="F30" s="83">
        <f t="shared" ref="F30:Q30" si="4">SUM(F32:F38)</f>
        <v>69249</v>
      </c>
      <c r="G30" s="83">
        <f t="shared" si="4"/>
        <v>63062</v>
      </c>
      <c r="H30" s="83">
        <f t="shared" si="4"/>
        <v>77146</v>
      </c>
      <c r="I30" s="83">
        <f t="shared" si="4"/>
        <v>83677</v>
      </c>
      <c r="J30" s="83">
        <f t="shared" si="4"/>
        <v>73014</v>
      </c>
      <c r="K30" s="83">
        <f t="shared" si="4"/>
        <v>57264</v>
      </c>
      <c r="L30" s="83">
        <f t="shared" si="4"/>
        <v>78636</v>
      </c>
      <c r="M30" s="83">
        <f t="shared" si="4"/>
        <v>71427</v>
      </c>
      <c r="N30" s="83">
        <f t="shared" si="4"/>
        <v>84827</v>
      </c>
      <c r="O30" s="83">
        <f t="shared" si="4"/>
        <v>66395</v>
      </c>
      <c r="P30" s="83">
        <f t="shared" si="4"/>
        <v>73015</v>
      </c>
      <c r="Q30" s="83">
        <f t="shared" si="4"/>
        <v>89113</v>
      </c>
      <c r="R30" s="83">
        <f>SUM(F30:Q30)</f>
        <v>886825</v>
      </c>
    </row>
    <row r="31" spans="2:20" ht="15" customHeight="1" x14ac:dyDescent="0.2">
      <c r="C31" s="76" t="s">
        <v>18</v>
      </c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</row>
    <row r="32" spans="2:20" ht="15" customHeight="1" x14ac:dyDescent="0.2">
      <c r="D32" s="76" t="s">
        <v>31</v>
      </c>
      <c r="F32" s="85">
        <v>11892</v>
      </c>
      <c r="G32" s="85">
        <v>12618</v>
      </c>
      <c r="H32" s="85">
        <v>12782</v>
      </c>
      <c r="I32" s="85">
        <v>13330</v>
      </c>
      <c r="J32" s="85">
        <v>12334</v>
      </c>
      <c r="K32" s="85">
        <v>12239</v>
      </c>
      <c r="L32" s="85">
        <v>11829</v>
      </c>
      <c r="M32" s="85">
        <v>11926</v>
      </c>
      <c r="N32" s="85">
        <v>11865</v>
      </c>
      <c r="O32" s="85">
        <v>11789</v>
      </c>
      <c r="P32" s="85">
        <v>12025</v>
      </c>
      <c r="Q32" s="85">
        <v>12895</v>
      </c>
      <c r="R32" s="85">
        <f t="shared" ref="R32:R38" si="5">SUM(F32:Q32)</f>
        <v>147524</v>
      </c>
    </row>
    <row r="33" spans="2:18" ht="15" customHeight="1" x14ac:dyDescent="0.2">
      <c r="D33" s="76" t="s">
        <v>32</v>
      </c>
      <c r="F33" s="85">
        <v>22953</v>
      </c>
      <c r="G33" s="85">
        <v>17823</v>
      </c>
      <c r="H33" s="85">
        <v>26039</v>
      </c>
      <c r="I33" s="85">
        <v>25965</v>
      </c>
      <c r="J33" s="85">
        <v>16258</v>
      </c>
      <c r="K33" s="85">
        <v>11972</v>
      </c>
      <c r="L33" s="85">
        <v>28495</v>
      </c>
      <c r="M33" s="85">
        <v>19463</v>
      </c>
      <c r="N33" s="85">
        <v>30067</v>
      </c>
      <c r="O33" s="85">
        <v>27640</v>
      </c>
      <c r="P33" s="85">
        <v>18488</v>
      </c>
      <c r="Q33" s="85">
        <v>15738</v>
      </c>
      <c r="R33" s="85">
        <f t="shared" si="5"/>
        <v>260901</v>
      </c>
    </row>
    <row r="34" spans="2:18" ht="15" customHeight="1" x14ac:dyDescent="0.2">
      <c r="D34" s="76" t="s">
        <v>33</v>
      </c>
      <c r="F34" s="85">
        <v>0</v>
      </c>
      <c r="G34" s="85">
        <v>0</v>
      </c>
      <c r="H34" s="85">
        <v>302</v>
      </c>
      <c r="I34" s="85">
        <v>600</v>
      </c>
      <c r="J34" s="85">
        <v>298</v>
      </c>
      <c r="K34" s="85">
        <v>145</v>
      </c>
      <c r="L34" s="85">
        <v>199</v>
      </c>
      <c r="M34" s="85">
        <v>231</v>
      </c>
      <c r="N34" s="85">
        <v>1882</v>
      </c>
      <c r="O34" s="85">
        <v>362</v>
      </c>
      <c r="P34" s="85">
        <v>277</v>
      </c>
      <c r="Q34" s="85">
        <v>2654</v>
      </c>
      <c r="R34" s="85">
        <f t="shared" si="5"/>
        <v>6950</v>
      </c>
    </row>
    <row r="35" spans="2:18" ht="15" customHeight="1" x14ac:dyDescent="0.2">
      <c r="D35" s="76" t="s">
        <v>78</v>
      </c>
      <c r="F35" s="85">
        <v>197</v>
      </c>
      <c r="G35" s="85">
        <v>340</v>
      </c>
      <c r="H35" s="85">
        <v>888</v>
      </c>
      <c r="I35" s="85">
        <v>3706</v>
      </c>
      <c r="J35" s="85">
        <v>287</v>
      </c>
      <c r="K35" s="85">
        <v>141</v>
      </c>
      <c r="L35" s="85">
        <v>953</v>
      </c>
      <c r="M35" s="85">
        <v>52</v>
      </c>
      <c r="N35" s="85">
        <v>391</v>
      </c>
      <c r="O35" s="85">
        <v>464</v>
      </c>
      <c r="P35" s="85">
        <v>192</v>
      </c>
      <c r="Q35" s="85">
        <v>6631</v>
      </c>
      <c r="R35" s="85">
        <f t="shared" si="5"/>
        <v>14242</v>
      </c>
    </row>
    <row r="36" spans="2:18" ht="15" customHeight="1" x14ac:dyDescent="0.2">
      <c r="D36" s="76" t="s">
        <v>35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>
        <v>8</v>
      </c>
      <c r="L36" s="85">
        <v>0</v>
      </c>
      <c r="M36" s="85">
        <v>21</v>
      </c>
      <c r="N36" s="85">
        <v>0</v>
      </c>
      <c r="O36" s="85">
        <v>0</v>
      </c>
      <c r="P36" s="85">
        <v>9</v>
      </c>
      <c r="Q36" s="85">
        <v>6</v>
      </c>
      <c r="R36" s="85">
        <f t="shared" si="5"/>
        <v>44</v>
      </c>
    </row>
    <row r="37" spans="2:18" ht="15" customHeight="1" x14ac:dyDescent="0.2">
      <c r="D37" s="76" t="s">
        <v>79</v>
      </c>
      <c r="F37" s="85">
        <v>4150</v>
      </c>
      <c r="G37" s="85">
        <v>827</v>
      </c>
      <c r="H37" s="85">
        <v>-452</v>
      </c>
      <c r="I37" s="85">
        <v>-635</v>
      </c>
      <c r="J37" s="85">
        <v>-3627</v>
      </c>
      <c r="K37" s="85">
        <v>454</v>
      </c>
      <c r="L37" s="85">
        <v>729</v>
      </c>
      <c r="M37" s="85">
        <v>955</v>
      </c>
      <c r="N37" s="85">
        <v>6394</v>
      </c>
      <c r="O37" s="85">
        <v>-5330</v>
      </c>
      <c r="P37" s="85">
        <v>760</v>
      </c>
      <c r="Q37" s="85">
        <v>1451</v>
      </c>
      <c r="R37" s="85">
        <f t="shared" si="5"/>
        <v>5676</v>
      </c>
    </row>
    <row r="38" spans="2:18" ht="15" customHeight="1" x14ac:dyDescent="0.2">
      <c r="D38" s="6" t="s">
        <v>80</v>
      </c>
      <c r="F38" s="85">
        <v>30057</v>
      </c>
      <c r="G38" s="85">
        <v>31454</v>
      </c>
      <c r="H38" s="85">
        <v>37587</v>
      </c>
      <c r="I38" s="85">
        <v>40711</v>
      </c>
      <c r="J38" s="85">
        <v>47464</v>
      </c>
      <c r="K38" s="85">
        <v>32305</v>
      </c>
      <c r="L38" s="85">
        <v>36431</v>
      </c>
      <c r="M38" s="85">
        <v>38779</v>
      </c>
      <c r="N38" s="85">
        <v>34228</v>
      </c>
      <c r="O38" s="85">
        <v>31470</v>
      </c>
      <c r="P38" s="85">
        <v>41264</v>
      </c>
      <c r="Q38" s="85">
        <v>49738</v>
      </c>
      <c r="R38" s="85">
        <f t="shared" si="5"/>
        <v>451488</v>
      </c>
    </row>
    <row r="39" spans="2:18" ht="15" customHeight="1" x14ac:dyDescent="0.2"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5" t="s">
        <v>58</v>
      </c>
    </row>
    <row r="40" spans="2:18" ht="15" customHeight="1" x14ac:dyDescent="0.25">
      <c r="B40" s="82" t="s">
        <v>38</v>
      </c>
      <c r="C40" s="82"/>
      <c r="D40" s="82"/>
      <c r="E40" s="82"/>
      <c r="F40" s="88">
        <f t="shared" ref="F40:Q40" si="6">+F9-F30</f>
        <v>-16117</v>
      </c>
      <c r="G40" s="88">
        <f t="shared" si="6"/>
        <v>-18450</v>
      </c>
      <c r="H40" s="88">
        <f t="shared" si="6"/>
        <v>-22280</v>
      </c>
      <c r="I40" s="88">
        <f t="shared" si="6"/>
        <v>-7824</v>
      </c>
      <c r="J40" s="88">
        <f t="shared" si="6"/>
        <v>-12682</v>
      </c>
      <c r="K40" s="88">
        <f t="shared" si="6"/>
        <v>-2767</v>
      </c>
      <c r="L40" s="88">
        <f t="shared" si="6"/>
        <v>-19292</v>
      </c>
      <c r="M40" s="88">
        <f t="shared" si="6"/>
        <v>-11670</v>
      </c>
      <c r="N40" s="88">
        <f t="shared" si="6"/>
        <v>-30825</v>
      </c>
      <c r="O40" s="88">
        <f t="shared" si="6"/>
        <v>-5819</v>
      </c>
      <c r="P40" s="88">
        <f t="shared" si="6"/>
        <v>-12494</v>
      </c>
      <c r="Q40" s="88">
        <f t="shared" si="6"/>
        <v>-26837</v>
      </c>
      <c r="R40" s="88">
        <f>SUM(F40:Q40)</f>
        <v>-187057</v>
      </c>
    </row>
    <row r="41" spans="2:18" ht="15" customHeight="1" x14ac:dyDescent="0.2"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</row>
    <row r="42" spans="2:18" ht="15" customHeight="1" x14ac:dyDescent="0.25">
      <c r="B42" s="82" t="s">
        <v>39</v>
      </c>
      <c r="C42" s="82"/>
      <c r="D42" s="82"/>
      <c r="E42" s="82"/>
      <c r="F42" s="83">
        <v>25743</v>
      </c>
      <c r="G42" s="83">
        <v>13889</v>
      </c>
      <c r="H42" s="83">
        <v>34840</v>
      </c>
      <c r="I42" s="83">
        <v>51030</v>
      </c>
      <c r="J42" s="83">
        <v>44324</v>
      </c>
      <c r="K42" s="83">
        <v>-4806</v>
      </c>
      <c r="L42" s="83">
        <v>97815</v>
      </c>
      <c r="M42" s="83">
        <v>19422</v>
      </c>
      <c r="N42" s="83">
        <v>92838</v>
      </c>
      <c r="O42" s="83">
        <v>14283</v>
      </c>
      <c r="P42" s="83">
        <v>31911</v>
      </c>
      <c r="Q42" s="83">
        <v>20757</v>
      </c>
      <c r="R42" s="83">
        <v>442046</v>
      </c>
    </row>
    <row r="43" spans="2:18" ht="15" customHeight="1" x14ac:dyDescent="0.2">
      <c r="C43" s="76" t="s">
        <v>40</v>
      </c>
      <c r="F43" s="84">
        <v>-10219</v>
      </c>
      <c r="G43" s="84">
        <v>-2136</v>
      </c>
      <c r="H43" s="84">
        <v>13227</v>
      </c>
      <c r="I43" s="84">
        <v>15586</v>
      </c>
      <c r="J43" s="84">
        <v>20002</v>
      </c>
      <c r="K43" s="84">
        <v>-15633</v>
      </c>
      <c r="L43" s="84">
        <v>12825</v>
      </c>
      <c r="M43" s="84">
        <v>18749</v>
      </c>
      <c r="N43" s="84">
        <v>32601</v>
      </c>
      <c r="O43" s="84">
        <v>-1330</v>
      </c>
      <c r="P43" s="84">
        <v>-4645</v>
      </c>
      <c r="Q43" s="84">
        <v>2140</v>
      </c>
      <c r="R43" s="84">
        <v>81167</v>
      </c>
    </row>
    <row r="44" spans="2:18" ht="15" customHeight="1" x14ac:dyDescent="0.2">
      <c r="D44" s="76" t="s">
        <v>41</v>
      </c>
      <c r="F44" s="85">
        <v>758</v>
      </c>
      <c r="G44" s="85">
        <v>5963</v>
      </c>
      <c r="H44" s="85">
        <v>32096</v>
      </c>
      <c r="I44" s="85">
        <v>18050</v>
      </c>
      <c r="J44" s="85">
        <v>25673</v>
      </c>
      <c r="K44" s="85">
        <v>744</v>
      </c>
      <c r="L44" s="85">
        <v>18462</v>
      </c>
      <c r="M44" s="85">
        <v>25629</v>
      </c>
      <c r="N44" s="85">
        <v>60371</v>
      </c>
      <c r="O44" s="85">
        <v>2002</v>
      </c>
      <c r="P44" s="85">
        <v>1280</v>
      </c>
      <c r="Q44" s="85">
        <v>8505</v>
      </c>
      <c r="R44" s="85">
        <v>199533</v>
      </c>
    </row>
    <row r="45" spans="2:18" ht="15" customHeight="1" x14ac:dyDescent="0.2">
      <c r="D45" s="76" t="s">
        <v>98</v>
      </c>
      <c r="F45" s="85">
        <v>10977</v>
      </c>
      <c r="G45" s="85">
        <v>8099</v>
      </c>
      <c r="H45" s="85">
        <v>18869</v>
      </c>
      <c r="I45" s="85">
        <v>2464</v>
      </c>
      <c r="J45" s="85">
        <v>5671</v>
      </c>
      <c r="K45" s="85">
        <v>16377</v>
      </c>
      <c r="L45" s="85">
        <v>5637</v>
      </c>
      <c r="M45" s="85">
        <v>6880</v>
      </c>
      <c r="N45" s="85">
        <v>27770</v>
      </c>
      <c r="O45" s="85">
        <v>3332</v>
      </c>
      <c r="P45" s="85">
        <v>5925</v>
      </c>
      <c r="Q45" s="85">
        <v>6365</v>
      </c>
      <c r="R45" s="85">
        <v>118366</v>
      </c>
    </row>
    <row r="46" spans="2:18" ht="15" customHeight="1" x14ac:dyDescent="0.2"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</row>
    <row r="47" spans="2:18" ht="15" customHeight="1" x14ac:dyDescent="0.2">
      <c r="C47" s="76" t="s">
        <v>43</v>
      </c>
      <c r="F47" s="84">
        <v>35962</v>
      </c>
      <c r="G47" s="84">
        <v>16025</v>
      </c>
      <c r="H47" s="84">
        <v>21613</v>
      </c>
      <c r="I47" s="84">
        <v>35444</v>
      </c>
      <c r="J47" s="84">
        <v>24322</v>
      </c>
      <c r="K47" s="84">
        <v>10827</v>
      </c>
      <c r="L47" s="84">
        <v>84990</v>
      </c>
      <c r="M47" s="84">
        <v>673</v>
      </c>
      <c r="N47" s="84">
        <v>60237</v>
      </c>
      <c r="O47" s="84">
        <v>15613</v>
      </c>
      <c r="P47" s="84">
        <v>36556</v>
      </c>
      <c r="Q47" s="84">
        <v>18617</v>
      </c>
      <c r="R47" s="84">
        <v>360879</v>
      </c>
    </row>
    <row r="48" spans="2:18" ht="15" customHeight="1" x14ac:dyDescent="0.2">
      <c r="D48" s="76" t="s">
        <v>44</v>
      </c>
      <c r="F48" s="85">
        <v>36013</v>
      </c>
      <c r="G48" s="85">
        <v>16191</v>
      </c>
      <c r="H48" s="85">
        <v>21672</v>
      </c>
      <c r="I48" s="85">
        <v>35571</v>
      </c>
      <c r="J48" s="85">
        <v>24382</v>
      </c>
      <c r="K48" s="85">
        <v>10954</v>
      </c>
      <c r="L48" s="85">
        <v>91370</v>
      </c>
      <c r="M48" s="85">
        <v>7182</v>
      </c>
      <c r="N48" s="85">
        <v>60264</v>
      </c>
      <c r="O48" s="85">
        <v>17986</v>
      </c>
      <c r="P48" s="85">
        <v>36858</v>
      </c>
      <c r="Q48" s="85">
        <v>25337</v>
      </c>
      <c r="R48" s="85">
        <v>383780</v>
      </c>
    </row>
    <row r="49" spans="1:18" ht="15" customHeight="1" x14ac:dyDescent="0.2">
      <c r="D49" s="76" t="s">
        <v>45</v>
      </c>
      <c r="F49" s="85">
        <v>51</v>
      </c>
      <c r="G49" s="85">
        <v>166</v>
      </c>
      <c r="H49" s="85">
        <v>59</v>
      </c>
      <c r="I49" s="85">
        <v>127</v>
      </c>
      <c r="J49" s="85">
        <v>60</v>
      </c>
      <c r="K49" s="85">
        <v>127</v>
      </c>
      <c r="L49" s="85">
        <v>6380</v>
      </c>
      <c r="M49" s="85">
        <v>6509</v>
      </c>
      <c r="N49" s="85">
        <v>27</v>
      </c>
      <c r="O49" s="85">
        <v>2373</v>
      </c>
      <c r="P49" s="85">
        <v>302</v>
      </c>
      <c r="Q49" s="85">
        <v>6720</v>
      </c>
      <c r="R49" s="85">
        <v>22901</v>
      </c>
    </row>
    <row r="50" spans="1:18" ht="15" customHeight="1" x14ac:dyDescent="0.2">
      <c r="E50" s="6" t="s">
        <v>68</v>
      </c>
      <c r="F50" s="85">
        <v>51</v>
      </c>
      <c r="G50" s="85">
        <v>166</v>
      </c>
      <c r="H50" s="85">
        <v>17611</v>
      </c>
      <c r="I50" s="85">
        <v>127</v>
      </c>
      <c r="J50" s="85">
        <v>60</v>
      </c>
      <c r="K50" s="85">
        <v>127</v>
      </c>
      <c r="L50" s="85">
        <v>38456</v>
      </c>
      <c r="M50" s="85">
        <v>6509</v>
      </c>
      <c r="N50" s="85">
        <v>27</v>
      </c>
      <c r="O50" s="85">
        <v>2373</v>
      </c>
      <c r="P50" s="85">
        <v>302</v>
      </c>
      <c r="Q50" s="85">
        <v>6720</v>
      </c>
      <c r="R50" s="85">
        <v>72529</v>
      </c>
    </row>
    <row r="51" spans="1:18" ht="15" customHeight="1" x14ac:dyDescent="0.2">
      <c r="E51" s="22" t="s">
        <v>81</v>
      </c>
      <c r="F51" s="85">
        <v>0</v>
      </c>
      <c r="G51" s="85">
        <v>0</v>
      </c>
      <c r="H51" s="85">
        <v>17552</v>
      </c>
      <c r="I51" s="85">
        <v>0</v>
      </c>
      <c r="J51" s="85">
        <v>0</v>
      </c>
      <c r="K51" s="85">
        <v>0</v>
      </c>
      <c r="L51" s="85">
        <v>32076</v>
      </c>
      <c r="M51" s="85">
        <v>0</v>
      </c>
      <c r="N51" s="85">
        <v>0</v>
      </c>
      <c r="O51" s="85">
        <v>0</v>
      </c>
      <c r="P51" s="85">
        <v>0</v>
      </c>
      <c r="Q51" s="85">
        <v>0</v>
      </c>
      <c r="R51" s="85">
        <v>49628</v>
      </c>
    </row>
    <row r="52" spans="1:18" ht="15" customHeight="1" x14ac:dyDescent="0.2"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</row>
    <row r="53" spans="1:18" ht="15" customHeight="1" x14ac:dyDescent="0.25">
      <c r="B53" s="82" t="s">
        <v>47</v>
      </c>
      <c r="C53" s="82"/>
      <c r="D53" s="82"/>
      <c r="E53" s="82"/>
      <c r="F53" s="83">
        <v>-3848</v>
      </c>
      <c r="G53" s="83">
        <v>21918</v>
      </c>
      <c r="H53" s="83">
        <v>-1796</v>
      </c>
      <c r="I53" s="83">
        <v>17233</v>
      </c>
      <c r="J53" s="83">
        <v>-22917</v>
      </c>
      <c r="K53" s="83">
        <v>-6603</v>
      </c>
      <c r="L53" s="83">
        <v>9610</v>
      </c>
      <c r="M53" s="83">
        <v>-7351</v>
      </c>
      <c r="N53" s="83">
        <v>53022</v>
      </c>
      <c r="O53" s="83">
        <v>-15292</v>
      </c>
      <c r="P53" s="83">
        <v>-12789</v>
      </c>
      <c r="Q53" s="83">
        <v>-50599</v>
      </c>
      <c r="R53" s="83">
        <v>-19412</v>
      </c>
    </row>
    <row r="54" spans="1:18" x14ac:dyDescent="0.2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</row>
    <row r="55" spans="1:18" x14ac:dyDescent="0.2">
      <c r="B55" s="9" t="s">
        <v>48</v>
      </c>
      <c r="C55" s="6"/>
      <c r="D55" s="6"/>
      <c r="E55" s="6"/>
      <c r="F55" s="6"/>
      <c r="G55" s="6"/>
      <c r="H55" s="6"/>
      <c r="I55" s="6"/>
      <c r="J55" s="6"/>
      <c r="K55" s="6"/>
      <c r="L55" s="84"/>
      <c r="M55" s="84"/>
      <c r="N55" s="84"/>
      <c r="O55" s="84"/>
      <c r="P55" s="84"/>
      <c r="Q55" s="84"/>
      <c r="R55" s="85"/>
    </row>
    <row r="56" spans="1:18" ht="12.75" customHeight="1" x14ac:dyDescent="0.2">
      <c r="B56" s="9"/>
      <c r="C56" s="189" t="s">
        <v>111</v>
      </c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85"/>
    </row>
    <row r="57" spans="1:18" ht="14.25" customHeight="1" x14ac:dyDescent="0.2">
      <c r="B57" s="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</row>
    <row r="58" spans="1:18" ht="18.75" customHeight="1" x14ac:dyDescent="0.2">
      <c r="B58" s="10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85"/>
    </row>
    <row r="59" spans="1:18" x14ac:dyDescent="0.2">
      <c r="B59" s="10"/>
      <c r="C59" s="6"/>
      <c r="D59" s="6"/>
      <c r="E59" s="6"/>
      <c r="F59" s="6"/>
      <c r="G59" s="6"/>
      <c r="H59" s="6"/>
      <c r="I59" s="6"/>
      <c r="J59" s="6"/>
      <c r="K59" s="6"/>
    </row>
    <row r="61" spans="1:18" x14ac:dyDescent="0.2">
      <c r="B61" s="86" t="s">
        <v>52</v>
      </c>
    </row>
    <row r="62" spans="1:18" x14ac:dyDescent="0.2">
      <c r="B62" s="86" t="s">
        <v>107</v>
      </c>
    </row>
  </sheetData>
  <mergeCells count="2">
    <mergeCell ref="B7:E7"/>
    <mergeCell ref="C56:Q58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MJ55"/>
  <sheetViews>
    <sheetView zoomScaleNormal="100" workbookViewId="0">
      <selection activeCell="C30" sqref="C30"/>
    </sheetView>
  </sheetViews>
  <sheetFormatPr defaultColWidth="9.140625" defaultRowHeight="14.25" x14ac:dyDescent="0.2"/>
  <cols>
    <col min="1" max="1" width="1.7109375" style="76" customWidth="1"/>
    <col min="2" max="2" width="1.85546875" style="76" customWidth="1"/>
    <col min="3" max="3" width="24.28515625" style="76" customWidth="1"/>
    <col min="4" max="4" width="0.42578125" style="76" hidden="1" customWidth="1"/>
    <col min="5" max="7" width="8.7109375" style="85" customWidth="1"/>
    <col min="8" max="8" width="8" style="85" customWidth="1"/>
    <col min="9" max="9" width="8.7109375" style="85" customWidth="1"/>
    <col min="10" max="10" width="8" style="85" customWidth="1"/>
    <col min="11" max="11" width="9.140625" style="85"/>
    <col min="12" max="16" width="8.7109375" style="85" customWidth="1"/>
    <col min="17" max="17" width="9.85546875" style="85" customWidth="1"/>
    <col min="18" max="1024" width="9.140625" style="76"/>
  </cols>
  <sheetData>
    <row r="1" spans="1:19" ht="15" x14ac:dyDescent="0.25">
      <c r="A1" s="82" t="s">
        <v>0</v>
      </c>
    </row>
    <row r="2" spans="1:19" ht="15" x14ac:dyDescent="0.25">
      <c r="A2" s="82" t="s">
        <v>133</v>
      </c>
    </row>
    <row r="3" spans="1:19" ht="15" x14ac:dyDescent="0.25">
      <c r="A3" s="76" t="s">
        <v>2</v>
      </c>
      <c r="F3" s="85" t="s">
        <v>58</v>
      </c>
      <c r="G3" s="83"/>
    </row>
    <row r="4" spans="1:19" s="117" customFormat="1" ht="15" x14ac:dyDescent="0.25">
      <c r="A4" s="115"/>
      <c r="B4" s="115"/>
      <c r="C4" s="115"/>
      <c r="D4" s="115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9" ht="21.75" customHeight="1" x14ac:dyDescent="0.2">
      <c r="A5" s="188" t="s">
        <v>3</v>
      </c>
      <c r="B5" s="188"/>
      <c r="C5" s="188"/>
      <c r="D5" s="2"/>
      <c r="E5" s="118" t="s">
        <v>4</v>
      </c>
      <c r="F5" s="118" t="s">
        <v>5</v>
      </c>
      <c r="G5" s="118" t="s">
        <v>6</v>
      </c>
      <c r="H5" s="118" t="s">
        <v>7</v>
      </c>
      <c r="I5" s="118" t="s">
        <v>8</v>
      </c>
      <c r="J5" s="118" t="s">
        <v>9</v>
      </c>
      <c r="K5" s="118" t="s">
        <v>103</v>
      </c>
      <c r="L5" s="118" t="s">
        <v>11</v>
      </c>
      <c r="M5" s="118" t="s">
        <v>12</v>
      </c>
      <c r="N5" s="118" t="s">
        <v>13</v>
      </c>
      <c r="O5" s="118" t="s">
        <v>56</v>
      </c>
      <c r="P5" s="118" t="s">
        <v>57</v>
      </c>
      <c r="Q5" s="119" t="s">
        <v>134</v>
      </c>
    </row>
    <row r="6" spans="1:19" ht="15" customHeight="1" x14ac:dyDescent="0.2"/>
    <row r="7" spans="1:19" ht="15" customHeight="1" x14ac:dyDescent="0.25">
      <c r="A7" s="82" t="s">
        <v>15</v>
      </c>
      <c r="E7" s="83">
        <f t="shared" ref="E7:Q7" si="0">SUM(E8+E15+E21)</f>
        <v>50742</v>
      </c>
      <c r="F7" s="83">
        <f t="shared" si="0"/>
        <v>40466</v>
      </c>
      <c r="G7" s="83">
        <f t="shared" si="0"/>
        <v>45089</v>
      </c>
      <c r="H7" s="83">
        <f t="shared" si="0"/>
        <v>65755</v>
      </c>
      <c r="I7" s="83">
        <f t="shared" si="0"/>
        <v>54689</v>
      </c>
      <c r="J7" s="83">
        <f t="shared" si="0"/>
        <v>48775</v>
      </c>
      <c r="K7" s="83">
        <f t="shared" si="0"/>
        <v>51717</v>
      </c>
      <c r="L7" s="83">
        <f t="shared" si="0"/>
        <v>51123</v>
      </c>
      <c r="M7" s="83">
        <f t="shared" si="0"/>
        <v>48290</v>
      </c>
      <c r="N7" s="83">
        <f t="shared" si="0"/>
        <v>56153</v>
      </c>
      <c r="O7" s="83">
        <f t="shared" si="0"/>
        <v>56904</v>
      </c>
      <c r="P7" s="83">
        <f t="shared" si="0"/>
        <v>56927</v>
      </c>
      <c r="Q7" s="83">
        <f t="shared" si="0"/>
        <v>626630</v>
      </c>
      <c r="S7" s="83"/>
    </row>
    <row r="8" spans="1:19" ht="15" customHeight="1" x14ac:dyDescent="0.2">
      <c r="B8" s="76" t="s">
        <v>16</v>
      </c>
      <c r="E8" s="84">
        <f t="shared" ref="E8:Q8" si="1">SUM(E9+E11+E13)</f>
        <v>44211</v>
      </c>
      <c r="F8" s="84">
        <f t="shared" si="1"/>
        <v>35628</v>
      </c>
      <c r="G8" s="84">
        <f t="shared" si="1"/>
        <v>38193</v>
      </c>
      <c r="H8" s="84">
        <f t="shared" si="1"/>
        <v>59837</v>
      </c>
      <c r="I8" s="84">
        <f t="shared" si="1"/>
        <v>45604</v>
      </c>
      <c r="J8" s="84">
        <f t="shared" si="1"/>
        <v>41877</v>
      </c>
      <c r="K8" s="84">
        <f t="shared" si="1"/>
        <v>43511</v>
      </c>
      <c r="L8" s="84">
        <f t="shared" si="1"/>
        <v>46912</v>
      </c>
      <c r="M8" s="84">
        <f t="shared" si="1"/>
        <v>38448</v>
      </c>
      <c r="N8" s="84">
        <f t="shared" si="1"/>
        <v>44962</v>
      </c>
      <c r="O8" s="84">
        <f t="shared" si="1"/>
        <v>51595</v>
      </c>
      <c r="P8" s="84">
        <f t="shared" si="1"/>
        <v>46583</v>
      </c>
      <c r="Q8" s="84">
        <f t="shared" si="1"/>
        <v>537361</v>
      </c>
    </row>
    <row r="9" spans="1:19" ht="15" customHeight="1" x14ac:dyDescent="0.2">
      <c r="C9" s="76" t="s">
        <v>17</v>
      </c>
      <c r="E9" s="85">
        <v>34173</v>
      </c>
      <c r="F9" s="85">
        <v>27092</v>
      </c>
      <c r="G9" s="85">
        <v>28656</v>
      </c>
      <c r="H9" s="85">
        <v>50385</v>
      </c>
      <c r="I9" s="85">
        <v>36868</v>
      </c>
      <c r="J9" s="85">
        <v>32033</v>
      </c>
      <c r="K9" s="85">
        <v>33763</v>
      </c>
      <c r="L9" s="85">
        <v>38436</v>
      </c>
      <c r="M9" s="85">
        <v>29647</v>
      </c>
      <c r="N9" s="85">
        <v>35277</v>
      </c>
      <c r="O9" s="85">
        <v>42253</v>
      </c>
      <c r="P9" s="85">
        <v>36769</v>
      </c>
      <c r="Q9" s="85">
        <f>SUM(E9:P9)</f>
        <v>425352</v>
      </c>
    </row>
    <row r="10" spans="1:19" ht="15" customHeight="1" x14ac:dyDescent="0.2">
      <c r="C10" s="76" t="s">
        <v>135</v>
      </c>
      <c r="E10" s="85">
        <v>184</v>
      </c>
      <c r="F10" s="85">
        <v>0</v>
      </c>
      <c r="G10" s="85">
        <v>88</v>
      </c>
      <c r="H10" s="85">
        <v>187</v>
      </c>
      <c r="I10" s="85">
        <v>181</v>
      </c>
      <c r="J10" s="85">
        <v>188</v>
      </c>
      <c r="K10" s="85">
        <v>121</v>
      </c>
      <c r="L10" s="85">
        <v>297</v>
      </c>
      <c r="M10" s="85">
        <v>96</v>
      </c>
      <c r="N10" s="85">
        <v>158</v>
      </c>
      <c r="O10" s="85">
        <v>193</v>
      </c>
      <c r="P10" s="85">
        <v>305</v>
      </c>
      <c r="Q10" s="85">
        <f>SUM(E10:P10)</f>
        <v>1998</v>
      </c>
    </row>
    <row r="11" spans="1:19" ht="15" customHeight="1" x14ac:dyDescent="0.2">
      <c r="C11" s="76" t="s">
        <v>21</v>
      </c>
      <c r="E11" s="85">
        <v>9616</v>
      </c>
      <c r="F11" s="85">
        <v>8096</v>
      </c>
      <c r="G11" s="85">
        <v>9009</v>
      </c>
      <c r="H11" s="85">
        <v>8813</v>
      </c>
      <c r="I11" s="85">
        <v>8186</v>
      </c>
      <c r="J11" s="85">
        <v>9314</v>
      </c>
      <c r="K11" s="85">
        <v>9155</v>
      </c>
      <c r="L11" s="85">
        <v>7857</v>
      </c>
      <c r="M11" s="85">
        <v>8266</v>
      </c>
      <c r="N11" s="85">
        <v>9141</v>
      </c>
      <c r="O11" s="85">
        <v>9033</v>
      </c>
      <c r="P11" s="85">
        <v>9606</v>
      </c>
      <c r="Q11" s="85">
        <f>SUM(E11:P11)</f>
        <v>106092</v>
      </c>
    </row>
    <row r="12" spans="1:19" ht="15" customHeight="1" x14ac:dyDescent="0.2">
      <c r="C12" s="76" t="s">
        <v>136</v>
      </c>
      <c r="E12" s="85">
        <v>0</v>
      </c>
      <c r="F12" s="85">
        <v>9769</v>
      </c>
      <c r="G12" s="85">
        <v>271</v>
      </c>
      <c r="H12" s="85">
        <v>3</v>
      </c>
      <c r="I12" s="85">
        <v>1</v>
      </c>
      <c r="J12" s="85">
        <v>77</v>
      </c>
      <c r="K12" s="85">
        <v>17</v>
      </c>
      <c r="L12" s="85">
        <v>101</v>
      </c>
      <c r="M12" s="85">
        <v>81</v>
      </c>
      <c r="N12" s="85">
        <v>17</v>
      </c>
      <c r="O12" s="85">
        <v>83</v>
      </c>
      <c r="P12" s="85">
        <v>689</v>
      </c>
      <c r="Q12" s="85">
        <f>SUM(E12:P12)</f>
        <v>11109</v>
      </c>
    </row>
    <row r="13" spans="1:19" ht="15" customHeight="1" x14ac:dyDescent="0.2">
      <c r="C13" s="76" t="s">
        <v>88</v>
      </c>
      <c r="E13" s="85">
        <v>422</v>
      </c>
      <c r="F13" s="85">
        <v>440</v>
      </c>
      <c r="G13" s="85">
        <v>528</v>
      </c>
      <c r="H13" s="85">
        <v>639</v>
      </c>
      <c r="I13" s="85">
        <v>550</v>
      </c>
      <c r="J13" s="85">
        <v>530</v>
      </c>
      <c r="K13" s="85">
        <v>593</v>
      </c>
      <c r="L13" s="85">
        <v>619</v>
      </c>
      <c r="M13" s="85">
        <v>535</v>
      </c>
      <c r="N13" s="85">
        <v>544</v>
      </c>
      <c r="O13" s="85">
        <v>309</v>
      </c>
      <c r="P13" s="85">
        <v>208</v>
      </c>
      <c r="Q13" s="85">
        <f>SUM(E13:P13)</f>
        <v>5917</v>
      </c>
    </row>
    <row r="14" spans="1:19" ht="15" customHeight="1" x14ac:dyDescent="0.2"/>
    <row r="15" spans="1:19" ht="15" customHeight="1" x14ac:dyDescent="0.2">
      <c r="B15" s="76" t="s">
        <v>23</v>
      </c>
      <c r="E15" s="84">
        <f t="shared" ref="E15:Q15" si="2">SUM(E16:E19)</f>
        <v>6482</v>
      </c>
      <c r="F15" s="84">
        <f t="shared" si="2"/>
        <v>4743</v>
      </c>
      <c r="G15" s="84">
        <f t="shared" si="2"/>
        <v>6815</v>
      </c>
      <c r="H15" s="84">
        <f t="shared" si="2"/>
        <v>5860</v>
      </c>
      <c r="I15" s="84">
        <f t="shared" si="2"/>
        <v>8587</v>
      </c>
      <c r="J15" s="84">
        <f t="shared" si="2"/>
        <v>6751</v>
      </c>
      <c r="K15" s="84">
        <f t="shared" si="2"/>
        <v>8162.0000000000009</v>
      </c>
      <c r="L15" s="84">
        <f t="shared" si="2"/>
        <v>4131</v>
      </c>
      <c r="M15" s="84">
        <f t="shared" si="2"/>
        <v>9819</v>
      </c>
      <c r="N15" s="84">
        <f t="shared" si="2"/>
        <v>11134.999999999998</v>
      </c>
      <c r="O15" s="84">
        <f t="shared" si="2"/>
        <v>5278</v>
      </c>
      <c r="P15" s="84">
        <f t="shared" si="2"/>
        <v>10308</v>
      </c>
      <c r="Q15" s="84">
        <f t="shared" si="2"/>
        <v>88070.999999999985</v>
      </c>
    </row>
    <row r="16" spans="1:19" ht="15" customHeight="1" x14ac:dyDescent="0.2">
      <c r="C16" s="76" t="s">
        <v>24</v>
      </c>
      <c r="E16" s="85">
        <v>4882</v>
      </c>
      <c r="F16" s="85">
        <v>2584</v>
      </c>
      <c r="G16" s="85">
        <v>6015</v>
      </c>
      <c r="H16" s="85">
        <v>3698</v>
      </c>
      <c r="I16" s="85">
        <v>4737</v>
      </c>
      <c r="J16" s="85">
        <v>3427</v>
      </c>
      <c r="K16" s="85">
        <v>5070</v>
      </c>
      <c r="L16" s="85">
        <v>2441</v>
      </c>
      <c r="M16" s="85">
        <v>6814</v>
      </c>
      <c r="N16" s="85">
        <v>6889</v>
      </c>
      <c r="O16" s="85">
        <v>3502</v>
      </c>
      <c r="P16" s="85">
        <v>6598</v>
      </c>
      <c r="Q16" s="85">
        <f>SUM(E16:P16)</f>
        <v>56657</v>
      </c>
    </row>
    <row r="17" spans="1:18" ht="15" customHeight="1" x14ac:dyDescent="0.2">
      <c r="C17" s="76" t="s">
        <v>113</v>
      </c>
      <c r="E17" s="85">
        <f>1592-E18</f>
        <v>1491.973</v>
      </c>
      <c r="F17" s="85">
        <f>2135-F18</f>
        <v>1959.4780000000001</v>
      </c>
      <c r="G17" s="85">
        <f>791-G18</f>
        <v>664.49800000000005</v>
      </c>
      <c r="H17" s="85">
        <f>2162-H18</f>
        <v>2033.856</v>
      </c>
      <c r="I17" s="85">
        <f>3804-I18</f>
        <v>3701.5390000000002</v>
      </c>
      <c r="J17" s="85">
        <f>3163-J18</f>
        <v>3103.4920000000002</v>
      </c>
      <c r="K17" s="85">
        <f>3080-K18</f>
        <v>2888.047</v>
      </c>
      <c r="L17" s="85">
        <f>1682-L18</f>
        <v>1540.7729999999999</v>
      </c>
      <c r="M17" s="85">
        <f>3005-M18</f>
        <v>2957.7860000000001</v>
      </c>
      <c r="N17" s="85">
        <f>4246-N18</f>
        <v>4017.87</v>
      </c>
      <c r="O17" s="85">
        <f>1660-O18</f>
        <v>1508.886</v>
      </c>
      <c r="P17" s="85">
        <f>3527-P18</f>
        <v>3503.4740000000002</v>
      </c>
      <c r="Q17" s="85">
        <f>SUM(E17:P17)</f>
        <v>29371.671999999999</v>
      </c>
      <c r="R17" s="85"/>
    </row>
    <row r="18" spans="1:18" ht="15" customHeight="1" x14ac:dyDescent="0.2">
      <c r="C18" s="76" t="s">
        <v>27</v>
      </c>
      <c r="E18" s="85">
        <v>100.027</v>
      </c>
      <c r="F18" s="85">
        <v>175.52199999999999</v>
      </c>
      <c r="G18" s="85">
        <v>126.502</v>
      </c>
      <c r="H18" s="85">
        <v>128.14400000000001</v>
      </c>
      <c r="I18" s="85">
        <v>102.461</v>
      </c>
      <c r="J18" s="85">
        <v>59.508000000000003</v>
      </c>
      <c r="K18" s="85">
        <v>191.953</v>
      </c>
      <c r="L18" s="85">
        <v>141.227</v>
      </c>
      <c r="M18" s="85">
        <v>47.213999999999999</v>
      </c>
      <c r="N18" s="85">
        <v>228.13</v>
      </c>
      <c r="O18" s="85">
        <v>151.114</v>
      </c>
      <c r="P18" s="85">
        <v>23.526</v>
      </c>
      <c r="Q18" s="85">
        <f>SUM(E18:P18)</f>
        <v>1475.3280000000002</v>
      </c>
    </row>
    <row r="19" spans="1:18" ht="15" customHeight="1" x14ac:dyDescent="0.2">
      <c r="C19" s="76" t="s">
        <v>26</v>
      </c>
      <c r="E19" s="85">
        <v>8</v>
      </c>
      <c r="F19" s="85">
        <v>24</v>
      </c>
      <c r="G19" s="85">
        <v>9</v>
      </c>
      <c r="H19" s="85">
        <v>0</v>
      </c>
      <c r="I19" s="85">
        <v>46</v>
      </c>
      <c r="J19" s="85">
        <v>161</v>
      </c>
      <c r="K19" s="85">
        <v>12</v>
      </c>
      <c r="L19" s="85">
        <v>8</v>
      </c>
      <c r="M19" s="85">
        <v>0</v>
      </c>
      <c r="N19" s="85">
        <v>0</v>
      </c>
      <c r="O19" s="85">
        <v>116</v>
      </c>
      <c r="P19" s="85">
        <v>183</v>
      </c>
      <c r="Q19" s="85">
        <f>SUM(E19:P19)</f>
        <v>567</v>
      </c>
      <c r="R19" s="85"/>
    </row>
    <row r="20" spans="1:18" ht="15" customHeight="1" x14ac:dyDescent="0.2"/>
    <row r="21" spans="1:18" ht="15" customHeight="1" x14ac:dyDescent="0.2">
      <c r="B21" s="76" t="s">
        <v>29</v>
      </c>
      <c r="E21" s="85">
        <v>49</v>
      </c>
      <c r="F21" s="85">
        <v>95</v>
      </c>
      <c r="G21" s="85">
        <v>81</v>
      </c>
      <c r="H21" s="85">
        <v>58</v>
      </c>
      <c r="I21" s="85">
        <v>498</v>
      </c>
      <c r="J21" s="85">
        <v>147</v>
      </c>
      <c r="K21" s="85">
        <v>44</v>
      </c>
      <c r="L21" s="85">
        <v>80</v>
      </c>
      <c r="M21" s="85">
        <v>23</v>
      </c>
      <c r="N21" s="85">
        <v>56</v>
      </c>
      <c r="O21" s="85">
        <v>31</v>
      </c>
      <c r="P21" s="85">
        <v>36</v>
      </c>
      <c r="Q21" s="85">
        <v>1198</v>
      </c>
      <c r="R21" s="85"/>
    </row>
    <row r="22" spans="1:18" ht="15" customHeight="1" x14ac:dyDescent="0.25"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</row>
    <row r="23" spans="1:18" ht="15" customHeight="1" x14ac:dyDescent="0.25">
      <c r="A23" s="82" t="s">
        <v>30</v>
      </c>
      <c r="E23" s="83">
        <f t="shared" ref="E23:P23" si="3">SUM(E25:E31)</f>
        <v>64690</v>
      </c>
      <c r="F23" s="83">
        <f t="shared" si="3"/>
        <v>58160</v>
      </c>
      <c r="G23" s="83">
        <f t="shared" si="3"/>
        <v>72326</v>
      </c>
      <c r="H23" s="83">
        <f t="shared" si="3"/>
        <v>72339</v>
      </c>
      <c r="I23" s="83">
        <f t="shared" si="3"/>
        <v>64585</v>
      </c>
      <c r="J23" s="83">
        <f t="shared" si="3"/>
        <v>52992</v>
      </c>
      <c r="K23" s="83">
        <f t="shared" si="3"/>
        <v>67536</v>
      </c>
      <c r="L23" s="83">
        <f t="shared" si="3"/>
        <v>69293</v>
      </c>
      <c r="M23" s="83">
        <f t="shared" si="3"/>
        <v>77428</v>
      </c>
      <c r="N23" s="83">
        <f t="shared" si="3"/>
        <v>77324</v>
      </c>
      <c r="O23" s="83">
        <f t="shared" si="3"/>
        <v>65234</v>
      </c>
      <c r="P23" s="83">
        <f t="shared" si="3"/>
        <v>84591</v>
      </c>
      <c r="Q23" s="83">
        <f>SUM(E23:P23)</f>
        <v>826498</v>
      </c>
    </row>
    <row r="24" spans="1:18" ht="13.5" customHeight="1" x14ac:dyDescent="0.25">
      <c r="A24" s="82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</row>
    <row r="25" spans="1:18" ht="15" customHeight="1" x14ac:dyDescent="0.2">
      <c r="C25" s="76" t="s">
        <v>31</v>
      </c>
      <c r="E25" s="85">
        <v>11541</v>
      </c>
      <c r="F25" s="85">
        <v>11307</v>
      </c>
      <c r="G25" s="85">
        <v>11265</v>
      </c>
      <c r="H25" s="85">
        <v>12281</v>
      </c>
      <c r="I25" s="85">
        <v>10815</v>
      </c>
      <c r="J25" s="85">
        <v>11797</v>
      </c>
      <c r="K25" s="85">
        <v>11729</v>
      </c>
      <c r="L25" s="85">
        <v>12538</v>
      </c>
      <c r="M25" s="85">
        <v>15402</v>
      </c>
      <c r="N25" s="85">
        <v>12190</v>
      </c>
      <c r="O25" s="85">
        <v>11988</v>
      </c>
      <c r="P25" s="85">
        <v>12649</v>
      </c>
      <c r="Q25" s="85">
        <f t="shared" ref="Q25:Q31" si="4">SUM(E25:P25)</f>
        <v>145502</v>
      </c>
    </row>
    <row r="26" spans="1:18" ht="15" customHeight="1" x14ac:dyDescent="0.2">
      <c r="C26" s="76" t="s">
        <v>32</v>
      </c>
      <c r="E26" s="85">
        <v>19141</v>
      </c>
      <c r="F26" s="85">
        <v>15512</v>
      </c>
      <c r="G26" s="85">
        <v>25514</v>
      </c>
      <c r="H26" s="85">
        <v>21943</v>
      </c>
      <c r="I26" s="85">
        <v>17441</v>
      </c>
      <c r="J26" s="85">
        <v>11569</v>
      </c>
      <c r="K26" s="85">
        <v>18537</v>
      </c>
      <c r="L26" s="85">
        <v>15573</v>
      </c>
      <c r="M26" s="85">
        <v>23954</v>
      </c>
      <c r="N26" s="85">
        <v>24548</v>
      </c>
      <c r="O26" s="85">
        <v>15737</v>
      </c>
      <c r="P26" s="85">
        <v>16939</v>
      </c>
      <c r="Q26" s="85">
        <f t="shared" si="4"/>
        <v>226408</v>
      </c>
    </row>
    <row r="27" spans="1:18" ht="15" customHeight="1" x14ac:dyDescent="0.2">
      <c r="C27" s="76" t="s">
        <v>33</v>
      </c>
      <c r="E27" s="85">
        <v>184</v>
      </c>
      <c r="F27" s="85">
        <v>9769</v>
      </c>
      <c r="G27" s="85">
        <v>359</v>
      </c>
      <c r="H27" s="85">
        <v>190</v>
      </c>
      <c r="I27" s="85">
        <v>182</v>
      </c>
      <c r="J27" s="85">
        <v>265</v>
      </c>
      <c r="K27" s="85">
        <v>138</v>
      </c>
      <c r="L27" s="85">
        <v>398</v>
      </c>
      <c r="M27" s="85">
        <v>177</v>
      </c>
      <c r="N27" s="85">
        <v>175</v>
      </c>
      <c r="O27" s="85">
        <v>276</v>
      </c>
      <c r="P27" s="85">
        <v>994</v>
      </c>
      <c r="Q27" s="85">
        <f t="shared" si="4"/>
        <v>13107</v>
      </c>
    </row>
    <row r="28" spans="1:18" ht="15" customHeight="1" x14ac:dyDescent="0.2">
      <c r="C28" s="76" t="s">
        <v>78</v>
      </c>
      <c r="E28" s="85">
        <v>2173</v>
      </c>
      <c r="F28" s="85">
        <v>176</v>
      </c>
      <c r="G28" s="85">
        <v>553</v>
      </c>
      <c r="H28" s="85">
        <v>89</v>
      </c>
      <c r="I28" s="85">
        <v>282</v>
      </c>
      <c r="J28" s="85">
        <v>396</v>
      </c>
      <c r="K28" s="85">
        <v>584</v>
      </c>
      <c r="L28" s="85">
        <v>952</v>
      </c>
      <c r="M28" s="85">
        <v>841</v>
      </c>
      <c r="N28" s="85">
        <v>7867</v>
      </c>
      <c r="O28" s="85">
        <v>202</v>
      </c>
      <c r="P28" s="85">
        <v>862</v>
      </c>
      <c r="Q28" s="85">
        <f t="shared" si="4"/>
        <v>14977</v>
      </c>
    </row>
    <row r="29" spans="1:18" ht="15" customHeight="1" x14ac:dyDescent="0.2">
      <c r="C29" s="76" t="s">
        <v>35</v>
      </c>
      <c r="E29" s="85">
        <v>0</v>
      </c>
      <c r="F29" s="85">
        <v>0</v>
      </c>
      <c r="G29" s="85">
        <v>0</v>
      </c>
      <c r="H29" s="85">
        <v>159</v>
      </c>
      <c r="I29" s="85">
        <v>0</v>
      </c>
      <c r="J29" s="85">
        <v>0</v>
      </c>
      <c r="K29" s="85">
        <v>0</v>
      </c>
      <c r="L29" s="85">
        <v>167</v>
      </c>
      <c r="M29" s="85">
        <v>167</v>
      </c>
      <c r="N29" s="85">
        <v>0</v>
      </c>
      <c r="O29" s="85">
        <v>130</v>
      </c>
      <c r="P29" s="85">
        <v>2000</v>
      </c>
      <c r="Q29" s="85">
        <f t="shared" si="4"/>
        <v>2623</v>
      </c>
    </row>
    <row r="30" spans="1:18" ht="15" customHeight="1" x14ac:dyDescent="0.2">
      <c r="C30" s="76" t="s">
        <v>79</v>
      </c>
      <c r="E30" s="85">
        <v>363</v>
      </c>
      <c r="F30" s="85">
        <v>1160</v>
      </c>
      <c r="G30" s="85">
        <v>-217</v>
      </c>
      <c r="H30" s="85">
        <v>632</v>
      </c>
      <c r="I30" s="85">
        <v>96</v>
      </c>
      <c r="J30" s="85">
        <v>759</v>
      </c>
      <c r="K30" s="85">
        <v>75</v>
      </c>
      <c r="L30" s="85">
        <v>548</v>
      </c>
      <c r="M30" s="85">
        <v>1119</v>
      </c>
      <c r="N30" s="85">
        <v>-1895</v>
      </c>
      <c r="O30" s="85">
        <v>589</v>
      </c>
      <c r="P30" s="85">
        <v>2391</v>
      </c>
      <c r="Q30" s="85">
        <f t="shared" si="4"/>
        <v>5620</v>
      </c>
    </row>
    <row r="31" spans="1:18" ht="15" customHeight="1" x14ac:dyDescent="0.2">
      <c r="C31" s="6" t="s">
        <v>80</v>
      </c>
      <c r="E31" s="85">
        <v>31288</v>
      </c>
      <c r="F31" s="85">
        <v>20236</v>
      </c>
      <c r="G31" s="85">
        <v>34852</v>
      </c>
      <c r="H31" s="85">
        <v>37045</v>
      </c>
      <c r="I31" s="85">
        <v>35769</v>
      </c>
      <c r="J31" s="85">
        <v>28206</v>
      </c>
      <c r="K31" s="85">
        <v>36473</v>
      </c>
      <c r="L31" s="85">
        <v>39117</v>
      </c>
      <c r="M31" s="85">
        <v>35768</v>
      </c>
      <c r="N31" s="85">
        <v>34439</v>
      </c>
      <c r="O31" s="85">
        <v>36312</v>
      </c>
      <c r="P31" s="85">
        <v>48756</v>
      </c>
      <c r="Q31" s="85">
        <f t="shared" si="4"/>
        <v>418261</v>
      </c>
    </row>
    <row r="32" spans="1:18" ht="15" customHeight="1" x14ac:dyDescent="0.2">
      <c r="Q32" s="85" t="s">
        <v>58</v>
      </c>
    </row>
    <row r="33" spans="1:35" ht="15" customHeight="1" x14ac:dyDescent="0.25">
      <c r="A33" s="82" t="s">
        <v>137</v>
      </c>
      <c r="B33" s="82"/>
      <c r="C33" s="82"/>
      <c r="D33" s="82"/>
      <c r="E33" s="88">
        <f t="shared" ref="E33:P33" si="5">+E7-E23</f>
        <v>-13948</v>
      </c>
      <c r="F33" s="88">
        <f t="shared" si="5"/>
        <v>-17694</v>
      </c>
      <c r="G33" s="88">
        <f t="shared" si="5"/>
        <v>-27237</v>
      </c>
      <c r="H33" s="88">
        <f t="shared" si="5"/>
        <v>-6584</v>
      </c>
      <c r="I33" s="88">
        <f t="shared" si="5"/>
        <v>-9896</v>
      </c>
      <c r="J33" s="88">
        <f t="shared" si="5"/>
        <v>-4217</v>
      </c>
      <c r="K33" s="88">
        <f t="shared" si="5"/>
        <v>-15819</v>
      </c>
      <c r="L33" s="88">
        <f t="shared" si="5"/>
        <v>-18170</v>
      </c>
      <c r="M33" s="88">
        <f t="shared" si="5"/>
        <v>-29138</v>
      </c>
      <c r="N33" s="88">
        <f t="shared" si="5"/>
        <v>-21171</v>
      </c>
      <c r="O33" s="88">
        <f t="shared" si="5"/>
        <v>-8330</v>
      </c>
      <c r="P33" s="88">
        <f t="shared" si="5"/>
        <v>-27664</v>
      </c>
      <c r="Q33" s="88">
        <f>SUM(E33:P33)</f>
        <v>-199868</v>
      </c>
    </row>
    <row r="34" spans="1:35" ht="15" customHeight="1" x14ac:dyDescent="0.2"/>
    <row r="35" spans="1:35" ht="15" customHeight="1" x14ac:dyDescent="0.25">
      <c r="A35" s="82" t="s">
        <v>39</v>
      </c>
      <c r="B35" s="82"/>
      <c r="C35" s="82"/>
      <c r="D35" s="82"/>
      <c r="E35" s="83">
        <v>23521</v>
      </c>
      <c r="F35" s="83">
        <v>6864</v>
      </c>
      <c r="G35" s="83">
        <v>18311</v>
      </c>
      <c r="H35" s="83">
        <v>26399</v>
      </c>
      <c r="I35" s="83">
        <v>4799</v>
      </c>
      <c r="J35" s="83">
        <v>3651</v>
      </c>
      <c r="K35" s="83">
        <v>104411</v>
      </c>
      <c r="L35" s="83">
        <v>-4742</v>
      </c>
      <c r="M35" s="83">
        <v>13290</v>
      </c>
      <c r="N35" s="83">
        <v>80672</v>
      </c>
      <c r="O35" s="83">
        <v>2257</v>
      </c>
      <c r="P35" s="83">
        <v>7390</v>
      </c>
      <c r="Q35" s="83">
        <v>286823</v>
      </c>
    </row>
    <row r="36" spans="1:35" ht="15" customHeight="1" x14ac:dyDescent="0.2">
      <c r="B36" s="76" t="s">
        <v>40</v>
      </c>
      <c r="E36" s="84">
        <v>23711</v>
      </c>
      <c r="F36" s="84">
        <v>25792</v>
      </c>
      <c r="G36" s="84">
        <v>92</v>
      </c>
      <c r="H36" s="84">
        <v>5192</v>
      </c>
      <c r="I36" s="84">
        <v>-3931</v>
      </c>
      <c r="J36" s="84">
        <v>-4977</v>
      </c>
      <c r="K36" s="84">
        <v>38069</v>
      </c>
      <c r="L36" s="84">
        <v>-6362</v>
      </c>
      <c r="M36" s="84">
        <v>-1096</v>
      </c>
      <c r="N36" s="84">
        <v>59455</v>
      </c>
      <c r="O36" s="84">
        <v>9919</v>
      </c>
      <c r="P36" s="84">
        <v>-2002</v>
      </c>
      <c r="Q36" s="84">
        <v>143862</v>
      </c>
    </row>
    <row r="37" spans="1:35" ht="15" customHeight="1" x14ac:dyDescent="0.2">
      <c r="A37" s="76" t="s">
        <v>58</v>
      </c>
      <c r="C37" s="76" t="s">
        <v>41</v>
      </c>
      <c r="E37" s="85">
        <v>29513</v>
      </c>
      <c r="F37" s="85">
        <v>30526</v>
      </c>
      <c r="G37" s="85">
        <v>2667</v>
      </c>
      <c r="H37" s="85">
        <v>7740</v>
      </c>
      <c r="I37" s="85">
        <v>1045</v>
      </c>
      <c r="J37" s="85">
        <v>1305</v>
      </c>
      <c r="K37" s="85">
        <v>44126</v>
      </c>
      <c r="L37" s="85">
        <v>12415</v>
      </c>
      <c r="M37" s="85">
        <v>6263</v>
      </c>
      <c r="N37" s="85">
        <v>68340</v>
      </c>
      <c r="O37" s="85">
        <v>15159</v>
      </c>
      <c r="P37" s="85">
        <v>21023</v>
      </c>
      <c r="Q37" s="85">
        <v>240122</v>
      </c>
    </row>
    <row r="38" spans="1:35" ht="15" customHeight="1" x14ac:dyDescent="0.2">
      <c r="C38" s="76" t="s">
        <v>42</v>
      </c>
      <c r="E38" s="85">
        <v>5802</v>
      </c>
      <c r="F38" s="85">
        <v>4734</v>
      </c>
      <c r="G38" s="85">
        <v>2575</v>
      </c>
      <c r="H38" s="85">
        <v>2548</v>
      </c>
      <c r="I38" s="85">
        <v>4976</v>
      </c>
      <c r="J38" s="85">
        <v>6282</v>
      </c>
      <c r="K38" s="85">
        <v>6057</v>
      </c>
      <c r="L38" s="85">
        <v>18777</v>
      </c>
      <c r="M38" s="85">
        <v>7359</v>
      </c>
      <c r="N38" s="85">
        <v>8885</v>
      </c>
      <c r="O38" s="85">
        <v>5240</v>
      </c>
      <c r="P38" s="85">
        <v>23025</v>
      </c>
      <c r="Q38" s="85">
        <v>96260</v>
      </c>
    </row>
    <row r="39" spans="1:35" ht="15" customHeight="1" x14ac:dyDescent="0.2"/>
    <row r="40" spans="1:35" ht="15" customHeight="1" x14ac:dyDescent="0.2">
      <c r="B40" s="76" t="s">
        <v>43</v>
      </c>
      <c r="E40" s="84">
        <v>-190</v>
      </c>
      <c r="F40" s="84">
        <v>-18928</v>
      </c>
      <c r="G40" s="84">
        <v>18219</v>
      </c>
      <c r="H40" s="84">
        <v>21207</v>
      </c>
      <c r="I40" s="84">
        <v>8730</v>
      </c>
      <c r="J40" s="84">
        <v>8628</v>
      </c>
      <c r="K40" s="84">
        <v>66342</v>
      </c>
      <c r="L40" s="84">
        <v>1620</v>
      </c>
      <c r="M40" s="84">
        <v>14386</v>
      </c>
      <c r="N40" s="84">
        <v>21217</v>
      </c>
      <c r="O40" s="84">
        <v>-7662</v>
      </c>
      <c r="P40" s="84">
        <v>9392</v>
      </c>
      <c r="Q40" s="84">
        <v>142961</v>
      </c>
    </row>
    <row r="41" spans="1:35" ht="15" customHeight="1" x14ac:dyDescent="0.2">
      <c r="C41" s="76" t="s">
        <v>44</v>
      </c>
      <c r="E41" s="85">
        <v>5971</v>
      </c>
      <c r="F41" s="85">
        <v>-12464</v>
      </c>
      <c r="G41" s="85">
        <v>31444</v>
      </c>
      <c r="H41" s="85">
        <v>29169</v>
      </c>
      <c r="I41" s="85">
        <v>22146</v>
      </c>
      <c r="J41" s="85">
        <v>23786</v>
      </c>
      <c r="K41" s="85">
        <v>93164</v>
      </c>
      <c r="L41" s="85">
        <v>5537</v>
      </c>
      <c r="M41" s="85">
        <v>27714</v>
      </c>
      <c r="N41" s="85">
        <v>34662</v>
      </c>
      <c r="O41" s="85">
        <v>5020</v>
      </c>
      <c r="P41" s="85">
        <v>24134</v>
      </c>
      <c r="Q41" s="85">
        <v>290283</v>
      </c>
    </row>
    <row r="42" spans="1:35" ht="15" customHeight="1" x14ac:dyDescent="0.2">
      <c r="C42" s="76" t="s">
        <v>42</v>
      </c>
      <c r="E42" s="85">
        <v>6161</v>
      </c>
      <c r="F42" s="85">
        <v>6464</v>
      </c>
      <c r="G42" s="85">
        <v>13225</v>
      </c>
      <c r="H42" s="85">
        <v>7962</v>
      </c>
      <c r="I42" s="85">
        <v>13416</v>
      </c>
      <c r="J42" s="85">
        <v>15158</v>
      </c>
      <c r="K42" s="85">
        <v>26822</v>
      </c>
      <c r="L42" s="85">
        <v>3917</v>
      </c>
      <c r="M42" s="85">
        <v>13328</v>
      </c>
      <c r="N42" s="85">
        <v>13445</v>
      </c>
      <c r="O42" s="85">
        <v>12682</v>
      </c>
      <c r="P42" s="85">
        <v>14742</v>
      </c>
      <c r="Q42" s="85">
        <v>147322</v>
      </c>
    </row>
    <row r="43" spans="1:35" ht="15" customHeight="1" x14ac:dyDescent="0.2"/>
    <row r="44" spans="1:35" s="82" customFormat="1" ht="15" customHeight="1" x14ac:dyDescent="0.25">
      <c r="A44" s="82" t="s">
        <v>47</v>
      </c>
      <c r="E44" s="83">
        <v>16487</v>
      </c>
      <c r="F44" s="83">
        <v>-10539</v>
      </c>
      <c r="G44" s="83">
        <v>-9411</v>
      </c>
      <c r="H44" s="83">
        <v>8634</v>
      </c>
      <c r="I44" s="83">
        <v>-13054</v>
      </c>
      <c r="J44" s="83">
        <v>1458</v>
      </c>
      <c r="K44" s="83">
        <v>63880</v>
      </c>
      <c r="L44" s="83">
        <v>-30402</v>
      </c>
      <c r="M44" s="83">
        <v>-27790</v>
      </c>
      <c r="N44" s="83">
        <v>54071</v>
      </c>
      <c r="O44" s="83">
        <v>-19501</v>
      </c>
      <c r="P44" s="83">
        <v>-8066</v>
      </c>
      <c r="Q44" s="83">
        <v>25767</v>
      </c>
      <c r="R44" s="88"/>
    </row>
    <row r="45" spans="1:35" x14ac:dyDescent="0.2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</row>
    <row r="46" spans="1:35" x14ac:dyDescent="0.2">
      <c r="A46" s="86" t="s">
        <v>138</v>
      </c>
    </row>
    <row r="47" spans="1:35" x14ac:dyDescent="0.2">
      <c r="A47" s="86"/>
    </row>
    <row r="49" spans="1:8" s="76" customFormat="1" x14ac:dyDescent="0.2"/>
    <row r="50" spans="1:8" x14ac:dyDescent="0.2">
      <c r="A50" s="86" t="s">
        <v>139</v>
      </c>
      <c r="C50" s="85"/>
      <c r="D50" s="85"/>
      <c r="F50" s="76"/>
      <c r="G50" s="120"/>
      <c r="H50" s="120"/>
    </row>
    <row r="51" spans="1:8" x14ac:dyDescent="0.2">
      <c r="A51" s="86" t="s">
        <v>140</v>
      </c>
      <c r="F51" s="76"/>
      <c r="G51" s="76"/>
      <c r="H51" s="76"/>
    </row>
    <row r="52" spans="1:8" x14ac:dyDescent="0.2">
      <c r="A52" s="86"/>
      <c r="B52" s="86"/>
      <c r="C52" s="86"/>
      <c r="D52" s="86"/>
      <c r="E52" s="121"/>
    </row>
    <row r="53" spans="1:8" x14ac:dyDescent="0.2">
      <c r="A53" s="86"/>
      <c r="B53" s="86"/>
      <c r="C53" s="86"/>
      <c r="D53" s="86"/>
      <c r="E53" s="121"/>
    </row>
    <row r="54" spans="1:8" x14ac:dyDescent="0.2">
      <c r="A54" s="86"/>
      <c r="B54" s="86"/>
      <c r="C54" s="86"/>
      <c r="D54" s="86"/>
      <c r="E54" s="121"/>
    </row>
    <row r="55" spans="1:8" x14ac:dyDescent="0.2">
      <c r="A55" s="86"/>
      <c r="B55" s="86"/>
      <c r="C55" s="86"/>
      <c r="D55" s="86"/>
      <c r="E55" s="121"/>
    </row>
  </sheetData>
  <mergeCells count="1">
    <mergeCell ref="A5:C5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MJ55"/>
  <sheetViews>
    <sheetView zoomScaleNormal="100" workbookViewId="0">
      <selection activeCell="C31" sqref="C31"/>
    </sheetView>
  </sheetViews>
  <sheetFormatPr defaultColWidth="9.140625" defaultRowHeight="14.25" x14ac:dyDescent="0.2"/>
  <cols>
    <col min="1" max="1" width="1.7109375" style="76" customWidth="1"/>
    <col min="2" max="2" width="1.85546875" style="76" customWidth="1"/>
    <col min="3" max="3" width="23.7109375" style="76" customWidth="1"/>
    <col min="4" max="4" width="0.42578125" style="76" customWidth="1"/>
    <col min="5" max="16" width="8.7109375" style="85" customWidth="1"/>
    <col min="17" max="17" width="9.85546875" style="85" customWidth="1"/>
    <col min="18" max="1024" width="9.140625" style="76"/>
  </cols>
  <sheetData>
    <row r="1" spans="1:17" ht="15" x14ac:dyDescent="0.25">
      <c r="A1" s="82" t="s">
        <v>0</v>
      </c>
    </row>
    <row r="2" spans="1:17" ht="15" x14ac:dyDescent="0.25">
      <c r="A2" s="82" t="s">
        <v>141</v>
      </c>
    </row>
    <row r="3" spans="1:17" ht="15" x14ac:dyDescent="0.25">
      <c r="A3" s="76" t="s">
        <v>2</v>
      </c>
      <c r="F3" s="85" t="s">
        <v>58</v>
      </c>
      <c r="G3" s="83"/>
    </row>
    <row r="5" spans="1:17" ht="22.5" customHeight="1" x14ac:dyDescent="0.2">
      <c r="A5" s="188" t="s">
        <v>3</v>
      </c>
      <c r="B5" s="188"/>
      <c r="C5" s="188"/>
      <c r="D5" s="188"/>
      <c r="E5" s="118" t="s">
        <v>4</v>
      </c>
      <c r="F5" s="118" t="s">
        <v>5</v>
      </c>
      <c r="G5" s="118" t="s">
        <v>6</v>
      </c>
      <c r="H5" s="118" t="s">
        <v>7</v>
      </c>
      <c r="I5" s="118" t="s">
        <v>8</v>
      </c>
      <c r="J5" s="118" t="s">
        <v>9</v>
      </c>
      <c r="K5" s="118" t="s">
        <v>103</v>
      </c>
      <c r="L5" s="118" t="s">
        <v>11</v>
      </c>
      <c r="M5" s="118" t="s">
        <v>12</v>
      </c>
      <c r="N5" s="118" t="s">
        <v>13</v>
      </c>
      <c r="O5" s="118" t="s">
        <v>56</v>
      </c>
      <c r="P5" s="118" t="s">
        <v>57</v>
      </c>
      <c r="Q5" s="119" t="s">
        <v>134</v>
      </c>
    </row>
    <row r="6" spans="1:17" ht="15.75" customHeight="1" x14ac:dyDescent="0.2"/>
    <row r="7" spans="1:17" ht="15.75" customHeight="1" x14ac:dyDescent="0.25">
      <c r="A7" s="82" t="s">
        <v>15</v>
      </c>
      <c r="E7" s="83">
        <f t="shared" ref="E7:Q7" si="0">SUM(E8+E15+E21)</f>
        <v>47300</v>
      </c>
      <c r="F7" s="83">
        <f t="shared" si="0"/>
        <v>37899</v>
      </c>
      <c r="G7" s="83">
        <f t="shared" si="0"/>
        <v>39922</v>
      </c>
      <c r="H7" s="83">
        <f t="shared" si="0"/>
        <v>55607</v>
      </c>
      <c r="I7" s="83">
        <f t="shared" si="0"/>
        <v>43116</v>
      </c>
      <c r="J7" s="83">
        <f t="shared" si="0"/>
        <v>42679</v>
      </c>
      <c r="K7" s="83">
        <f t="shared" si="0"/>
        <v>46570</v>
      </c>
      <c r="L7" s="83">
        <f t="shared" si="0"/>
        <v>50274</v>
      </c>
      <c r="M7" s="83">
        <f t="shared" si="0"/>
        <v>46266</v>
      </c>
      <c r="N7" s="83">
        <f t="shared" si="0"/>
        <v>43553</v>
      </c>
      <c r="O7" s="83">
        <f t="shared" si="0"/>
        <v>53446</v>
      </c>
      <c r="P7" s="83">
        <f t="shared" si="0"/>
        <v>60510</v>
      </c>
      <c r="Q7" s="83">
        <f t="shared" si="0"/>
        <v>567141</v>
      </c>
    </row>
    <row r="8" spans="1:17" ht="15.75" customHeight="1" x14ac:dyDescent="0.2">
      <c r="B8" s="76" t="s">
        <v>16</v>
      </c>
      <c r="E8" s="84">
        <f t="shared" ref="E8:Q8" si="1">SUM(E9+E11+E13)</f>
        <v>42342</v>
      </c>
      <c r="F8" s="84">
        <f t="shared" si="1"/>
        <v>32087</v>
      </c>
      <c r="G8" s="84">
        <f t="shared" si="1"/>
        <v>34085</v>
      </c>
      <c r="H8" s="84">
        <f t="shared" si="1"/>
        <v>51283</v>
      </c>
      <c r="I8" s="84">
        <f t="shared" si="1"/>
        <v>39170</v>
      </c>
      <c r="J8" s="84">
        <f t="shared" si="1"/>
        <v>36753</v>
      </c>
      <c r="K8" s="84">
        <f t="shared" si="1"/>
        <v>38628</v>
      </c>
      <c r="L8" s="84">
        <f t="shared" si="1"/>
        <v>43801</v>
      </c>
      <c r="M8" s="84">
        <f t="shared" si="1"/>
        <v>41103</v>
      </c>
      <c r="N8" s="84">
        <f t="shared" si="1"/>
        <v>39161</v>
      </c>
      <c r="O8" s="84">
        <f t="shared" si="1"/>
        <v>49197</v>
      </c>
      <c r="P8" s="84">
        <f t="shared" si="1"/>
        <v>48762</v>
      </c>
      <c r="Q8" s="84">
        <f t="shared" si="1"/>
        <v>496372</v>
      </c>
    </row>
    <row r="9" spans="1:17" ht="15.75" customHeight="1" x14ac:dyDescent="0.2">
      <c r="C9" s="76" t="s">
        <v>17</v>
      </c>
      <c r="E9" s="85">
        <v>35037</v>
      </c>
      <c r="F9" s="85">
        <v>24852</v>
      </c>
      <c r="G9" s="85">
        <v>26734</v>
      </c>
      <c r="H9" s="85">
        <v>42484</v>
      </c>
      <c r="I9" s="85">
        <v>30887</v>
      </c>
      <c r="J9" s="85">
        <v>28711</v>
      </c>
      <c r="K9" s="85">
        <v>30248</v>
      </c>
      <c r="L9" s="85">
        <v>34176</v>
      </c>
      <c r="M9" s="85">
        <v>32365</v>
      </c>
      <c r="N9" s="85">
        <v>30465</v>
      </c>
      <c r="O9" s="85">
        <v>40824</v>
      </c>
      <c r="P9" s="85">
        <v>37766</v>
      </c>
      <c r="Q9" s="85">
        <f>SUM(E9:P9)</f>
        <v>394549</v>
      </c>
    </row>
    <row r="10" spans="1:17" ht="15.75" customHeight="1" x14ac:dyDescent="0.2">
      <c r="C10" s="76" t="s">
        <v>142</v>
      </c>
      <c r="E10" s="85">
        <v>0</v>
      </c>
      <c r="F10" s="85">
        <v>6149</v>
      </c>
      <c r="G10" s="85">
        <v>0</v>
      </c>
      <c r="H10" s="85">
        <v>383</v>
      </c>
      <c r="I10" s="85">
        <v>0</v>
      </c>
      <c r="J10" s="85">
        <v>380</v>
      </c>
      <c r="K10" s="85">
        <v>476</v>
      </c>
      <c r="L10" s="85">
        <v>0</v>
      </c>
      <c r="M10" s="85">
        <v>511</v>
      </c>
      <c r="N10" s="85">
        <v>0</v>
      </c>
      <c r="O10" s="85">
        <v>173</v>
      </c>
      <c r="P10" s="85">
        <v>121</v>
      </c>
      <c r="Q10" s="85">
        <f>SUM(E10:P10)</f>
        <v>8193</v>
      </c>
    </row>
    <row r="11" spans="1:17" ht="15.75" customHeight="1" x14ac:dyDescent="0.2">
      <c r="C11" s="76" t="s">
        <v>21</v>
      </c>
      <c r="E11" s="85">
        <v>6893</v>
      </c>
      <c r="F11" s="85">
        <v>6826</v>
      </c>
      <c r="G11" s="85">
        <v>6982</v>
      </c>
      <c r="H11" s="85">
        <v>8375</v>
      </c>
      <c r="I11" s="85">
        <v>7701</v>
      </c>
      <c r="J11" s="85">
        <v>7624</v>
      </c>
      <c r="K11" s="85">
        <v>7864</v>
      </c>
      <c r="L11" s="85">
        <v>9212</v>
      </c>
      <c r="M11" s="85">
        <v>8107</v>
      </c>
      <c r="N11" s="85">
        <v>8233</v>
      </c>
      <c r="O11" s="85">
        <v>8215</v>
      </c>
      <c r="P11" s="85">
        <v>10218</v>
      </c>
      <c r="Q11" s="85">
        <f>SUM(E11:P11)</f>
        <v>96250</v>
      </c>
    </row>
    <row r="12" spans="1:17" ht="15.75" customHeight="1" x14ac:dyDescent="0.2">
      <c r="C12" s="76" t="s">
        <v>143</v>
      </c>
      <c r="E12" s="85">
        <v>0</v>
      </c>
      <c r="F12" s="85">
        <v>0</v>
      </c>
      <c r="G12" s="85">
        <v>20</v>
      </c>
      <c r="H12" s="85">
        <v>0</v>
      </c>
      <c r="I12" s="85">
        <v>1867</v>
      </c>
      <c r="J12" s="85">
        <v>28</v>
      </c>
      <c r="K12" s="85">
        <v>0</v>
      </c>
      <c r="L12" s="85">
        <v>106</v>
      </c>
      <c r="M12" s="85">
        <v>160</v>
      </c>
      <c r="N12" s="85">
        <v>76</v>
      </c>
      <c r="O12" s="85">
        <v>226</v>
      </c>
      <c r="P12" s="85">
        <v>589</v>
      </c>
      <c r="Q12" s="85">
        <f>SUM(E12:P12)</f>
        <v>3072</v>
      </c>
    </row>
    <row r="13" spans="1:17" ht="15.75" customHeight="1" x14ac:dyDescent="0.2">
      <c r="C13" s="76" t="s">
        <v>88</v>
      </c>
      <c r="E13" s="85">
        <v>412</v>
      </c>
      <c r="F13" s="85">
        <v>409</v>
      </c>
      <c r="G13" s="85">
        <v>369</v>
      </c>
      <c r="H13" s="85">
        <v>424</v>
      </c>
      <c r="I13" s="85">
        <v>582</v>
      </c>
      <c r="J13" s="85">
        <v>418</v>
      </c>
      <c r="K13" s="85">
        <v>516</v>
      </c>
      <c r="L13" s="85">
        <v>413</v>
      </c>
      <c r="M13" s="85">
        <v>631</v>
      </c>
      <c r="N13" s="85">
        <v>463</v>
      </c>
      <c r="O13" s="85">
        <v>158</v>
      </c>
      <c r="P13" s="85">
        <v>778</v>
      </c>
      <c r="Q13" s="85">
        <f>SUM(E13:P13)</f>
        <v>5573</v>
      </c>
    </row>
    <row r="14" spans="1:17" ht="15.75" customHeight="1" x14ac:dyDescent="0.2"/>
    <row r="15" spans="1:17" ht="15.75" customHeight="1" x14ac:dyDescent="0.2">
      <c r="B15" s="76" t="s">
        <v>23</v>
      </c>
      <c r="E15" s="84">
        <f t="shared" ref="E15:P15" si="2">SUM(E16:E19)</f>
        <v>4958</v>
      </c>
      <c r="F15" s="84">
        <f t="shared" si="2"/>
        <v>5774</v>
      </c>
      <c r="G15" s="84">
        <f t="shared" si="2"/>
        <v>5835</v>
      </c>
      <c r="H15" s="84">
        <f t="shared" si="2"/>
        <v>4264</v>
      </c>
      <c r="I15" s="84">
        <f t="shared" si="2"/>
        <v>3913</v>
      </c>
      <c r="J15" s="84">
        <f t="shared" si="2"/>
        <v>5887</v>
      </c>
      <c r="K15" s="84">
        <f t="shared" si="2"/>
        <v>7804</v>
      </c>
      <c r="L15" s="84">
        <f t="shared" si="2"/>
        <v>6385</v>
      </c>
      <c r="M15" s="84">
        <f t="shared" si="2"/>
        <v>5063</v>
      </c>
      <c r="N15" s="84">
        <f t="shared" si="2"/>
        <v>4220</v>
      </c>
      <c r="O15" s="84">
        <f t="shared" si="2"/>
        <v>4193</v>
      </c>
      <c r="P15" s="84">
        <f t="shared" si="2"/>
        <v>11422</v>
      </c>
      <c r="Q15" s="84">
        <f>SUM(Q16:Q19)-1</f>
        <v>69717</v>
      </c>
    </row>
    <row r="16" spans="1:17" ht="15.75" customHeight="1" x14ac:dyDescent="0.2">
      <c r="C16" s="76" t="s">
        <v>24</v>
      </c>
      <c r="E16" s="85">
        <v>2176</v>
      </c>
      <c r="F16" s="85">
        <v>1769</v>
      </c>
      <c r="G16" s="85">
        <v>4158</v>
      </c>
      <c r="H16" s="85">
        <v>2129</v>
      </c>
      <c r="I16" s="85">
        <v>2422</v>
      </c>
      <c r="J16" s="85">
        <v>3804</v>
      </c>
      <c r="K16" s="85">
        <v>5523</v>
      </c>
      <c r="L16" s="85">
        <v>5263</v>
      </c>
      <c r="M16" s="85">
        <v>4510</v>
      </c>
      <c r="N16" s="85">
        <v>2214</v>
      </c>
      <c r="O16" s="85">
        <v>2836</v>
      </c>
      <c r="P16" s="85">
        <v>10390</v>
      </c>
      <c r="Q16" s="85">
        <f>SUM(E16:P16)</f>
        <v>47194</v>
      </c>
    </row>
    <row r="17" spans="1:18" ht="15.75" customHeight="1" x14ac:dyDescent="0.2">
      <c r="C17" s="76" t="s">
        <v>113</v>
      </c>
      <c r="E17" s="85">
        <v>2778</v>
      </c>
      <c r="F17" s="85">
        <v>3964</v>
      </c>
      <c r="G17" s="85">
        <v>1666</v>
      </c>
      <c r="H17" s="85">
        <f>2072-H18</f>
        <v>2071</v>
      </c>
      <c r="I17" s="85">
        <f>1469-I18</f>
        <v>1347.581725</v>
      </c>
      <c r="J17" s="85">
        <f>1988-J18</f>
        <v>1939.8337100000001</v>
      </c>
      <c r="K17" s="85">
        <f>2280-K18</f>
        <v>2276</v>
      </c>
      <c r="L17" s="85">
        <f>1114-L18</f>
        <v>1048.203569</v>
      </c>
      <c r="M17" s="85">
        <f>511-M18</f>
        <v>468.116243</v>
      </c>
      <c r="N17" s="85">
        <f>2006-N18</f>
        <v>1813.2548750000001</v>
      </c>
      <c r="O17" s="85">
        <f>1256-O18</f>
        <v>1179.610261</v>
      </c>
      <c r="P17" s="85">
        <f>828-P18</f>
        <v>735.56140400000004</v>
      </c>
      <c r="Q17" s="85">
        <f>SUM(E17:P17)</f>
        <v>21287.161787000001</v>
      </c>
    </row>
    <row r="18" spans="1:18" ht="15.75" customHeight="1" x14ac:dyDescent="0.2">
      <c r="C18" s="76" t="s">
        <v>27</v>
      </c>
      <c r="E18" s="85">
        <v>0</v>
      </c>
      <c r="F18" s="85">
        <v>0</v>
      </c>
      <c r="G18" s="85">
        <v>1</v>
      </c>
      <c r="H18" s="85">
        <v>1</v>
      </c>
      <c r="I18" s="85">
        <v>121.41827499999999</v>
      </c>
      <c r="J18" s="85">
        <v>48.166289999999996</v>
      </c>
      <c r="K18" s="85">
        <v>4</v>
      </c>
      <c r="L18" s="85">
        <v>65.796430999999998</v>
      </c>
      <c r="M18" s="85">
        <v>42.883757000000003</v>
      </c>
      <c r="N18" s="85">
        <v>192.745125</v>
      </c>
      <c r="O18" s="85">
        <v>76.389739000000006</v>
      </c>
      <c r="P18" s="85">
        <v>92.438596000000004</v>
      </c>
      <c r="Q18" s="85">
        <f>SUM(E18:P18)</f>
        <v>645.83821299999988</v>
      </c>
    </row>
    <row r="19" spans="1:18" ht="15.75" customHeight="1" x14ac:dyDescent="0.2">
      <c r="C19" s="76" t="s">
        <v>26</v>
      </c>
      <c r="E19" s="85">
        <v>4</v>
      </c>
      <c r="F19" s="85">
        <v>41</v>
      </c>
      <c r="G19" s="85">
        <v>10</v>
      </c>
      <c r="H19" s="85">
        <v>63</v>
      </c>
      <c r="I19" s="85">
        <v>22</v>
      </c>
      <c r="J19" s="85">
        <v>95</v>
      </c>
      <c r="K19" s="85">
        <v>1</v>
      </c>
      <c r="L19" s="85">
        <v>8</v>
      </c>
      <c r="M19" s="85">
        <v>42</v>
      </c>
      <c r="N19" s="85">
        <v>0</v>
      </c>
      <c r="O19" s="85">
        <v>101</v>
      </c>
      <c r="P19" s="85">
        <v>204</v>
      </c>
      <c r="Q19" s="85">
        <f>SUM(E19:P19)</f>
        <v>591</v>
      </c>
    </row>
    <row r="20" spans="1:18" ht="15.75" customHeight="1" x14ac:dyDescent="0.2"/>
    <row r="21" spans="1:18" ht="15.75" customHeight="1" x14ac:dyDescent="0.2">
      <c r="B21" s="76" t="s">
        <v>29</v>
      </c>
      <c r="E21" s="85">
        <v>0</v>
      </c>
      <c r="F21" s="85">
        <v>38</v>
      </c>
      <c r="G21" s="85">
        <v>2</v>
      </c>
      <c r="H21" s="85">
        <v>60</v>
      </c>
      <c r="I21" s="85">
        <v>33</v>
      </c>
      <c r="J21" s="85">
        <v>39</v>
      </c>
      <c r="K21" s="85">
        <v>138</v>
      </c>
      <c r="L21" s="85">
        <v>88</v>
      </c>
      <c r="M21" s="85">
        <v>100</v>
      </c>
      <c r="N21" s="85">
        <v>172</v>
      </c>
      <c r="O21" s="85">
        <v>56</v>
      </c>
      <c r="P21" s="85">
        <v>326</v>
      </c>
      <c r="Q21" s="85">
        <v>1052</v>
      </c>
    </row>
    <row r="22" spans="1:18" ht="15.75" customHeight="1" x14ac:dyDescent="0.25"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5"/>
    </row>
    <row r="23" spans="1:18" ht="15.75" customHeight="1" x14ac:dyDescent="0.25">
      <c r="A23" s="82" t="s">
        <v>30</v>
      </c>
      <c r="E23" s="83">
        <f t="shared" ref="E23:P23" si="3">SUM(E25:E31)</f>
        <v>62279</v>
      </c>
      <c r="F23" s="83">
        <f t="shared" si="3"/>
        <v>58861</v>
      </c>
      <c r="G23" s="83">
        <f t="shared" si="3"/>
        <v>65188</v>
      </c>
      <c r="H23" s="83">
        <f t="shared" si="3"/>
        <v>77363</v>
      </c>
      <c r="I23" s="83">
        <f t="shared" si="3"/>
        <v>67692</v>
      </c>
      <c r="J23" s="83">
        <f t="shared" si="3"/>
        <v>54857</v>
      </c>
      <c r="K23" s="83">
        <f t="shared" si="3"/>
        <v>58697</v>
      </c>
      <c r="L23" s="83">
        <f t="shared" si="3"/>
        <v>62462</v>
      </c>
      <c r="M23" s="83">
        <f t="shared" si="3"/>
        <v>68706</v>
      </c>
      <c r="N23" s="83">
        <f t="shared" si="3"/>
        <v>64647</v>
      </c>
      <c r="O23" s="83">
        <f t="shared" si="3"/>
        <v>66433</v>
      </c>
      <c r="P23" s="83">
        <f t="shared" si="3"/>
        <v>70697</v>
      </c>
      <c r="Q23" s="83">
        <f>SUM(E23:P23)</f>
        <v>777882</v>
      </c>
    </row>
    <row r="24" spans="1:18" ht="15.75" customHeight="1" x14ac:dyDescent="0.25">
      <c r="A24" s="82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</row>
    <row r="25" spans="1:18" ht="15.75" customHeight="1" x14ac:dyDescent="0.2">
      <c r="C25" s="76" t="s">
        <v>31</v>
      </c>
      <c r="E25" s="85">
        <v>11807</v>
      </c>
      <c r="F25" s="85">
        <v>11383</v>
      </c>
      <c r="G25" s="85">
        <v>11789</v>
      </c>
      <c r="H25" s="85">
        <v>12410</v>
      </c>
      <c r="I25" s="85">
        <v>11449</v>
      </c>
      <c r="J25" s="85">
        <v>12453</v>
      </c>
      <c r="K25" s="85">
        <v>11142</v>
      </c>
      <c r="L25" s="85">
        <v>11381</v>
      </c>
      <c r="M25" s="85">
        <v>11982</v>
      </c>
      <c r="N25" s="85">
        <v>12100</v>
      </c>
      <c r="O25" s="85">
        <v>11298</v>
      </c>
      <c r="P25" s="85">
        <v>11346</v>
      </c>
      <c r="Q25" s="85">
        <f t="shared" ref="Q25:Q31" si="4">SUM(E25:P25)</f>
        <v>140540</v>
      </c>
    </row>
    <row r="26" spans="1:18" ht="15.75" customHeight="1" x14ac:dyDescent="0.2">
      <c r="C26" s="76" t="s">
        <v>32</v>
      </c>
      <c r="E26" s="85">
        <v>15045</v>
      </c>
      <c r="F26" s="85">
        <v>12203</v>
      </c>
      <c r="G26" s="85">
        <v>14460</v>
      </c>
      <c r="H26" s="85">
        <v>17566</v>
      </c>
      <c r="I26" s="85">
        <v>13045</v>
      </c>
      <c r="J26" s="85">
        <v>9324</v>
      </c>
      <c r="K26" s="85">
        <v>15994</v>
      </c>
      <c r="L26" s="85">
        <v>14406</v>
      </c>
      <c r="M26" s="85">
        <v>24693</v>
      </c>
      <c r="N26" s="85">
        <v>18472</v>
      </c>
      <c r="O26" s="85">
        <v>15484</v>
      </c>
      <c r="P26" s="85">
        <v>15169</v>
      </c>
      <c r="Q26" s="85">
        <f t="shared" si="4"/>
        <v>185861</v>
      </c>
    </row>
    <row r="27" spans="1:18" ht="15.75" customHeight="1" x14ac:dyDescent="0.2">
      <c r="C27" s="76" t="s">
        <v>33</v>
      </c>
      <c r="E27" s="85">
        <v>0</v>
      </c>
      <c r="F27" s="85">
        <v>6149</v>
      </c>
      <c r="G27" s="85">
        <v>20</v>
      </c>
      <c r="H27" s="85">
        <v>383</v>
      </c>
      <c r="I27" s="85">
        <v>1867</v>
      </c>
      <c r="J27" s="85">
        <v>408</v>
      </c>
      <c r="K27" s="85">
        <v>476</v>
      </c>
      <c r="L27" s="85">
        <v>106</v>
      </c>
      <c r="M27" s="85">
        <v>671</v>
      </c>
      <c r="N27" s="85">
        <v>76</v>
      </c>
      <c r="O27" s="85">
        <v>399</v>
      </c>
      <c r="P27" s="85">
        <v>710</v>
      </c>
      <c r="Q27" s="85">
        <f t="shared" si="4"/>
        <v>11265</v>
      </c>
    </row>
    <row r="28" spans="1:18" ht="15.75" customHeight="1" x14ac:dyDescent="0.2">
      <c r="C28" s="76" t="s">
        <v>78</v>
      </c>
      <c r="E28" s="85">
        <v>151</v>
      </c>
      <c r="F28" s="85">
        <v>864</v>
      </c>
      <c r="G28" s="85">
        <v>524</v>
      </c>
      <c r="H28" s="85">
        <v>2032</v>
      </c>
      <c r="I28" s="85">
        <v>1285</v>
      </c>
      <c r="J28" s="85">
        <v>442</v>
      </c>
      <c r="K28" s="85">
        <v>837</v>
      </c>
      <c r="L28" s="85">
        <v>148</v>
      </c>
      <c r="M28" s="85">
        <v>144</v>
      </c>
      <c r="N28" s="85">
        <v>151</v>
      </c>
      <c r="O28" s="85">
        <v>351</v>
      </c>
      <c r="P28" s="85">
        <v>655</v>
      </c>
      <c r="Q28" s="85">
        <f t="shared" si="4"/>
        <v>7584</v>
      </c>
    </row>
    <row r="29" spans="1:18" ht="15.75" customHeight="1" x14ac:dyDescent="0.2">
      <c r="C29" s="76" t="s">
        <v>35</v>
      </c>
      <c r="E29" s="85">
        <v>0</v>
      </c>
      <c r="F29" s="85">
        <v>0</v>
      </c>
      <c r="G29" s="85">
        <v>0</v>
      </c>
      <c r="H29" s="85">
        <v>540</v>
      </c>
      <c r="I29" s="85">
        <v>45</v>
      </c>
      <c r="J29" s="85">
        <v>0</v>
      </c>
      <c r="K29" s="85">
        <v>100</v>
      </c>
      <c r="L29" s="85">
        <v>250</v>
      </c>
      <c r="M29" s="85">
        <v>0</v>
      </c>
      <c r="N29" s="85">
        <v>500</v>
      </c>
      <c r="O29" s="85">
        <v>0</v>
      </c>
      <c r="P29" s="85">
        <v>51</v>
      </c>
      <c r="Q29" s="85">
        <f t="shared" si="4"/>
        <v>1486</v>
      </c>
    </row>
    <row r="30" spans="1:18" ht="15.75" customHeight="1" x14ac:dyDescent="0.2">
      <c r="C30" s="76" t="s">
        <v>79</v>
      </c>
      <c r="E30" s="85">
        <v>500</v>
      </c>
      <c r="F30" s="85">
        <v>248</v>
      </c>
      <c r="G30" s="85">
        <v>495</v>
      </c>
      <c r="H30" s="85">
        <v>1038</v>
      </c>
      <c r="I30" s="85">
        <v>752</v>
      </c>
      <c r="J30" s="85">
        <v>534</v>
      </c>
      <c r="K30" s="85">
        <v>41</v>
      </c>
      <c r="L30" s="85">
        <v>-455</v>
      </c>
      <c r="M30" s="85">
        <v>191</v>
      </c>
      <c r="N30" s="85">
        <v>1250</v>
      </c>
      <c r="O30" s="85">
        <v>472</v>
      </c>
      <c r="P30" s="85">
        <v>-2440</v>
      </c>
      <c r="Q30" s="85">
        <f t="shared" si="4"/>
        <v>2626</v>
      </c>
    </row>
    <row r="31" spans="1:18" ht="15.75" customHeight="1" x14ac:dyDescent="0.2">
      <c r="C31" s="6" t="s">
        <v>80</v>
      </c>
      <c r="E31" s="85">
        <v>34776</v>
      </c>
      <c r="F31" s="85">
        <v>28014</v>
      </c>
      <c r="G31" s="85">
        <v>37900</v>
      </c>
      <c r="H31" s="85">
        <v>43394</v>
      </c>
      <c r="I31" s="85">
        <v>39249</v>
      </c>
      <c r="J31" s="85">
        <v>31696</v>
      </c>
      <c r="K31" s="85">
        <v>30107</v>
      </c>
      <c r="L31" s="85">
        <v>36626</v>
      </c>
      <c r="M31" s="85">
        <v>31025</v>
      </c>
      <c r="N31" s="85">
        <v>32098</v>
      </c>
      <c r="O31" s="85">
        <v>38429</v>
      </c>
      <c r="P31" s="85">
        <v>45206</v>
      </c>
      <c r="Q31" s="85">
        <f t="shared" si="4"/>
        <v>428520</v>
      </c>
    </row>
    <row r="32" spans="1:18" ht="15.75" customHeight="1" x14ac:dyDescent="0.2"/>
    <row r="33" spans="1:18" ht="15.75" customHeight="1" x14ac:dyDescent="0.25">
      <c r="A33" s="82" t="s">
        <v>137</v>
      </c>
      <c r="B33" s="82"/>
      <c r="C33" s="82"/>
      <c r="D33" s="82"/>
      <c r="E33" s="88">
        <f t="shared" ref="E33:P33" si="5">+E7-E23</f>
        <v>-14979</v>
      </c>
      <c r="F33" s="88">
        <f t="shared" si="5"/>
        <v>-20962</v>
      </c>
      <c r="G33" s="88">
        <f t="shared" si="5"/>
        <v>-25266</v>
      </c>
      <c r="H33" s="88">
        <f t="shared" si="5"/>
        <v>-21756</v>
      </c>
      <c r="I33" s="88">
        <f t="shared" si="5"/>
        <v>-24576</v>
      </c>
      <c r="J33" s="88">
        <f t="shared" si="5"/>
        <v>-12178</v>
      </c>
      <c r="K33" s="88">
        <f t="shared" si="5"/>
        <v>-12127</v>
      </c>
      <c r="L33" s="88">
        <f t="shared" si="5"/>
        <v>-12188</v>
      </c>
      <c r="M33" s="88">
        <f t="shared" si="5"/>
        <v>-22440</v>
      </c>
      <c r="N33" s="88">
        <f t="shared" si="5"/>
        <v>-21094</v>
      </c>
      <c r="O33" s="88">
        <f t="shared" si="5"/>
        <v>-12987</v>
      </c>
      <c r="P33" s="88">
        <f t="shared" si="5"/>
        <v>-10187</v>
      </c>
      <c r="Q33" s="88">
        <f>SUM(E33:P33)</f>
        <v>-210740</v>
      </c>
    </row>
    <row r="34" spans="1:18" ht="15.75" customHeight="1" x14ac:dyDescent="0.2"/>
    <row r="35" spans="1:18" ht="15.75" customHeight="1" x14ac:dyDescent="0.25">
      <c r="A35" s="82" t="s">
        <v>39</v>
      </c>
      <c r="B35" s="82"/>
      <c r="C35" s="82"/>
      <c r="D35" s="82"/>
      <c r="E35" s="83">
        <v>47429</v>
      </c>
      <c r="F35" s="83">
        <v>4123</v>
      </c>
      <c r="G35" s="83">
        <v>47797</v>
      </c>
      <c r="H35" s="83">
        <v>38974</v>
      </c>
      <c r="I35" s="83">
        <v>12340</v>
      </c>
      <c r="J35" s="83">
        <v>44798</v>
      </c>
      <c r="K35" s="83">
        <v>-9217</v>
      </c>
      <c r="L35" s="83">
        <v>14297</v>
      </c>
      <c r="M35" s="83">
        <v>13228</v>
      </c>
      <c r="N35" s="83">
        <v>21333</v>
      </c>
      <c r="O35" s="83">
        <v>47465</v>
      </c>
      <c r="P35" s="83">
        <v>-18409</v>
      </c>
      <c r="Q35" s="83">
        <v>264158</v>
      </c>
    </row>
    <row r="36" spans="1:18" ht="15.75" customHeight="1" x14ac:dyDescent="0.2">
      <c r="B36" s="76" t="s">
        <v>40</v>
      </c>
      <c r="E36" s="84">
        <v>38686</v>
      </c>
      <c r="F36" s="84">
        <v>-3981</v>
      </c>
      <c r="G36" s="84">
        <v>50865</v>
      </c>
      <c r="H36" s="84">
        <v>7077</v>
      </c>
      <c r="I36" s="84">
        <v>-3547</v>
      </c>
      <c r="J36" s="84">
        <v>-4657</v>
      </c>
      <c r="K36" s="84">
        <v>-3850</v>
      </c>
      <c r="L36" s="84">
        <v>-998</v>
      </c>
      <c r="M36" s="84">
        <v>15826</v>
      </c>
      <c r="N36" s="84">
        <v>-1733</v>
      </c>
      <c r="O36" s="84">
        <v>21534</v>
      </c>
      <c r="P36" s="84">
        <v>-6109</v>
      </c>
      <c r="Q36" s="84">
        <v>109113</v>
      </c>
    </row>
    <row r="37" spans="1:18" ht="15.75" customHeight="1" x14ac:dyDescent="0.2">
      <c r="A37" s="76" t="s">
        <v>58</v>
      </c>
      <c r="C37" s="76" t="s">
        <v>41</v>
      </c>
      <c r="E37" s="85">
        <v>44153</v>
      </c>
      <c r="F37" s="85">
        <v>3587</v>
      </c>
      <c r="G37" s="85">
        <v>53109</v>
      </c>
      <c r="H37" s="85">
        <v>9347</v>
      </c>
      <c r="I37" s="85">
        <v>1355</v>
      </c>
      <c r="J37" s="85">
        <v>17742</v>
      </c>
      <c r="K37" s="85">
        <v>1968</v>
      </c>
      <c r="L37" s="85">
        <v>3020</v>
      </c>
      <c r="M37" s="85">
        <v>18392</v>
      </c>
      <c r="N37" s="85">
        <v>826</v>
      </c>
      <c r="O37" s="85">
        <v>40103</v>
      </c>
      <c r="P37" s="85">
        <v>6665</v>
      </c>
      <c r="Q37" s="85">
        <v>200267</v>
      </c>
    </row>
    <row r="38" spans="1:18" ht="15.75" customHeight="1" x14ac:dyDescent="0.2">
      <c r="C38" s="76" t="s">
        <v>42</v>
      </c>
      <c r="E38" s="85">
        <v>5467</v>
      </c>
      <c r="F38" s="85">
        <v>7568</v>
      </c>
      <c r="G38" s="85">
        <v>2244</v>
      </c>
      <c r="H38" s="85">
        <v>2270</v>
      </c>
      <c r="I38" s="85">
        <v>4902</v>
      </c>
      <c r="J38" s="85">
        <v>22399</v>
      </c>
      <c r="K38" s="85">
        <v>5818</v>
      </c>
      <c r="L38" s="85">
        <v>4018</v>
      </c>
      <c r="M38" s="85">
        <v>2566</v>
      </c>
      <c r="N38" s="85">
        <v>2559</v>
      </c>
      <c r="O38" s="85">
        <v>18569</v>
      </c>
      <c r="P38" s="85">
        <v>12774</v>
      </c>
      <c r="Q38" s="85">
        <v>91154</v>
      </c>
    </row>
    <row r="39" spans="1:18" ht="15.75" customHeight="1" x14ac:dyDescent="0.2"/>
    <row r="40" spans="1:18" ht="15.75" customHeight="1" x14ac:dyDescent="0.2">
      <c r="B40" s="76" t="s">
        <v>43</v>
      </c>
      <c r="E40" s="84">
        <v>8743</v>
      </c>
      <c r="F40" s="84">
        <v>8104</v>
      </c>
      <c r="G40" s="84">
        <v>-3068</v>
      </c>
      <c r="H40" s="84">
        <v>31897</v>
      </c>
      <c r="I40" s="84">
        <v>15887</v>
      </c>
      <c r="J40" s="84">
        <v>49455</v>
      </c>
      <c r="K40" s="84">
        <v>-5367</v>
      </c>
      <c r="L40" s="84">
        <v>15295</v>
      </c>
      <c r="M40" s="84">
        <v>-2598</v>
      </c>
      <c r="N40" s="84">
        <v>23066</v>
      </c>
      <c r="O40" s="84">
        <v>25931</v>
      </c>
      <c r="P40" s="84">
        <v>-12300</v>
      </c>
      <c r="Q40" s="84">
        <v>155045</v>
      </c>
    </row>
    <row r="41" spans="1:18" ht="15.75" customHeight="1" x14ac:dyDescent="0.2">
      <c r="C41" s="76" t="s">
        <v>44</v>
      </c>
      <c r="E41" s="85">
        <v>16756</v>
      </c>
      <c r="F41" s="85">
        <v>12144</v>
      </c>
      <c r="G41" s="85">
        <v>3594</v>
      </c>
      <c r="H41" s="85">
        <v>38082</v>
      </c>
      <c r="I41" s="85">
        <v>26567</v>
      </c>
      <c r="J41" s="85">
        <v>56031</v>
      </c>
      <c r="K41" s="85">
        <v>1672</v>
      </c>
      <c r="L41" s="85">
        <v>18598</v>
      </c>
      <c r="M41" s="85">
        <v>4629</v>
      </c>
      <c r="N41" s="85">
        <v>29995</v>
      </c>
      <c r="O41" s="85">
        <v>31494</v>
      </c>
      <c r="P41" s="85">
        <v>-3573</v>
      </c>
      <c r="Q41" s="85">
        <v>235989</v>
      </c>
    </row>
    <row r="42" spans="1:18" ht="15.75" customHeight="1" x14ac:dyDescent="0.2">
      <c r="C42" s="76" t="s">
        <v>42</v>
      </c>
      <c r="E42" s="85">
        <v>8013</v>
      </c>
      <c r="F42" s="85">
        <v>4040</v>
      </c>
      <c r="G42" s="85">
        <v>6662</v>
      </c>
      <c r="H42" s="85">
        <v>6185</v>
      </c>
      <c r="I42" s="85">
        <v>10680</v>
      </c>
      <c r="J42" s="85">
        <v>6576</v>
      </c>
      <c r="K42" s="85">
        <v>7039</v>
      </c>
      <c r="L42" s="85">
        <v>3303</v>
      </c>
      <c r="M42" s="85">
        <v>7227</v>
      </c>
      <c r="N42" s="85">
        <v>6929</v>
      </c>
      <c r="O42" s="85">
        <v>5563</v>
      </c>
      <c r="P42" s="85">
        <v>8727</v>
      </c>
      <c r="Q42" s="85">
        <v>80944</v>
      </c>
    </row>
    <row r="43" spans="1:18" ht="15.75" customHeight="1" x14ac:dyDescent="0.2"/>
    <row r="44" spans="1:18" s="82" customFormat="1" ht="15.75" customHeight="1" x14ac:dyDescent="0.25">
      <c r="A44" s="82" t="s">
        <v>47</v>
      </c>
      <c r="E44" s="83">
        <v>27364</v>
      </c>
      <c r="F44" s="83">
        <v>-19073</v>
      </c>
      <c r="G44" s="83">
        <v>19374</v>
      </c>
      <c r="H44" s="83">
        <v>15433</v>
      </c>
      <c r="I44" s="83">
        <v>-15132</v>
      </c>
      <c r="J44" s="83">
        <v>28299</v>
      </c>
      <c r="K44" s="83">
        <v>-37618</v>
      </c>
      <c r="L44" s="83">
        <v>-26835</v>
      </c>
      <c r="M44" s="83">
        <v>5286</v>
      </c>
      <c r="N44" s="83">
        <v>105</v>
      </c>
      <c r="O44" s="83">
        <v>23971</v>
      </c>
      <c r="P44" s="83">
        <v>-22880</v>
      </c>
      <c r="Q44" s="83">
        <v>-1706</v>
      </c>
      <c r="R44" s="88"/>
    </row>
    <row r="45" spans="1:18" x14ac:dyDescent="0.2">
      <c r="A45" s="122"/>
      <c r="B45" s="89"/>
      <c r="C45" s="89"/>
      <c r="D45" s="89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</row>
    <row r="46" spans="1:18" x14ac:dyDescent="0.2">
      <c r="A46" s="86"/>
    </row>
    <row r="47" spans="1:18" x14ac:dyDescent="0.2">
      <c r="A47" s="86"/>
    </row>
    <row r="49" spans="1:8" s="76" customFormat="1" x14ac:dyDescent="0.2"/>
    <row r="50" spans="1:8" x14ac:dyDescent="0.2">
      <c r="A50" s="86" t="s">
        <v>139</v>
      </c>
      <c r="C50" s="85"/>
      <c r="D50" s="85"/>
      <c r="F50" s="76"/>
      <c r="G50" s="120"/>
      <c r="H50" s="120"/>
    </row>
    <row r="51" spans="1:8" x14ac:dyDescent="0.2">
      <c r="A51" s="86" t="s">
        <v>140</v>
      </c>
      <c r="F51" s="76"/>
      <c r="G51" s="76"/>
      <c r="H51" s="76"/>
    </row>
    <row r="52" spans="1:8" x14ac:dyDescent="0.2">
      <c r="A52" s="86"/>
      <c r="B52" s="86"/>
      <c r="C52" s="86"/>
      <c r="D52" s="86"/>
      <c r="E52" s="121"/>
    </row>
    <row r="53" spans="1:8" x14ac:dyDescent="0.2">
      <c r="A53" s="86"/>
      <c r="B53" s="86"/>
      <c r="C53" s="86"/>
      <c r="D53" s="86"/>
      <c r="E53" s="121"/>
    </row>
    <row r="54" spans="1:8" x14ac:dyDescent="0.2">
      <c r="A54" s="86"/>
      <c r="B54" s="86"/>
      <c r="C54" s="86"/>
      <c r="D54" s="86"/>
      <c r="E54" s="121"/>
    </row>
    <row r="55" spans="1:8" x14ac:dyDescent="0.2">
      <c r="A55" s="86"/>
      <c r="B55" s="86"/>
      <c r="C55" s="86"/>
      <c r="D55" s="86"/>
      <c r="E55" s="121"/>
    </row>
  </sheetData>
  <mergeCells count="1">
    <mergeCell ref="A5:D5"/>
  </mergeCells>
  <printOptions horizontalCentered="1"/>
  <pageMargins left="0" right="0" top="1.10208333333333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MJ52"/>
  <sheetViews>
    <sheetView zoomScaleNormal="100" workbookViewId="0">
      <selection activeCell="C28" sqref="C28"/>
    </sheetView>
  </sheetViews>
  <sheetFormatPr defaultColWidth="9.140625" defaultRowHeight="14.25" x14ac:dyDescent="0.2"/>
  <cols>
    <col min="1" max="1" width="1.7109375" style="76" customWidth="1"/>
    <col min="2" max="2" width="1.85546875" style="76" customWidth="1"/>
    <col min="3" max="3" width="23.7109375" style="76" customWidth="1"/>
    <col min="4" max="4" width="8" style="85" customWidth="1"/>
    <col min="5" max="6" width="8.7109375" style="85" customWidth="1"/>
    <col min="7" max="7" width="8" style="85" customWidth="1"/>
    <col min="8" max="9" width="8.7109375" style="85" customWidth="1"/>
    <col min="10" max="10" width="8" style="85" customWidth="1"/>
    <col min="11" max="15" width="8.7109375" style="85" customWidth="1"/>
    <col min="16" max="16" width="9.85546875" style="85" customWidth="1"/>
    <col min="17" max="1024" width="9.140625" style="76"/>
  </cols>
  <sheetData>
    <row r="1" spans="1:16" ht="15" x14ac:dyDescent="0.25">
      <c r="A1" s="82" t="s">
        <v>0</v>
      </c>
    </row>
    <row r="2" spans="1:16" ht="15" x14ac:dyDescent="0.25">
      <c r="A2" s="82" t="s">
        <v>144</v>
      </c>
    </row>
    <row r="3" spans="1:16" ht="15" x14ac:dyDescent="0.25">
      <c r="A3" s="76" t="s">
        <v>2</v>
      </c>
      <c r="E3" s="85" t="s">
        <v>58</v>
      </c>
      <c r="F3" s="83"/>
    </row>
    <row r="5" spans="1:16" ht="20.25" customHeight="1" x14ac:dyDescent="0.2">
      <c r="A5" s="188" t="s">
        <v>3</v>
      </c>
      <c r="B5" s="188"/>
      <c r="C5" s="188"/>
      <c r="D5" s="118" t="s">
        <v>4</v>
      </c>
      <c r="E5" s="118" t="s">
        <v>5</v>
      </c>
      <c r="F5" s="118" t="s">
        <v>6</v>
      </c>
      <c r="G5" s="118" t="s">
        <v>7</v>
      </c>
      <c r="H5" s="118" t="s">
        <v>8</v>
      </c>
      <c r="I5" s="118" t="s">
        <v>9</v>
      </c>
      <c r="J5" s="118" t="s">
        <v>103</v>
      </c>
      <c r="K5" s="118" t="s">
        <v>11</v>
      </c>
      <c r="L5" s="118" t="s">
        <v>12</v>
      </c>
      <c r="M5" s="118" t="s">
        <v>13</v>
      </c>
      <c r="N5" s="118" t="s">
        <v>56</v>
      </c>
      <c r="O5" s="118" t="s">
        <v>57</v>
      </c>
      <c r="P5" s="119" t="s">
        <v>134</v>
      </c>
    </row>
    <row r="6" spans="1:16" ht="15" customHeight="1" x14ac:dyDescent="0.2"/>
    <row r="7" spans="1:16" ht="15" customHeight="1" x14ac:dyDescent="0.25">
      <c r="A7" s="82" t="s">
        <v>15</v>
      </c>
      <c r="D7" s="83">
        <f t="shared" ref="D7:P7" si="0">SUM(D8+D14+D19)</f>
        <v>49856</v>
      </c>
      <c r="E7" s="83">
        <f t="shared" si="0"/>
        <v>30291</v>
      </c>
      <c r="F7" s="83">
        <f t="shared" si="0"/>
        <v>41067</v>
      </c>
      <c r="G7" s="83">
        <f t="shared" si="0"/>
        <v>66165</v>
      </c>
      <c r="H7" s="83">
        <f t="shared" si="0"/>
        <v>42367</v>
      </c>
      <c r="I7" s="83">
        <f t="shared" si="0"/>
        <v>36953</v>
      </c>
      <c r="J7" s="83">
        <f t="shared" si="0"/>
        <v>53983</v>
      </c>
      <c r="K7" s="83">
        <f t="shared" si="0"/>
        <v>44882</v>
      </c>
      <c r="L7" s="83">
        <f t="shared" si="0"/>
        <v>40418</v>
      </c>
      <c r="M7" s="83">
        <f t="shared" si="0"/>
        <v>52936</v>
      </c>
      <c r="N7" s="83">
        <f t="shared" si="0"/>
        <v>49985</v>
      </c>
      <c r="O7" s="83">
        <f t="shared" si="0"/>
        <v>54829</v>
      </c>
      <c r="P7" s="83">
        <f t="shared" si="0"/>
        <v>563732</v>
      </c>
    </row>
    <row r="8" spans="1:16" ht="15" customHeight="1" x14ac:dyDescent="0.2">
      <c r="B8" s="76" t="s">
        <v>16</v>
      </c>
      <c r="D8" s="84">
        <f t="shared" ref="D8:P8" si="1">SUM(D9+D10+D12)</f>
        <v>46062</v>
      </c>
      <c r="E8" s="84">
        <f t="shared" si="1"/>
        <v>26772</v>
      </c>
      <c r="F8" s="84">
        <f t="shared" si="1"/>
        <v>34110</v>
      </c>
      <c r="G8" s="84">
        <f t="shared" si="1"/>
        <v>62076</v>
      </c>
      <c r="H8" s="84">
        <f t="shared" si="1"/>
        <v>38102</v>
      </c>
      <c r="I8" s="84">
        <f t="shared" si="1"/>
        <v>32304</v>
      </c>
      <c r="J8" s="84">
        <f t="shared" si="1"/>
        <v>48107</v>
      </c>
      <c r="K8" s="84">
        <f t="shared" si="1"/>
        <v>37823</v>
      </c>
      <c r="L8" s="84">
        <f t="shared" si="1"/>
        <v>33636</v>
      </c>
      <c r="M8" s="84">
        <f t="shared" si="1"/>
        <v>46746</v>
      </c>
      <c r="N8" s="84">
        <f t="shared" si="1"/>
        <v>42500</v>
      </c>
      <c r="O8" s="84">
        <f t="shared" si="1"/>
        <v>41621</v>
      </c>
      <c r="P8" s="84">
        <f t="shared" si="1"/>
        <v>489859</v>
      </c>
    </row>
    <row r="9" spans="1:16" ht="15" customHeight="1" x14ac:dyDescent="0.2">
      <c r="C9" s="76" t="s">
        <v>17</v>
      </c>
      <c r="D9" s="85">
        <v>39294</v>
      </c>
      <c r="E9" s="85">
        <v>20360</v>
      </c>
      <c r="F9" s="85">
        <v>25458</v>
      </c>
      <c r="G9" s="85">
        <v>53592</v>
      </c>
      <c r="H9" s="85">
        <v>28439</v>
      </c>
      <c r="I9" s="85">
        <v>23934</v>
      </c>
      <c r="J9" s="85">
        <v>38599</v>
      </c>
      <c r="K9" s="85">
        <v>28558</v>
      </c>
      <c r="L9" s="85">
        <v>24662</v>
      </c>
      <c r="M9" s="85">
        <v>37307</v>
      </c>
      <c r="N9" s="85">
        <v>34719</v>
      </c>
      <c r="O9" s="85">
        <v>33757</v>
      </c>
      <c r="P9" s="85">
        <f>SUM(D9:O9)</f>
        <v>388679</v>
      </c>
    </row>
    <row r="10" spans="1:16" ht="15" customHeight="1" x14ac:dyDescent="0.2">
      <c r="C10" s="76" t="s">
        <v>21</v>
      </c>
      <c r="D10" s="85">
        <v>6414</v>
      </c>
      <c r="E10" s="85">
        <v>6079</v>
      </c>
      <c r="F10" s="85">
        <v>8107</v>
      </c>
      <c r="G10" s="85">
        <v>8125</v>
      </c>
      <c r="H10" s="85">
        <v>9255</v>
      </c>
      <c r="I10" s="85">
        <v>7919</v>
      </c>
      <c r="J10" s="85">
        <v>9098</v>
      </c>
      <c r="K10" s="85">
        <v>8786</v>
      </c>
      <c r="L10" s="85">
        <v>8489</v>
      </c>
      <c r="M10" s="85">
        <v>8708</v>
      </c>
      <c r="N10" s="85">
        <v>7543</v>
      </c>
      <c r="O10" s="85">
        <v>7709</v>
      </c>
      <c r="P10" s="85">
        <f>SUM(D10:O10)</f>
        <v>96232</v>
      </c>
    </row>
    <row r="11" spans="1:16" ht="15" customHeight="1" x14ac:dyDescent="0.2">
      <c r="C11" s="76" t="s">
        <v>145</v>
      </c>
      <c r="D11" s="85">
        <v>0</v>
      </c>
      <c r="E11" s="85">
        <v>0</v>
      </c>
      <c r="F11" s="85">
        <v>116</v>
      </c>
      <c r="G11" s="85">
        <v>0</v>
      </c>
      <c r="H11" s="85">
        <v>167</v>
      </c>
      <c r="I11" s="85">
        <v>1870</v>
      </c>
      <c r="J11" s="85">
        <v>10</v>
      </c>
      <c r="K11" s="85">
        <v>290</v>
      </c>
      <c r="L11" s="85">
        <v>1</v>
      </c>
      <c r="M11" s="85">
        <v>185</v>
      </c>
      <c r="N11" s="85">
        <v>103</v>
      </c>
      <c r="O11" s="85">
        <v>1007</v>
      </c>
      <c r="P11" s="85">
        <f>SUM(D11:O11)</f>
        <v>3749</v>
      </c>
    </row>
    <row r="12" spans="1:16" ht="15" customHeight="1" x14ac:dyDescent="0.2">
      <c r="C12" s="76" t="s">
        <v>88</v>
      </c>
      <c r="D12" s="85">
        <v>354</v>
      </c>
      <c r="E12" s="85">
        <v>333</v>
      </c>
      <c r="F12" s="85">
        <v>545</v>
      </c>
      <c r="G12" s="85">
        <v>359</v>
      </c>
      <c r="H12" s="85">
        <v>408</v>
      </c>
      <c r="I12" s="85">
        <v>451</v>
      </c>
      <c r="J12" s="85">
        <v>410</v>
      </c>
      <c r="K12" s="85">
        <v>479</v>
      </c>
      <c r="L12" s="85">
        <v>485</v>
      </c>
      <c r="M12" s="85">
        <v>731</v>
      </c>
      <c r="N12" s="85">
        <v>238</v>
      </c>
      <c r="O12" s="85">
        <v>155</v>
      </c>
      <c r="P12" s="85">
        <f>SUM(D12:O12)</f>
        <v>4948</v>
      </c>
    </row>
    <row r="13" spans="1:16" ht="15" customHeight="1" x14ac:dyDescent="0.2"/>
    <row r="14" spans="1:16" ht="15" customHeight="1" x14ac:dyDescent="0.2">
      <c r="B14" s="76" t="s">
        <v>23</v>
      </c>
      <c r="D14" s="84">
        <f t="shared" ref="D14:P14" si="2">SUM(D15:D17)</f>
        <v>3194</v>
      </c>
      <c r="E14" s="84">
        <f t="shared" si="2"/>
        <v>3434</v>
      </c>
      <c r="F14" s="84">
        <f t="shared" si="2"/>
        <v>6944</v>
      </c>
      <c r="G14" s="84">
        <f t="shared" si="2"/>
        <v>4038</v>
      </c>
      <c r="H14" s="84">
        <f t="shared" si="2"/>
        <v>4206</v>
      </c>
      <c r="I14" s="84">
        <f t="shared" si="2"/>
        <v>4328</v>
      </c>
      <c r="J14" s="84">
        <f t="shared" si="2"/>
        <v>5845</v>
      </c>
      <c r="K14" s="84">
        <f t="shared" si="2"/>
        <v>7033</v>
      </c>
      <c r="L14" s="84">
        <f t="shared" si="2"/>
        <v>6242</v>
      </c>
      <c r="M14" s="84">
        <f t="shared" si="2"/>
        <v>5949</v>
      </c>
      <c r="N14" s="84">
        <f t="shared" si="2"/>
        <v>7485</v>
      </c>
      <c r="O14" s="84">
        <f t="shared" si="2"/>
        <v>13184</v>
      </c>
      <c r="P14" s="84">
        <f t="shared" si="2"/>
        <v>71882</v>
      </c>
    </row>
    <row r="15" spans="1:16" ht="15" customHeight="1" x14ac:dyDescent="0.2">
      <c r="C15" s="76" t="s">
        <v>24</v>
      </c>
      <c r="D15" s="85">
        <v>1611</v>
      </c>
      <c r="E15" s="85">
        <v>1146</v>
      </c>
      <c r="F15" s="85">
        <v>3850</v>
      </c>
      <c r="G15" s="85">
        <v>2371</v>
      </c>
      <c r="H15" s="85">
        <v>2369</v>
      </c>
      <c r="I15" s="85">
        <v>3330</v>
      </c>
      <c r="J15" s="85">
        <v>5483</v>
      </c>
      <c r="K15" s="85">
        <v>4626</v>
      </c>
      <c r="L15" s="85">
        <v>4944</v>
      </c>
      <c r="M15" s="85">
        <v>3249</v>
      </c>
      <c r="N15" s="85">
        <v>2807</v>
      </c>
      <c r="O15" s="85">
        <v>10627</v>
      </c>
      <c r="P15" s="85">
        <v>46413</v>
      </c>
    </row>
    <row r="16" spans="1:16" ht="15" customHeight="1" x14ac:dyDescent="0.2">
      <c r="C16" s="76" t="s">
        <v>113</v>
      </c>
      <c r="D16" s="85">
        <v>1583</v>
      </c>
      <c r="E16" s="85">
        <v>2288</v>
      </c>
      <c r="F16" s="85">
        <v>2872</v>
      </c>
      <c r="G16" s="85">
        <v>1667</v>
      </c>
      <c r="H16" s="85">
        <v>1577</v>
      </c>
      <c r="I16" s="85">
        <v>998</v>
      </c>
      <c r="J16" s="85">
        <v>335</v>
      </c>
      <c r="K16" s="85">
        <v>2134</v>
      </c>
      <c r="L16" s="85">
        <v>1237</v>
      </c>
      <c r="M16" s="85">
        <v>2670</v>
      </c>
      <c r="N16" s="85">
        <v>4678</v>
      </c>
      <c r="O16" s="85">
        <v>2257</v>
      </c>
      <c r="P16" s="85">
        <v>24296</v>
      </c>
    </row>
    <row r="17" spans="1:16" ht="15" customHeight="1" x14ac:dyDescent="0.2">
      <c r="C17" s="76" t="s">
        <v>26</v>
      </c>
      <c r="D17" s="85">
        <v>0</v>
      </c>
      <c r="E17" s="85">
        <v>0</v>
      </c>
      <c r="F17" s="85">
        <v>222</v>
      </c>
      <c r="G17" s="85">
        <v>0</v>
      </c>
      <c r="H17" s="85">
        <v>260</v>
      </c>
      <c r="I17" s="85">
        <v>0</v>
      </c>
      <c r="J17" s="85">
        <v>27</v>
      </c>
      <c r="K17" s="85">
        <v>273</v>
      </c>
      <c r="L17" s="85">
        <v>61</v>
      </c>
      <c r="M17" s="85">
        <v>30</v>
      </c>
      <c r="N17" s="85">
        <v>0</v>
      </c>
      <c r="O17" s="85">
        <v>300</v>
      </c>
      <c r="P17" s="85">
        <v>1173</v>
      </c>
    </row>
    <row r="18" spans="1:16" ht="15" customHeight="1" x14ac:dyDescent="0.2"/>
    <row r="19" spans="1:16" ht="15" customHeight="1" x14ac:dyDescent="0.2">
      <c r="B19" s="76" t="s">
        <v>29</v>
      </c>
      <c r="D19" s="85">
        <v>600</v>
      </c>
      <c r="E19" s="85">
        <v>85</v>
      </c>
      <c r="F19" s="85">
        <v>13</v>
      </c>
      <c r="G19" s="85">
        <v>51</v>
      </c>
      <c r="H19" s="85">
        <v>59</v>
      </c>
      <c r="I19" s="85">
        <v>321</v>
      </c>
      <c r="J19" s="85">
        <v>31</v>
      </c>
      <c r="K19" s="85">
        <v>26</v>
      </c>
      <c r="L19" s="85">
        <v>540</v>
      </c>
      <c r="M19" s="85">
        <v>241</v>
      </c>
      <c r="N19" s="85">
        <v>0</v>
      </c>
      <c r="O19" s="85">
        <v>24</v>
      </c>
      <c r="P19" s="85">
        <v>1991</v>
      </c>
    </row>
    <row r="20" spans="1:16" ht="15" customHeight="1" x14ac:dyDescent="0.25"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1:16" ht="15" customHeight="1" x14ac:dyDescent="0.25">
      <c r="A21" s="82" t="s">
        <v>30</v>
      </c>
      <c r="D21" s="83">
        <f t="shared" ref="D21:P21" si="3">SUM(D22:D28)</f>
        <v>56242</v>
      </c>
      <c r="E21" s="83">
        <f t="shared" si="3"/>
        <v>42888</v>
      </c>
      <c r="F21" s="83">
        <f t="shared" si="3"/>
        <v>60009</v>
      </c>
      <c r="G21" s="83">
        <f t="shared" si="3"/>
        <v>56319</v>
      </c>
      <c r="H21" s="83">
        <f t="shared" si="3"/>
        <v>72614</v>
      </c>
      <c r="I21" s="83">
        <f t="shared" si="3"/>
        <v>56449</v>
      </c>
      <c r="J21" s="83">
        <f t="shared" si="3"/>
        <v>58747</v>
      </c>
      <c r="K21" s="83">
        <f t="shared" si="3"/>
        <v>61823</v>
      </c>
      <c r="L21" s="83">
        <f t="shared" si="3"/>
        <v>63043</v>
      </c>
      <c r="M21" s="83">
        <f t="shared" si="3"/>
        <v>64103</v>
      </c>
      <c r="N21" s="83">
        <f t="shared" si="3"/>
        <v>61294</v>
      </c>
      <c r="O21" s="83">
        <f t="shared" si="3"/>
        <v>57224</v>
      </c>
      <c r="P21" s="83">
        <f t="shared" si="3"/>
        <v>710755</v>
      </c>
    </row>
    <row r="22" spans="1:16" ht="15" customHeight="1" x14ac:dyDescent="0.2">
      <c r="C22" s="76" t="s">
        <v>31</v>
      </c>
      <c r="D22" s="85">
        <v>8637</v>
      </c>
      <c r="E22" s="85">
        <v>8776</v>
      </c>
      <c r="F22" s="85">
        <v>9262</v>
      </c>
      <c r="G22" s="85">
        <v>16173</v>
      </c>
      <c r="H22" s="85">
        <v>4580</v>
      </c>
      <c r="I22" s="85">
        <v>9424</v>
      </c>
      <c r="J22" s="85">
        <v>9259</v>
      </c>
      <c r="K22" s="85">
        <v>10776</v>
      </c>
      <c r="L22" s="85">
        <v>10894</v>
      </c>
      <c r="M22" s="85">
        <v>10381</v>
      </c>
      <c r="N22" s="85">
        <v>10581</v>
      </c>
      <c r="O22" s="85">
        <v>9436</v>
      </c>
      <c r="P22" s="85">
        <f t="shared" ref="P22:P28" si="4">SUM(D22:O22)</f>
        <v>118179</v>
      </c>
    </row>
    <row r="23" spans="1:16" ht="15" customHeight="1" x14ac:dyDescent="0.2">
      <c r="C23" s="76" t="s">
        <v>32</v>
      </c>
      <c r="D23" s="85">
        <v>15075</v>
      </c>
      <c r="E23" s="85">
        <v>9572</v>
      </c>
      <c r="F23" s="85">
        <v>18513</v>
      </c>
      <c r="G23" s="85">
        <v>16290</v>
      </c>
      <c r="H23" s="85">
        <v>9780</v>
      </c>
      <c r="I23" s="85">
        <v>13850</v>
      </c>
      <c r="J23" s="85">
        <v>15406</v>
      </c>
      <c r="K23" s="85">
        <v>12945</v>
      </c>
      <c r="L23" s="85">
        <v>20208</v>
      </c>
      <c r="M23" s="85">
        <v>17854</v>
      </c>
      <c r="N23" s="85">
        <v>13181</v>
      </c>
      <c r="O23" s="85">
        <v>12160</v>
      </c>
      <c r="P23" s="85">
        <f t="shared" si="4"/>
        <v>174834</v>
      </c>
    </row>
    <row r="24" spans="1:16" ht="15" customHeight="1" x14ac:dyDescent="0.2">
      <c r="C24" s="76" t="s">
        <v>33</v>
      </c>
      <c r="D24" s="85">
        <v>0</v>
      </c>
      <c r="E24" s="85">
        <v>0</v>
      </c>
      <c r="F24" s="85">
        <v>116</v>
      </c>
      <c r="G24" s="85">
        <v>0</v>
      </c>
      <c r="H24" s="85">
        <v>167</v>
      </c>
      <c r="I24" s="85">
        <v>1870</v>
      </c>
      <c r="J24" s="85">
        <v>10</v>
      </c>
      <c r="K24" s="85">
        <v>290</v>
      </c>
      <c r="L24" s="85">
        <v>1</v>
      </c>
      <c r="M24" s="85">
        <v>185</v>
      </c>
      <c r="N24" s="85">
        <v>103</v>
      </c>
      <c r="O24" s="85">
        <v>1007</v>
      </c>
      <c r="P24" s="85">
        <f t="shared" si="4"/>
        <v>3749</v>
      </c>
    </row>
    <row r="25" spans="1:16" ht="15" customHeight="1" x14ac:dyDescent="0.2">
      <c r="C25" s="76" t="s">
        <v>78</v>
      </c>
      <c r="D25" s="85">
        <v>144</v>
      </c>
      <c r="E25" s="85">
        <v>362</v>
      </c>
      <c r="F25" s="85">
        <v>844</v>
      </c>
      <c r="G25" s="85">
        <v>512</v>
      </c>
      <c r="H25" s="85">
        <v>2119</v>
      </c>
      <c r="I25" s="85">
        <v>2001</v>
      </c>
      <c r="J25" s="85">
        <v>285</v>
      </c>
      <c r="K25" s="85">
        <v>664</v>
      </c>
      <c r="L25" s="85">
        <v>607</v>
      </c>
      <c r="M25" s="85">
        <v>873</v>
      </c>
      <c r="N25" s="85">
        <v>361</v>
      </c>
      <c r="O25" s="85">
        <v>593</v>
      </c>
      <c r="P25" s="85">
        <f t="shared" si="4"/>
        <v>9365</v>
      </c>
    </row>
    <row r="26" spans="1:16" ht="15" customHeight="1" x14ac:dyDescent="0.2">
      <c r="C26" s="76" t="s">
        <v>35</v>
      </c>
      <c r="D26" s="85">
        <v>0</v>
      </c>
      <c r="E26" s="85">
        <v>0</v>
      </c>
      <c r="F26" s="85">
        <v>34</v>
      </c>
      <c r="G26" s="85">
        <v>0</v>
      </c>
      <c r="H26" s="85">
        <v>0</v>
      </c>
      <c r="I26" s="85">
        <v>300</v>
      </c>
      <c r="J26" s="85">
        <v>15</v>
      </c>
      <c r="K26" s="85">
        <v>135</v>
      </c>
      <c r="L26" s="85">
        <v>0</v>
      </c>
      <c r="M26" s="85">
        <v>0</v>
      </c>
      <c r="N26" s="85">
        <v>0</v>
      </c>
      <c r="O26" s="85">
        <v>0</v>
      </c>
      <c r="P26" s="85">
        <f t="shared" si="4"/>
        <v>484</v>
      </c>
    </row>
    <row r="27" spans="1:16" ht="15" customHeight="1" x14ac:dyDescent="0.2">
      <c r="C27" s="76" t="s">
        <v>79</v>
      </c>
      <c r="D27" s="85">
        <v>555</v>
      </c>
      <c r="E27" s="85">
        <v>214</v>
      </c>
      <c r="F27" s="85">
        <v>2067</v>
      </c>
      <c r="G27" s="85">
        <v>189</v>
      </c>
      <c r="H27" s="85">
        <v>394</v>
      </c>
      <c r="I27" s="85">
        <v>115</v>
      </c>
      <c r="J27" s="85">
        <v>373</v>
      </c>
      <c r="K27" s="85">
        <v>1423</v>
      </c>
      <c r="L27" s="85">
        <v>-1309</v>
      </c>
      <c r="M27" s="85">
        <v>358</v>
      </c>
      <c r="N27" s="85">
        <v>-299</v>
      </c>
      <c r="O27" s="85">
        <v>-136</v>
      </c>
      <c r="P27" s="85">
        <f t="shared" si="4"/>
        <v>3944</v>
      </c>
    </row>
    <row r="28" spans="1:16" ht="15" customHeight="1" x14ac:dyDescent="0.2">
      <c r="C28" s="6" t="s">
        <v>80</v>
      </c>
      <c r="D28" s="85">
        <v>31831</v>
      </c>
      <c r="E28" s="85">
        <v>23964</v>
      </c>
      <c r="F28" s="85">
        <v>29173</v>
      </c>
      <c r="G28" s="85">
        <v>23155</v>
      </c>
      <c r="H28" s="85">
        <v>55574</v>
      </c>
      <c r="I28" s="85">
        <v>28889</v>
      </c>
      <c r="J28" s="85">
        <v>33399</v>
      </c>
      <c r="K28" s="85">
        <v>35590</v>
      </c>
      <c r="L28" s="85">
        <v>32642</v>
      </c>
      <c r="M28" s="85">
        <v>34452</v>
      </c>
      <c r="N28" s="85">
        <v>37367</v>
      </c>
      <c r="O28" s="85">
        <v>34164</v>
      </c>
      <c r="P28" s="85">
        <f t="shared" si="4"/>
        <v>400200</v>
      </c>
    </row>
    <row r="29" spans="1:16" ht="15" customHeight="1" x14ac:dyDescent="0.2">
      <c r="P29" s="85" t="s">
        <v>58</v>
      </c>
    </row>
    <row r="30" spans="1:16" ht="15" customHeight="1" x14ac:dyDescent="0.25">
      <c r="A30" s="82" t="s">
        <v>137</v>
      </c>
      <c r="B30" s="82"/>
      <c r="C30" s="82"/>
      <c r="D30" s="88">
        <v>-6386</v>
      </c>
      <c r="E30" s="88">
        <v>-12597</v>
      </c>
      <c r="F30" s="88">
        <v>-18942</v>
      </c>
      <c r="G30" s="88">
        <v>9846</v>
      </c>
      <c r="H30" s="88">
        <v>-30247</v>
      </c>
      <c r="I30" s="88">
        <v>-19496</v>
      </c>
      <c r="J30" s="88">
        <v>-4764</v>
      </c>
      <c r="K30" s="88">
        <v>-16941</v>
      </c>
      <c r="L30" s="88">
        <v>-22625</v>
      </c>
      <c r="M30" s="88">
        <v>-11167</v>
      </c>
      <c r="N30" s="88">
        <v>-11309</v>
      </c>
      <c r="O30" s="88">
        <v>-2395</v>
      </c>
      <c r="P30" s="88">
        <v>-147023</v>
      </c>
    </row>
    <row r="31" spans="1:16" ht="15" customHeight="1" x14ac:dyDescent="0.2"/>
    <row r="32" spans="1:16" ht="15" customHeight="1" x14ac:dyDescent="0.25">
      <c r="A32" s="82" t="s">
        <v>39</v>
      </c>
      <c r="B32" s="82"/>
      <c r="C32" s="82"/>
      <c r="D32" s="83">
        <v>39306</v>
      </c>
      <c r="E32" s="83">
        <v>7650</v>
      </c>
      <c r="F32" s="83">
        <v>9545</v>
      </c>
      <c r="G32" s="83">
        <v>5961</v>
      </c>
      <c r="H32" s="83">
        <v>24201</v>
      </c>
      <c r="I32" s="83">
        <v>1349</v>
      </c>
      <c r="J32" s="83">
        <v>826</v>
      </c>
      <c r="K32" s="83">
        <v>16605</v>
      </c>
      <c r="L32" s="83">
        <v>17474</v>
      </c>
      <c r="M32" s="83">
        <v>6240</v>
      </c>
      <c r="N32" s="83">
        <v>26632</v>
      </c>
      <c r="O32" s="83">
        <v>19446</v>
      </c>
      <c r="P32" s="83">
        <v>175235</v>
      </c>
    </row>
    <row r="33" spans="1:17" ht="15" customHeight="1" x14ac:dyDescent="0.2">
      <c r="B33" s="76" t="s">
        <v>40</v>
      </c>
      <c r="D33" s="84">
        <v>-3205</v>
      </c>
      <c r="E33" s="84">
        <v>-3484</v>
      </c>
      <c r="F33" s="84">
        <v>-1729</v>
      </c>
      <c r="G33" s="84">
        <v>90</v>
      </c>
      <c r="H33" s="84">
        <v>-1060</v>
      </c>
      <c r="I33" s="84">
        <v>6323</v>
      </c>
      <c r="J33" s="84">
        <v>1379</v>
      </c>
      <c r="K33" s="84">
        <v>-1223</v>
      </c>
      <c r="L33" s="84">
        <v>-1634</v>
      </c>
      <c r="M33" s="84">
        <v>-800</v>
      </c>
      <c r="N33" s="84">
        <v>-4154</v>
      </c>
      <c r="O33" s="84">
        <v>32412</v>
      </c>
      <c r="P33" s="84">
        <v>22915</v>
      </c>
    </row>
    <row r="34" spans="1:17" ht="15" customHeight="1" x14ac:dyDescent="0.2">
      <c r="A34" s="76" t="s">
        <v>58</v>
      </c>
      <c r="C34" s="76" t="s">
        <v>41</v>
      </c>
      <c r="D34" s="85">
        <v>963</v>
      </c>
      <c r="E34" s="85">
        <v>422</v>
      </c>
      <c r="F34" s="85">
        <v>528</v>
      </c>
      <c r="G34" s="85">
        <v>2337</v>
      </c>
      <c r="H34" s="85">
        <v>3952</v>
      </c>
      <c r="I34" s="85">
        <v>10863</v>
      </c>
      <c r="J34" s="85">
        <v>6651</v>
      </c>
      <c r="K34" s="85">
        <v>2054</v>
      </c>
      <c r="L34" s="85">
        <v>678</v>
      </c>
      <c r="M34" s="85">
        <v>2034</v>
      </c>
      <c r="N34" s="85">
        <v>1223</v>
      </c>
      <c r="O34" s="85">
        <v>36777</v>
      </c>
      <c r="P34" s="85">
        <v>68482</v>
      </c>
    </row>
    <row r="35" spans="1:17" ht="15" customHeight="1" x14ac:dyDescent="0.2">
      <c r="C35" s="76" t="s">
        <v>42</v>
      </c>
      <c r="D35" s="85">
        <v>4168</v>
      </c>
      <c r="E35" s="85">
        <v>3906</v>
      </c>
      <c r="F35" s="85">
        <v>2257</v>
      </c>
      <c r="G35" s="85">
        <v>2247</v>
      </c>
      <c r="H35" s="85">
        <v>5012</v>
      </c>
      <c r="I35" s="85">
        <v>4540</v>
      </c>
      <c r="J35" s="85">
        <v>5272</v>
      </c>
      <c r="K35" s="85">
        <v>3277</v>
      </c>
      <c r="L35" s="85">
        <v>2312</v>
      </c>
      <c r="M35" s="85">
        <v>2834</v>
      </c>
      <c r="N35" s="85">
        <v>5377</v>
      </c>
      <c r="O35" s="85">
        <v>4365</v>
      </c>
      <c r="P35" s="85">
        <v>45567</v>
      </c>
    </row>
    <row r="36" spans="1:17" ht="15" customHeight="1" x14ac:dyDescent="0.2"/>
    <row r="37" spans="1:17" ht="15" customHeight="1" x14ac:dyDescent="0.2">
      <c r="B37" s="76" t="s">
        <v>43</v>
      </c>
      <c r="D37" s="84">
        <v>42511</v>
      </c>
      <c r="E37" s="84">
        <v>11134</v>
      </c>
      <c r="F37" s="84">
        <v>11274</v>
      </c>
      <c r="G37" s="84">
        <v>5871</v>
      </c>
      <c r="H37" s="84">
        <v>25261</v>
      </c>
      <c r="I37" s="84">
        <v>-4974</v>
      </c>
      <c r="J37" s="84">
        <v>-553</v>
      </c>
      <c r="K37" s="84">
        <v>17828</v>
      </c>
      <c r="L37" s="84">
        <v>19108</v>
      </c>
      <c r="M37" s="84">
        <v>7040</v>
      </c>
      <c r="N37" s="84">
        <v>30786</v>
      </c>
      <c r="O37" s="84">
        <v>-12966</v>
      </c>
      <c r="P37" s="84">
        <v>152320</v>
      </c>
    </row>
    <row r="38" spans="1:17" ht="15" customHeight="1" x14ac:dyDescent="0.2">
      <c r="C38" s="76" t="s">
        <v>44</v>
      </c>
      <c r="D38" s="85">
        <v>46000</v>
      </c>
      <c r="E38" s="85">
        <v>15089</v>
      </c>
      <c r="F38" s="85">
        <v>18145</v>
      </c>
      <c r="G38" s="85">
        <v>8585</v>
      </c>
      <c r="H38" s="85">
        <v>27233</v>
      </c>
      <c r="I38" s="85">
        <v>945</v>
      </c>
      <c r="J38" s="85">
        <v>6380</v>
      </c>
      <c r="K38" s="85">
        <v>20405</v>
      </c>
      <c r="L38" s="85">
        <v>22939</v>
      </c>
      <c r="M38" s="85">
        <v>10056</v>
      </c>
      <c r="N38" s="85">
        <v>34888</v>
      </c>
      <c r="O38" s="85">
        <v>-4307</v>
      </c>
      <c r="P38" s="85">
        <v>206358</v>
      </c>
    </row>
    <row r="39" spans="1:17" ht="15" customHeight="1" x14ac:dyDescent="0.2">
      <c r="C39" s="76" t="s">
        <v>42</v>
      </c>
      <c r="D39" s="85">
        <v>3489</v>
      </c>
      <c r="E39" s="85">
        <v>3955</v>
      </c>
      <c r="F39" s="85">
        <v>6871</v>
      </c>
      <c r="G39" s="85">
        <v>2714</v>
      </c>
      <c r="H39" s="85">
        <v>1972</v>
      </c>
      <c r="I39" s="85">
        <v>5919</v>
      </c>
      <c r="J39" s="85">
        <v>6933</v>
      </c>
      <c r="K39" s="85">
        <v>2577</v>
      </c>
      <c r="L39" s="85">
        <v>3831</v>
      </c>
      <c r="M39" s="85">
        <v>3016</v>
      </c>
      <c r="N39" s="85">
        <v>4102</v>
      </c>
      <c r="O39" s="85">
        <v>8659</v>
      </c>
      <c r="P39" s="85">
        <v>54038</v>
      </c>
    </row>
    <row r="40" spans="1:17" ht="15" customHeight="1" x14ac:dyDescent="0.2"/>
    <row r="41" spans="1:17" s="82" customFormat="1" ht="15" customHeight="1" x14ac:dyDescent="0.25">
      <c r="A41" s="82" t="s">
        <v>47</v>
      </c>
      <c r="D41" s="83">
        <v>26629</v>
      </c>
      <c r="E41" s="83">
        <v>-5458</v>
      </c>
      <c r="F41" s="83">
        <v>-11282</v>
      </c>
      <c r="G41" s="83">
        <v>6407</v>
      </c>
      <c r="H41" s="83">
        <v>-9972</v>
      </c>
      <c r="I41" s="83">
        <v>-18467</v>
      </c>
      <c r="J41" s="83">
        <v>-7942</v>
      </c>
      <c r="K41" s="83">
        <v>-3770</v>
      </c>
      <c r="L41" s="83">
        <v>-11621</v>
      </c>
      <c r="M41" s="83">
        <v>-6736</v>
      </c>
      <c r="N41" s="83">
        <v>-1604</v>
      </c>
      <c r="O41" s="83">
        <v>21587</v>
      </c>
      <c r="P41" s="83">
        <v>-22229</v>
      </c>
      <c r="Q41" s="88"/>
    </row>
    <row r="42" spans="1:17" x14ac:dyDescent="0.2">
      <c r="A42" s="89"/>
      <c r="B42" s="89"/>
      <c r="C42" s="89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</row>
    <row r="43" spans="1:17" x14ac:dyDescent="0.2">
      <c r="A43" s="86" t="s">
        <v>138</v>
      </c>
    </row>
    <row r="44" spans="1:17" x14ac:dyDescent="0.2">
      <c r="A44" s="86"/>
    </row>
    <row r="46" spans="1:17" s="76" customFormat="1" x14ac:dyDescent="0.2"/>
    <row r="47" spans="1:17" x14ac:dyDescent="0.2">
      <c r="A47" s="86" t="s">
        <v>139</v>
      </c>
      <c r="C47" s="85"/>
      <c r="E47" s="76"/>
      <c r="F47" s="120"/>
      <c r="G47" s="120"/>
    </row>
    <row r="48" spans="1:17" x14ac:dyDescent="0.2">
      <c r="A48" s="86" t="s">
        <v>140</v>
      </c>
      <c r="E48" s="76"/>
      <c r="F48" s="76"/>
      <c r="G48" s="76"/>
    </row>
    <row r="49" spans="1:4" x14ac:dyDescent="0.2">
      <c r="A49" s="86"/>
      <c r="B49" s="86"/>
      <c r="C49" s="86"/>
      <c r="D49" s="121"/>
    </row>
    <row r="50" spans="1:4" x14ac:dyDescent="0.2">
      <c r="A50" s="86"/>
      <c r="B50" s="86"/>
      <c r="C50" s="86"/>
      <c r="D50" s="121"/>
    </row>
    <row r="51" spans="1:4" x14ac:dyDescent="0.2">
      <c r="A51" s="86"/>
      <c r="B51" s="86"/>
      <c r="C51" s="86"/>
      <c r="D51" s="121"/>
    </row>
    <row r="52" spans="1:4" x14ac:dyDescent="0.2">
      <c r="A52" s="86"/>
      <c r="B52" s="86"/>
      <c r="C52" s="86"/>
      <c r="D52" s="121"/>
    </row>
  </sheetData>
  <mergeCells count="1">
    <mergeCell ref="A5:C5"/>
  </mergeCells>
  <printOptions horizontalCentered="1"/>
  <pageMargins left="0" right="0" top="0.98333333333333295" bottom="0.23611111111111099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AMJ54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29" sqref="C29"/>
    </sheetView>
  </sheetViews>
  <sheetFormatPr defaultColWidth="9.140625" defaultRowHeight="14.25" x14ac:dyDescent="0.2"/>
  <cols>
    <col min="1" max="1" width="1.7109375" style="76" customWidth="1"/>
    <col min="2" max="2" width="1.85546875" style="76" customWidth="1"/>
    <col min="3" max="3" width="24.140625" style="76" customWidth="1"/>
    <col min="4" max="5" width="8" style="85" customWidth="1"/>
    <col min="6" max="6" width="8.7109375" style="85" customWidth="1"/>
    <col min="7" max="7" width="8" style="85" customWidth="1"/>
    <col min="8" max="15" width="8.7109375" style="85" customWidth="1"/>
    <col min="16" max="16" width="9.85546875" style="85" customWidth="1"/>
    <col min="17" max="1024" width="9.140625" style="76"/>
  </cols>
  <sheetData>
    <row r="1" spans="1:16" ht="15" x14ac:dyDescent="0.25">
      <c r="A1" s="82" t="s">
        <v>0</v>
      </c>
    </row>
    <row r="2" spans="1:16" ht="15" x14ac:dyDescent="0.25">
      <c r="A2" s="82" t="s">
        <v>146</v>
      </c>
    </row>
    <row r="3" spans="1:16" ht="15" x14ac:dyDescent="0.25">
      <c r="A3" s="76" t="s">
        <v>2</v>
      </c>
      <c r="E3" s="85" t="s">
        <v>58</v>
      </c>
      <c r="F3" s="83"/>
    </row>
    <row r="4" spans="1:16" x14ac:dyDescent="0.2">
      <c r="C4" s="124"/>
      <c r="D4" s="125"/>
      <c r="E4" s="125"/>
    </row>
    <row r="5" spans="1:16" ht="21.75" customHeight="1" x14ac:dyDescent="0.2">
      <c r="A5" s="190" t="s">
        <v>3</v>
      </c>
      <c r="B5" s="190"/>
      <c r="C5" s="190"/>
      <c r="D5" s="126" t="s">
        <v>4</v>
      </c>
      <c r="E5" s="126" t="s">
        <v>5</v>
      </c>
      <c r="F5" s="127" t="s">
        <v>6</v>
      </c>
      <c r="G5" s="127" t="s">
        <v>7</v>
      </c>
      <c r="H5" s="127" t="s">
        <v>8</v>
      </c>
      <c r="I5" s="127" t="s">
        <v>9</v>
      </c>
      <c r="J5" s="127" t="s">
        <v>103</v>
      </c>
      <c r="K5" s="127" t="s">
        <v>11</v>
      </c>
      <c r="L5" s="127" t="s">
        <v>12</v>
      </c>
      <c r="M5" s="127" t="s">
        <v>13</v>
      </c>
      <c r="N5" s="127" t="s">
        <v>56</v>
      </c>
      <c r="O5" s="127" t="s">
        <v>57</v>
      </c>
      <c r="P5" s="128" t="s">
        <v>134</v>
      </c>
    </row>
    <row r="6" spans="1:16" ht="15" customHeight="1" x14ac:dyDescent="0.2"/>
    <row r="7" spans="1:16" ht="15" customHeight="1" x14ac:dyDescent="0.25">
      <c r="A7" s="82" t="s">
        <v>15</v>
      </c>
      <c r="D7" s="83">
        <f t="shared" ref="D7:P7" si="0">D8+D13+D19</f>
        <v>44114</v>
      </c>
      <c r="E7" s="83">
        <f t="shared" si="0"/>
        <v>31068</v>
      </c>
      <c r="F7" s="83">
        <f t="shared" si="0"/>
        <v>39351</v>
      </c>
      <c r="G7" s="83">
        <f t="shared" si="0"/>
        <v>58060</v>
      </c>
      <c r="H7" s="83">
        <f t="shared" si="0"/>
        <v>40515</v>
      </c>
      <c r="I7" s="83">
        <f t="shared" si="0"/>
        <v>37249</v>
      </c>
      <c r="J7" s="83">
        <f t="shared" si="0"/>
        <v>45886</v>
      </c>
      <c r="K7" s="83">
        <f t="shared" si="0"/>
        <v>45577</v>
      </c>
      <c r="L7" s="83">
        <f t="shared" si="0"/>
        <v>34639</v>
      </c>
      <c r="M7" s="83">
        <f t="shared" si="0"/>
        <v>46802</v>
      </c>
      <c r="N7" s="83">
        <f t="shared" si="0"/>
        <v>41246</v>
      </c>
      <c r="O7" s="83">
        <f t="shared" si="0"/>
        <v>50255</v>
      </c>
      <c r="P7" s="83">
        <f t="shared" si="0"/>
        <v>514762</v>
      </c>
    </row>
    <row r="8" spans="1:16" ht="15" customHeight="1" x14ac:dyDescent="0.2">
      <c r="B8" s="76" t="s">
        <v>16</v>
      </c>
      <c r="D8" s="84">
        <v>42682</v>
      </c>
      <c r="E8" s="84">
        <v>29218</v>
      </c>
      <c r="F8" s="84">
        <v>31509</v>
      </c>
      <c r="G8" s="84">
        <v>53546</v>
      </c>
      <c r="H8" s="84">
        <v>37752</v>
      </c>
      <c r="I8" s="84">
        <v>33406</v>
      </c>
      <c r="J8" s="84">
        <v>41171</v>
      </c>
      <c r="K8" s="84">
        <v>40146</v>
      </c>
      <c r="L8" s="84">
        <v>28238</v>
      </c>
      <c r="M8" s="84">
        <v>43250</v>
      </c>
      <c r="N8" s="84">
        <v>35954</v>
      </c>
      <c r="O8" s="84">
        <v>43162</v>
      </c>
      <c r="P8" s="84">
        <v>460034</v>
      </c>
    </row>
    <row r="9" spans="1:16" ht="15" customHeight="1" x14ac:dyDescent="0.2">
      <c r="C9" s="76" t="s">
        <v>17</v>
      </c>
      <c r="D9" s="85">
        <v>35867</v>
      </c>
      <c r="E9" s="85">
        <v>22378</v>
      </c>
      <c r="F9" s="85">
        <v>23860</v>
      </c>
      <c r="G9" s="85">
        <v>45563</v>
      </c>
      <c r="H9" s="85">
        <v>29036</v>
      </c>
      <c r="I9" s="85">
        <v>24365</v>
      </c>
      <c r="J9" s="85">
        <v>32570</v>
      </c>
      <c r="K9" s="85">
        <v>31197</v>
      </c>
      <c r="L9" s="85">
        <v>20424</v>
      </c>
      <c r="M9" s="85">
        <v>34126</v>
      </c>
      <c r="N9" s="85">
        <v>28005</v>
      </c>
      <c r="O9" s="85">
        <v>33411</v>
      </c>
      <c r="P9" s="85">
        <v>360802</v>
      </c>
    </row>
    <row r="10" spans="1:16" ht="15" customHeight="1" x14ac:dyDescent="0.2">
      <c r="C10" s="76" t="s">
        <v>21</v>
      </c>
      <c r="D10" s="85">
        <v>6466</v>
      </c>
      <c r="E10" s="85">
        <v>6452</v>
      </c>
      <c r="F10" s="85">
        <v>7249</v>
      </c>
      <c r="G10" s="85">
        <v>7688</v>
      </c>
      <c r="H10" s="85">
        <v>8288</v>
      </c>
      <c r="I10" s="85">
        <v>8564</v>
      </c>
      <c r="J10" s="85">
        <v>8220</v>
      </c>
      <c r="K10" s="85">
        <v>8620</v>
      </c>
      <c r="L10" s="85">
        <v>7514</v>
      </c>
      <c r="M10" s="85">
        <v>8821</v>
      </c>
      <c r="N10" s="85">
        <v>7616</v>
      </c>
      <c r="O10" s="85">
        <v>9508</v>
      </c>
      <c r="P10" s="85">
        <v>95006</v>
      </c>
    </row>
    <row r="11" spans="1:16" ht="15" customHeight="1" x14ac:dyDescent="0.2">
      <c r="C11" s="76" t="s">
        <v>88</v>
      </c>
      <c r="D11" s="85">
        <v>349</v>
      </c>
      <c r="E11" s="85">
        <v>388</v>
      </c>
      <c r="F11" s="85">
        <v>400</v>
      </c>
      <c r="G11" s="85">
        <v>295</v>
      </c>
      <c r="H11" s="85">
        <v>428</v>
      </c>
      <c r="I11" s="85">
        <v>477</v>
      </c>
      <c r="J11" s="85">
        <v>381</v>
      </c>
      <c r="K11" s="85">
        <v>329</v>
      </c>
      <c r="L11" s="85">
        <v>300</v>
      </c>
      <c r="M11" s="85">
        <v>303</v>
      </c>
      <c r="N11" s="85">
        <v>333</v>
      </c>
      <c r="O11" s="85">
        <v>243</v>
      </c>
      <c r="P11" s="85">
        <v>4226</v>
      </c>
    </row>
    <row r="12" spans="1:16" ht="15" customHeight="1" x14ac:dyDescent="0.2"/>
    <row r="13" spans="1:16" ht="15" customHeight="1" x14ac:dyDescent="0.2">
      <c r="B13" s="76" t="s">
        <v>23</v>
      </c>
      <c r="D13" s="84">
        <f t="shared" ref="D13:P13" si="1">SUM(D14:D17)</f>
        <v>1432</v>
      </c>
      <c r="E13" s="84">
        <f t="shared" si="1"/>
        <v>1562</v>
      </c>
      <c r="F13" s="84">
        <f t="shared" si="1"/>
        <v>7565</v>
      </c>
      <c r="G13" s="84">
        <f t="shared" si="1"/>
        <v>4488</v>
      </c>
      <c r="H13" s="84">
        <f t="shared" si="1"/>
        <v>2745</v>
      </c>
      <c r="I13" s="84">
        <f t="shared" si="1"/>
        <v>3826</v>
      </c>
      <c r="J13" s="84">
        <f t="shared" si="1"/>
        <v>4686</v>
      </c>
      <c r="K13" s="84">
        <f t="shared" si="1"/>
        <v>5295</v>
      </c>
      <c r="L13" s="84">
        <f t="shared" si="1"/>
        <v>6334</v>
      </c>
      <c r="M13" s="84">
        <f t="shared" si="1"/>
        <v>3348</v>
      </c>
      <c r="N13" s="84">
        <f t="shared" si="1"/>
        <v>5222</v>
      </c>
      <c r="O13" s="84">
        <f t="shared" si="1"/>
        <v>6849</v>
      </c>
      <c r="P13" s="84">
        <f t="shared" si="1"/>
        <v>53352</v>
      </c>
    </row>
    <row r="14" spans="1:16" ht="15" customHeight="1" x14ac:dyDescent="0.2">
      <c r="C14" s="76" t="s">
        <v>24</v>
      </c>
      <c r="D14" s="85">
        <v>1254</v>
      </c>
      <c r="E14" s="85">
        <v>1207</v>
      </c>
      <c r="F14" s="85">
        <v>3976</v>
      </c>
      <c r="G14" s="85">
        <v>1756</v>
      </c>
      <c r="H14" s="85">
        <v>1829</v>
      </c>
      <c r="I14" s="85">
        <v>1761</v>
      </c>
      <c r="J14" s="85">
        <v>2428</v>
      </c>
      <c r="K14" s="85">
        <v>2188</v>
      </c>
      <c r="L14" s="85">
        <v>4714</v>
      </c>
      <c r="M14" s="85">
        <v>1398</v>
      </c>
      <c r="N14" s="85">
        <v>2149</v>
      </c>
      <c r="O14" s="85">
        <v>6104</v>
      </c>
      <c r="P14" s="85">
        <v>30764</v>
      </c>
    </row>
    <row r="15" spans="1:16" ht="15" customHeight="1" x14ac:dyDescent="0.2">
      <c r="C15" s="76" t="s">
        <v>113</v>
      </c>
      <c r="D15" s="85">
        <v>172</v>
      </c>
      <c r="E15" s="85">
        <v>355</v>
      </c>
      <c r="F15" s="85">
        <v>3589</v>
      </c>
      <c r="G15" s="85">
        <v>1722</v>
      </c>
      <c r="H15" s="85">
        <v>886</v>
      </c>
      <c r="I15" s="85">
        <v>1720</v>
      </c>
      <c r="J15" s="85">
        <v>1758</v>
      </c>
      <c r="K15" s="85">
        <v>3107</v>
      </c>
      <c r="L15" s="85">
        <v>1620</v>
      </c>
      <c r="M15" s="85">
        <v>1494</v>
      </c>
      <c r="N15" s="85">
        <v>1043</v>
      </c>
      <c r="O15" s="85">
        <v>470</v>
      </c>
      <c r="P15" s="85">
        <v>17936</v>
      </c>
    </row>
    <row r="16" spans="1:16" ht="15" customHeight="1" x14ac:dyDescent="0.2">
      <c r="C16" s="76" t="s">
        <v>26</v>
      </c>
      <c r="D16" s="85">
        <v>0</v>
      </c>
      <c r="E16" s="85">
        <v>0</v>
      </c>
      <c r="F16" s="85">
        <v>0</v>
      </c>
      <c r="G16" s="85">
        <v>1010</v>
      </c>
      <c r="H16" s="85">
        <v>30</v>
      </c>
      <c r="I16" s="85">
        <v>345</v>
      </c>
      <c r="J16" s="85">
        <v>500</v>
      </c>
      <c r="K16" s="85">
        <v>0</v>
      </c>
      <c r="L16" s="85">
        <v>0</v>
      </c>
      <c r="M16" s="85">
        <v>456</v>
      </c>
      <c r="N16" s="85">
        <v>2030</v>
      </c>
      <c r="O16" s="85">
        <v>275</v>
      </c>
      <c r="P16" s="85">
        <v>4646</v>
      </c>
    </row>
    <row r="17" spans="1:17" ht="15" customHeight="1" x14ac:dyDescent="0.2">
      <c r="C17" s="76" t="s">
        <v>147</v>
      </c>
      <c r="D17" s="85">
        <v>6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6</v>
      </c>
    </row>
    <row r="18" spans="1:17" ht="15" customHeight="1" x14ac:dyDescent="0.2"/>
    <row r="19" spans="1:17" ht="15" customHeight="1" x14ac:dyDescent="0.2">
      <c r="B19" s="76" t="s">
        <v>29</v>
      </c>
      <c r="D19" s="85">
        <v>0</v>
      </c>
      <c r="E19" s="85">
        <v>288</v>
      </c>
      <c r="F19" s="85">
        <v>277</v>
      </c>
      <c r="G19" s="85">
        <v>26</v>
      </c>
      <c r="H19" s="85">
        <v>18</v>
      </c>
      <c r="I19" s="85">
        <v>17</v>
      </c>
      <c r="J19" s="85">
        <v>29</v>
      </c>
      <c r="K19" s="85">
        <v>136</v>
      </c>
      <c r="L19" s="85">
        <v>67</v>
      </c>
      <c r="M19" s="85">
        <v>204</v>
      </c>
      <c r="N19" s="85">
        <v>70</v>
      </c>
      <c r="O19" s="85">
        <v>244</v>
      </c>
      <c r="P19" s="85">
        <v>1376</v>
      </c>
    </row>
    <row r="20" spans="1:17" ht="15" customHeight="1" x14ac:dyDescent="0.2"/>
    <row r="21" spans="1:17" ht="15" customHeight="1" x14ac:dyDescent="0.25">
      <c r="A21" s="82" t="s">
        <v>30</v>
      </c>
      <c r="D21" s="83">
        <f t="shared" ref="D21:O21" si="2">SUM(D23:D29)</f>
        <v>44228</v>
      </c>
      <c r="E21" s="83">
        <f t="shared" si="2"/>
        <v>39986</v>
      </c>
      <c r="F21" s="83">
        <f t="shared" si="2"/>
        <v>52632</v>
      </c>
      <c r="G21" s="83">
        <f t="shared" si="2"/>
        <v>49030</v>
      </c>
      <c r="H21" s="83">
        <f t="shared" si="2"/>
        <v>61343</v>
      </c>
      <c r="I21" s="83">
        <f t="shared" si="2"/>
        <v>50832</v>
      </c>
      <c r="J21" s="83">
        <f t="shared" si="2"/>
        <v>57901</v>
      </c>
      <c r="K21" s="83">
        <f t="shared" si="2"/>
        <v>55655</v>
      </c>
      <c r="L21" s="83">
        <f t="shared" si="2"/>
        <v>47835</v>
      </c>
      <c r="M21" s="83">
        <f t="shared" si="2"/>
        <v>59360</v>
      </c>
      <c r="N21" s="83">
        <f t="shared" si="2"/>
        <v>60143</v>
      </c>
      <c r="O21" s="83">
        <f t="shared" si="2"/>
        <v>70029</v>
      </c>
      <c r="P21" s="83">
        <f>SUM(D21:O21)</f>
        <v>648974</v>
      </c>
    </row>
    <row r="22" spans="1:17" ht="18" customHeight="1" x14ac:dyDescent="0.2">
      <c r="B22" s="76" t="s">
        <v>18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5"/>
    </row>
    <row r="23" spans="1:17" ht="15" customHeight="1" x14ac:dyDescent="0.2">
      <c r="C23" s="76" t="s">
        <v>31</v>
      </c>
      <c r="D23" s="85">
        <v>7506</v>
      </c>
      <c r="E23" s="85">
        <v>9492</v>
      </c>
      <c r="F23" s="85">
        <v>8176</v>
      </c>
      <c r="G23" s="85">
        <v>6504</v>
      </c>
      <c r="H23" s="85">
        <v>13382</v>
      </c>
      <c r="I23" s="85">
        <v>8369</v>
      </c>
      <c r="J23" s="85">
        <v>10213</v>
      </c>
      <c r="K23" s="85">
        <v>9890</v>
      </c>
      <c r="L23" s="85">
        <v>1139</v>
      </c>
      <c r="M23" s="85">
        <v>8343</v>
      </c>
      <c r="N23" s="85">
        <v>6888</v>
      </c>
      <c r="O23" s="85">
        <v>9914</v>
      </c>
      <c r="P23" s="85">
        <f t="shared" ref="P23:P29" si="3">SUM(D23:O23)</f>
        <v>99816</v>
      </c>
      <c r="Q23" s="85"/>
    </row>
    <row r="24" spans="1:17" ht="15" customHeight="1" x14ac:dyDescent="0.2">
      <c r="C24" s="76" t="s">
        <v>32</v>
      </c>
      <c r="D24" s="85">
        <v>9158</v>
      </c>
      <c r="E24" s="85">
        <v>6023</v>
      </c>
      <c r="F24" s="85">
        <v>10442</v>
      </c>
      <c r="G24" s="85">
        <v>12849</v>
      </c>
      <c r="H24" s="85">
        <v>9625</v>
      </c>
      <c r="I24" s="85">
        <v>10415</v>
      </c>
      <c r="J24" s="85">
        <v>11685</v>
      </c>
      <c r="K24" s="85">
        <v>8820</v>
      </c>
      <c r="L24" s="85">
        <v>17711</v>
      </c>
      <c r="M24" s="85">
        <v>17691</v>
      </c>
      <c r="N24" s="85">
        <v>13454</v>
      </c>
      <c r="O24" s="85">
        <v>13021</v>
      </c>
      <c r="P24" s="85">
        <f t="shared" si="3"/>
        <v>140894</v>
      </c>
    </row>
    <row r="25" spans="1:17" ht="15" customHeight="1" x14ac:dyDescent="0.2">
      <c r="C25" s="76" t="s">
        <v>78</v>
      </c>
      <c r="D25" s="85">
        <v>282</v>
      </c>
      <c r="E25" s="85">
        <v>259</v>
      </c>
      <c r="F25" s="85">
        <v>264</v>
      </c>
      <c r="G25" s="85">
        <v>158</v>
      </c>
      <c r="H25" s="85">
        <v>374</v>
      </c>
      <c r="I25" s="85">
        <v>1757</v>
      </c>
      <c r="J25" s="85">
        <v>507</v>
      </c>
      <c r="K25" s="85">
        <v>1007</v>
      </c>
      <c r="L25" s="85">
        <v>626</v>
      </c>
      <c r="M25" s="85">
        <v>515</v>
      </c>
      <c r="N25" s="85">
        <v>1984</v>
      </c>
      <c r="O25" s="85">
        <v>1331</v>
      </c>
      <c r="P25" s="85">
        <f t="shared" si="3"/>
        <v>9064</v>
      </c>
    </row>
    <row r="26" spans="1:17" ht="15" customHeight="1" x14ac:dyDescent="0.2">
      <c r="C26" s="76" t="s">
        <v>35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536</v>
      </c>
      <c r="P26" s="85">
        <f t="shared" si="3"/>
        <v>536</v>
      </c>
    </row>
    <row r="27" spans="1:17" ht="15" customHeight="1" x14ac:dyDescent="0.2">
      <c r="C27" s="76" t="s">
        <v>148</v>
      </c>
      <c r="D27" s="85">
        <v>0</v>
      </c>
      <c r="E27" s="85">
        <v>888</v>
      </c>
      <c r="F27" s="85">
        <v>0</v>
      </c>
      <c r="G27" s="85">
        <v>900</v>
      </c>
      <c r="H27" s="85">
        <v>963</v>
      </c>
      <c r="I27" s="85">
        <v>0</v>
      </c>
      <c r="J27" s="85">
        <v>165</v>
      </c>
      <c r="K27" s="85">
        <v>203</v>
      </c>
      <c r="L27" s="85">
        <v>0</v>
      </c>
      <c r="M27" s="85">
        <v>0</v>
      </c>
      <c r="N27" s="85">
        <v>95</v>
      </c>
      <c r="O27" s="85">
        <v>372</v>
      </c>
      <c r="P27" s="85">
        <f t="shared" si="3"/>
        <v>3586</v>
      </c>
    </row>
    <row r="28" spans="1:17" ht="15" customHeight="1" x14ac:dyDescent="0.2">
      <c r="C28" s="76" t="s">
        <v>79</v>
      </c>
      <c r="D28" s="85">
        <v>496</v>
      </c>
      <c r="E28" s="85">
        <v>-123</v>
      </c>
      <c r="F28" s="85">
        <v>452</v>
      </c>
      <c r="G28" s="85">
        <v>-192</v>
      </c>
      <c r="H28" s="85">
        <v>428</v>
      </c>
      <c r="I28" s="85">
        <v>365</v>
      </c>
      <c r="J28" s="85">
        <v>416</v>
      </c>
      <c r="K28" s="85">
        <v>-44</v>
      </c>
      <c r="L28" s="85">
        <v>76</v>
      </c>
      <c r="M28" s="85">
        <v>234</v>
      </c>
      <c r="N28" s="85">
        <v>426</v>
      </c>
      <c r="O28" s="85">
        <v>100</v>
      </c>
      <c r="P28" s="85">
        <f t="shared" si="3"/>
        <v>2634</v>
      </c>
    </row>
    <row r="29" spans="1:17" ht="15" customHeight="1" x14ac:dyDescent="0.2">
      <c r="C29" s="6" t="s">
        <v>80</v>
      </c>
      <c r="D29" s="85">
        <v>26786</v>
      </c>
      <c r="E29" s="85">
        <v>23447</v>
      </c>
      <c r="F29" s="85">
        <v>33298</v>
      </c>
      <c r="G29" s="85">
        <v>28811</v>
      </c>
      <c r="H29" s="85">
        <v>36571</v>
      </c>
      <c r="I29" s="85">
        <v>29926</v>
      </c>
      <c r="J29" s="85">
        <v>34915</v>
      </c>
      <c r="K29" s="85">
        <v>35779</v>
      </c>
      <c r="L29" s="85">
        <v>28283</v>
      </c>
      <c r="M29" s="85">
        <v>32577</v>
      </c>
      <c r="N29" s="85">
        <v>37296</v>
      </c>
      <c r="O29" s="85">
        <v>44755</v>
      </c>
      <c r="P29" s="85">
        <f t="shared" si="3"/>
        <v>392444</v>
      </c>
    </row>
    <row r="30" spans="1:17" ht="15" customHeight="1" x14ac:dyDescent="0.2"/>
    <row r="31" spans="1:17" ht="15" customHeight="1" x14ac:dyDescent="0.25">
      <c r="A31" s="82" t="s">
        <v>137</v>
      </c>
      <c r="B31" s="82"/>
      <c r="C31" s="82"/>
      <c r="D31" s="88">
        <v>-114</v>
      </c>
      <c r="E31" s="88">
        <v>-8918</v>
      </c>
      <c r="F31" s="88">
        <v>-13281</v>
      </c>
      <c r="G31" s="88">
        <v>9030</v>
      </c>
      <c r="H31" s="88">
        <v>-20828</v>
      </c>
      <c r="I31" s="88">
        <v>-13583</v>
      </c>
      <c r="J31" s="88">
        <v>-12015</v>
      </c>
      <c r="K31" s="88">
        <v>-10078</v>
      </c>
      <c r="L31" s="88">
        <v>-13196</v>
      </c>
      <c r="M31" s="88">
        <v>-12558</v>
      </c>
      <c r="N31" s="88">
        <v>-18897</v>
      </c>
      <c r="O31" s="88">
        <v>-19774</v>
      </c>
      <c r="P31" s="88">
        <v>-134212</v>
      </c>
    </row>
    <row r="32" spans="1:17" ht="15" customHeight="1" x14ac:dyDescent="0.2"/>
    <row r="33" spans="1:17" ht="15" customHeight="1" x14ac:dyDescent="0.25">
      <c r="A33" s="82" t="s">
        <v>39</v>
      </c>
      <c r="B33" s="82"/>
      <c r="C33" s="82"/>
      <c r="D33" s="83">
        <v>10716</v>
      </c>
      <c r="E33" s="83">
        <v>14430</v>
      </c>
      <c r="F33" s="83">
        <v>70730</v>
      </c>
      <c r="G33" s="83">
        <v>9883</v>
      </c>
      <c r="H33" s="83">
        <v>7454</v>
      </c>
      <c r="I33" s="83">
        <v>-4187</v>
      </c>
      <c r="J33" s="83">
        <v>-3613</v>
      </c>
      <c r="K33" s="83">
        <v>31288</v>
      </c>
      <c r="L33" s="83">
        <v>-1519</v>
      </c>
      <c r="M33" s="83">
        <v>16329</v>
      </c>
      <c r="N33" s="83">
        <v>59540</v>
      </c>
      <c r="O33" s="83">
        <v>-7236</v>
      </c>
      <c r="P33" s="83">
        <v>203815</v>
      </c>
    </row>
    <row r="34" spans="1:17" ht="15" customHeight="1" x14ac:dyDescent="0.2">
      <c r="B34" s="76" t="s">
        <v>40</v>
      </c>
      <c r="D34" s="84">
        <v>-1506</v>
      </c>
      <c r="E34" s="84">
        <v>-1907</v>
      </c>
      <c r="F34" s="84">
        <v>64207</v>
      </c>
      <c r="G34" s="84">
        <v>-1100</v>
      </c>
      <c r="H34" s="84">
        <v>-1462</v>
      </c>
      <c r="I34" s="84">
        <v>-5427</v>
      </c>
      <c r="J34" s="84">
        <v>-3655</v>
      </c>
      <c r="K34" s="84">
        <v>16360</v>
      </c>
      <c r="L34" s="84">
        <v>524</v>
      </c>
      <c r="M34" s="84">
        <v>133</v>
      </c>
      <c r="N34" s="84">
        <v>5023</v>
      </c>
      <c r="O34" s="84">
        <v>13166</v>
      </c>
      <c r="P34" s="84">
        <v>84356</v>
      </c>
    </row>
    <row r="35" spans="1:17" ht="15" customHeight="1" x14ac:dyDescent="0.2">
      <c r="A35" s="76" t="s">
        <v>58</v>
      </c>
      <c r="C35" s="76" t="s">
        <v>41</v>
      </c>
      <c r="D35" s="85">
        <v>262</v>
      </c>
      <c r="E35" s="85">
        <v>536</v>
      </c>
      <c r="F35" s="85">
        <v>66260</v>
      </c>
      <c r="G35" s="85">
        <v>1249</v>
      </c>
      <c r="H35" s="85">
        <v>3037</v>
      </c>
      <c r="I35" s="85">
        <v>1033</v>
      </c>
      <c r="J35" s="85">
        <v>1054</v>
      </c>
      <c r="K35" s="85">
        <v>18872</v>
      </c>
      <c r="L35" s="85">
        <v>2902</v>
      </c>
      <c r="M35" s="85">
        <v>3048</v>
      </c>
      <c r="N35" s="85">
        <v>10373</v>
      </c>
      <c r="O35" s="85">
        <v>17250</v>
      </c>
      <c r="P35" s="85">
        <v>125876</v>
      </c>
    </row>
    <row r="36" spans="1:17" ht="15" customHeight="1" x14ac:dyDescent="0.2">
      <c r="C36" s="76" t="s">
        <v>42</v>
      </c>
      <c r="D36" s="85">
        <v>1768</v>
      </c>
      <c r="E36" s="85">
        <v>2443</v>
      </c>
      <c r="F36" s="85">
        <v>2053</v>
      </c>
      <c r="G36" s="85">
        <v>2349</v>
      </c>
      <c r="H36" s="85">
        <v>4499</v>
      </c>
      <c r="I36" s="85">
        <v>6460</v>
      </c>
      <c r="J36" s="85">
        <v>4709</v>
      </c>
      <c r="K36" s="85">
        <v>2512</v>
      </c>
      <c r="L36" s="85">
        <v>2378</v>
      </c>
      <c r="M36" s="85">
        <v>2915</v>
      </c>
      <c r="N36" s="85">
        <v>5350</v>
      </c>
      <c r="O36" s="85">
        <v>4084</v>
      </c>
      <c r="P36" s="85">
        <v>41520</v>
      </c>
    </row>
    <row r="37" spans="1:17" ht="15" customHeight="1" x14ac:dyDescent="0.2"/>
    <row r="38" spans="1:17" ht="15" customHeight="1" x14ac:dyDescent="0.2">
      <c r="B38" s="76" t="s">
        <v>43</v>
      </c>
      <c r="D38" s="84">
        <v>12222</v>
      </c>
      <c r="E38" s="84">
        <v>16337</v>
      </c>
      <c r="F38" s="84">
        <v>6523</v>
      </c>
      <c r="G38" s="84">
        <v>10983</v>
      </c>
      <c r="H38" s="84">
        <v>8916</v>
      </c>
      <c r="I38" s="84">
        <v>1240</v>
      </c>
      <c r="J38" s="84">
        <v>42</v>
      </c>
      <c r="K38" s="84">
        <v>14928</v>
      </c>
      <c r="L38" s="84">
        <v>-2043</v>
      </c>
      <c r="M38" s="84">
        <v>16196</v>
      </c>
      <c r="N38" s="84">
        <v>54517</v>
      </c>
      <c r="O38" s="84">
        <v>-20402</v>
      </c>
      <c r="P38" s="84">
        <v>119459</v>
      </c>
    </row>
    <row r="39" spans="1:17" ht="15" customHeight="1" x14ac:dyDescent="0.2">
      <c r="C39" s="76" t="s">
        <v>44</v>
      </c>
      <c r="D39" s="85">
        <v>13858</v>
      </c>
      <c r="E39" s="85">
        <v>18796</v>
      </c>
      <c r="F39" s="85">
        <v>11659</v>
      </c>
      <c r="G39" s="85">
        <v>13497</v>
      </c>
      <c r="H39" s="85">
        <v>10499</v>
      </c>
      <c r="I39" s="85">
        <v>6907</v>
      </c>
      <c r="J39" s="85">
        <v>4094</v>
      </c>
      <c r="K39" s="85">
        <v>16627</v>
      </c>
      <c r="L39" s="85">
        <v>1650</v>
      </c>
      <c r="M39" s="85">
        <v>22174</v>
      </c>
      <c r="N39" s="85">
        <v>58159</v>
      </c>
      <c r="O39" s="85">
        <v>-13032</v>
      </c>
      <c r="P39" s="85">
        <v>164888</v>
      </c>
    </row>
    <row r="40" spans="1:17" ht="15" customHeight="1" x14ac:dyDescent="0.2">
      <c r="C40" s="76" t="s">
        <v>42</v>
      </c>
      <c r="D40" s="85">
        <v>1636</v>
      </c>
      <c r="E40" s="85">
        <v>2459</v>
      </c>
      <c r="F40" s="85">
        <v>5136</v>
      </c>
      <c r="G40" s="85">
        <v>2514</v>
      </c>
      <c r="H40" s="85">
        <v>1583</v>
      </c>
      <c r="I40" s="85">
        <v>5667</v>
      </c>
      <c r="J40" s="85">
        <v>4052</v>
      </c>
      <c r="K40" s="85">
        <v>1699</v>
      </c>
      <c r="L40" s="85">
        <v>3693</v>
      </c>
      <c r="M40" s="85">
        <v>5978</v>
      </c>
      <c r="N40" s="85">
        <v>3642</v>
      </c>
      <c r="O40" s="85">
        <v>7370</v>
      </c>
      <c r="P40" s="85">
        <v>45429</v>
      </c>
    </row>
    <row r="41" spans="1:17" ht="15" customHeight="1" x14ac:dyDescent="0.2"/>
    <row r="42" spans="1:17" s="82" customFormat="1" ht="15" customHeight="1" x14ac:dyDescent="0.25">
      <c r="A42" s="82" t="s">
        <v>47</v>
      </c>
      <c r="D42" s="83">
        <v>8175</v>
      </c>
      <c r="E42" s="83">
        <v>3187</v>
      </c>
      <c r="F42" s="83">
        <v>19759</v>
      </c>
      <c r="G42" s="83">
        <v>15723</v>
      </c>
      <c r="H42" s="83">
        <v>-19529</v>
      </c>
      <c r="I42" s="83">
        <v>-20427</v>
      </c>
      <c r="J42" s="83">
        <v>-14285</v>
      </c>
      <c r="K42" s="83">
        <v>19871</v>
      </c>
      <c r="L42" s="83">
        <v>-15870</v>
      </c>
      <c r="M42" s="83">
        <v>3060</v>
      </c>
      <c r="N42" s="83">
        <v>29388</v>
      </c>
      <c r="O42" s="83">
        <v>-25242</v>
      </c>
      <c r="P42" s="83">
        <v>3810</v>
      </c>
      <c r="Q42" s="88"/>
    </row>
    <row r="43" spans="1:17" x14ac:dyDescent="0.2">
      <c r="A43" s="89"/>
      <c r="B43" s="89"/>
      <c r="C43" s="89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</row>
    <row r="44" spans="1:17" x14ac:dyDescent="0.2">
      <c r="A44" s="86"/>
    </row>
    <row r="45" spans="1:17" x14ac:dyDescent="0.2">
      <c r="A45" s="86"/>
    </row>
    <row r="47" spans="1:17" s="76" customFormat="1" x14ac:dyDescent="0.2"/>
    <row r="48" spans="1:17" x14ac:dyDescent="0.2">
      <c r="A48" s="86" t="s">
        <v>139</v>
      </c>
      <c r="C48" s="85"/>
      <c r="E48" s="76"/>
      <c r="F48" s="120"/>
      <c r="G48" s="120"/>
    </row>
    <row r="49" spans="1:7" x14ac:dyDescent="0.2">
      <c r="A49" s="86" t="s">
        <v>140</v>
      </c>
      <c r="E49" s="76"/>
      <c r="F49" s="76"/>
      <c r="G49" s="76"/>
    </row>
    <row r="50" spans="1:7" x14ac:dyDescent="0.2">
      <c r="A50" s="86"/>
      <c r="B50" s="86"/>
      <c r="C50" s="86"/>
      <c r="D50" s="121"/>
    </row>
    <row r="51" spans="1:7" x14ac:dyDescent="0.2">
      <c r="A51" s="86"/>
      <c r="B51" s="86"/>
      <c r="C51" s="86"/>
      <c r="D51" s="121"/>
    </row>
    <row r="52" spans="1:7" x14ac:dyDescent="0.2">
      <c r="A52" s="86"/>
      <c r="B52" s="86"/>
      <c r="C52" s="86"/>
      <c r="D52" s="121"/>
    </row>
    <row r="53" spans="1:7" x14ac:dyDescent="0.2">
      <c r="A53" s="86"/>
      <c r="B53" s="86"/>
      <c r="C53" s="86"/>
      <c r="D53" s="121"/>
    </row>
    <row r="54" spans="1:7" x14ac:dyDescent="0.2">
      <c r="A54" s="86"/>
      <c r="B54" s="86"/>
      <c r="C54" s="86"/>
      <c r="D54" s="121"/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MJ53"/>
  <sheetViews>
    <sheetView zoomScaleNormal="100" workbookViewId="0">
      <selection activeCell="D7" sqref="D7"/>
    </sheetView>
  </sheetViews>
  <sheetFormatPr defaultColWidth="9.140625" defaultRowHeight="14.25" x14ac:dyDescent="0.2"/>
  <cols>
    <col min="1" max="1" width="1.7109375" style="76" customWidth="1"/>
    <col min="2" max="2" width="1.5703125" style="76" customWidth="1"/>
    <col min="3" max="3" width="22.5703125" style="76" customWidth="1"/>
    <col min="4" max="5" width="8" style="85" customWidth="1"/>
    <col min="6" max="6" width="8.7109375" style="85" customWidth="1"/>
    <col min="7" max="7" width="8" style="85" customWidth="1"/>
    <col min="8" max="8" width="8.7109375" style="85" customWidth="1"/>
    <col min="9" max="10" width="8" style="85" customWidth="1"/>
    <col min="11" max="12" width="8.7109375" style="85" customWidth="1"/>
    <col min="13" max="13" width="8" style="85" customWidth="1"/>
    <col min="14" max="14" width="8.7109375" style="85" customWidth="1"/>
    <col min="15" max="15" width="8" style="85" customWidth="1"/>
    <col min="16" max="16" width="9.85546875" style="85" customWidth="1"/>
    <col min="17" max="1024" width="9.140625" style="76"/>
  </cols>
  <sheetData>
    <row r="1" spans="1:16" ht="15" x14ac:dyDescent="0.25">
      <c r="A1" s="82" t="s">
        <v>0</v>
      </c>
    </row>
    <row r="2" spans="1:16" ht="15" x14ac:dyDescent="0.25">
      <c r="A2" s="82" t="s">
        <v>149</v>
      </c>
    </row>
    <row r="3" spans="1:16" ht="15" x14ac:dyDescent="0.25">
      <c r="A3" s="76" t="s">
        <v>2</v>
      </c>
      <c r="E3" s="85" t="s">
        <v>58</v>
      </c>
      <c r="F3" s="83"/>
    </row>
    <row r="5" spans="1:16" ht="22.5" customHeight="1" x14ac:dyDescent="0.2">
      <c r="A5" s="188" t="s">
        <v>3</v>
      </c>
      <c r="B5" s="188"/>
      <c r="C5" s="188"/>
      <c r="D5" s="118" t="s">
        <v>4</v>
      </c>
      <c r="E5" s="118" t="s">
        <v>5</v>
      </c>
      <c r="F5" s="118" t="s">
        <v>6</v>
      </c>
      <c r="G5" s="118" t="s">
        <v>7</v>
      </c>
      <c r="H5" s="118" t="s">
        <v>8</v>
      </c>
      <c r="I5" s="118" t="s">
        <v>9</v>
      </c>
      <c r="J5" s="118" t="s">
        <v>103</v>
      </c>
      <c r="K5" s="118" t="s">
        <v>11</v>
      </c>
      <c r="L5" s="118" t="s">
        <v>12</v>
      </c>
      <c r="M5" s="118" t="s">
        <v>13</v>
      </c>
      <c r="N5" s="118" t="s">
        <v>56</v>
      </c>
      <c r="O5" s="118" t="s">
        <v>57</v>
      </c>
      <c r="P5" s="119" t="s">
        <v>134</v>
      </c>
    </row>
    <row r="6" spans="1:16" ht="15" customHeight="1" x14ac:dyDescent="0.2"/>
    <row r="7" spans="1:16" ht="15" customHeight="1" x14ac:dyDescent="0.25">
      <c r="A7" s="82" t="s">
        <v>15</v>
      </c>
      <c r="D7" s="83">
        <f t="shared" ref="D7:P7" si="0">D8+D13+D19</f>
        <v>43400</v>
      </c>
      <c r="E7" s="83">
        <f t="shared" si="0"/>
        <v>27614</v>
      </c>
      <c r="F7" s="83">
        <f t="shared" si="0"/>
        <v>34108</v>
      </c>
      <c r="G7" s="83">
        <f t="shared" si="0"/>
        <v>58998</v>
      </c>
      <c r="H7" s="83">
        <f t="shared" si="0"/>
        <v>36892</v>
      </c>
      <c r="I7" s="83">
        <f t="shared" si="0"/>
        <v>43729</v>
      </c>
      <c r="J7" s="83">
        <f t="shared" si="0"/>
        <v>43676</v>
      </c>
      <c r="K7" s="83">
        <f t="shared" si="0"/>
        <v>36621</v>
      </c>
      <c r="L7" s="83">
        <f t="shared" si="0"/>
        <v>32338</v>
      </c>
      <c r="M7" s="83">
        <f t="shared" si="0"/>
        <v>40995</v>
      </c>
      <c r="N7" s="83">
        <f t="shared" si="0"/>
        <v>34479</v>
      </c>
      <c r="O7" s="83">
        <f t="shared" si="0"/>
        <v>45652</v>
      </c>
      <c r="P7" s="83">
        <f t="shared" si="0"/>
        <v>478502</v>
      </c>
    </row>
    <row r="8" spans="1:16" ht="15" customHeight="1" x14ac:dyDescent="0.2">
      <c r="B8" s="76" t="s">
        <v>16</v>
      </c>
      <c r="D8" s="84">
        <v>40566</v>
      </c>
      <c r="E8" s="84">
        <v>24635</v>
      </c>
      <c r="F8" s="84">
        <v>28465</v>
      </c>
      <c r="G8" s="84">
        <v>56525</v>
      </c>
      <c r="H8" s="84">
        <v>33857</v>
      </c>
      <c r="I8" s="84">
        <v>31906</v>
      </c>
      <c r="J8" s="84">
        <v>39881</v>
      </c>
      <c r="K8" s="84">
        <v>33371</v>
      </c>
      <c r="L8" s="84">
        <v>29274</v>
      </c>
      <c r="M8" s="84">
        <v>38411</v>
      </c>
      <c r="N8" s="84">
        <v>32773</v>
      </c>
      <c r="O8" s="84">
        <v>42022</v>
      </c>
      <c r="P8" s="84">
        <v>431686</v>
      </c>
    </row>
    <row r="9" spans="1:16" ht="15" customHeight="1" x14ac:dyDescent="0.2">
      <c r="C9" s="76" t="s">
        <v>17</v>
      </c>
      <c r="D9" s="85">
        <v>35100</v>
      </c>
      <c r="E9" s="85">
        <v>18874</v>
      </c>
      <c r="F9" s="85">
        <v>21994</v>
      </c>
      <c r="G9" s="85">
        <v>50000</v>
      </c>
      <c r="H9" s="85">
        <v>25767</v>
      </c>
      <c r="I9" s="85">
        <v>24238</v>
      </c>
      <c r="J9" s="85">
        <v>31760</v>
      </c>
      <c r="K9" s="85">
        <v>25980</v>
      </c>
      <c r="L9" s="85">
        <v>21888</v>
      </c>
      <c r="M9" s="85">
        <v>30353</v>
      </c>
      <c r="N9" s="85">
        <v>24957</v>
      </c>
      <c r="O9" s="85">
        <v>30408</v>
      </c>
      <c r="P9" s="85">
        <v>341319</v>
      </c>
    </row>
    <row r="10" spans="1:16" ht="15" customHeight="1" x14ac:dyDescent="0.2">
      <c r="C10" s="76" t="s">
        <v>21</v>
      </c>
      <c r="D10" s="85">
        <v>5353</v>
      </c>
      <c r="E10" s="85">
        <v>5486</v>
      </c>
      <c r="F10" s="85">
        <v>6100</v>
      </c>
      <c r="G10" s="85">
        <v>6145</v>
      </c>
      <c r="H10" s="85">
        <v>7738</v>
      </c>
      <c r="I10" s="85">
        <v>7282</v>
      </c>
      <c r="J10" s="85">
        <v>7480</v>
      </c>
      <c r="K10" s="85">
        <v>7101</v>
      </c>
      <c r="L10" s="85">
        <v>6976</v>
      </c>
      <c r="M10" s="85">
        <v>7773</v>
      </c>
      <c r="N10" s="85">
        <v>7667</v>
      </c>
      <c r="O10" s="85">
        <v>11396</v>
      </c>
      <c r="P10" s="85">
        <v>86497</v>
      </c>
    </row>
    <row r="11" spans="1:16" ht="15" customHeight="1" x14ac:dyDescent="0.2">
      <c r="C11" s="76" t="s">
        <v>88</v>
      </c>
      <c r="D11" s="85">
        <v>113</v>
      </c>
      <c r="E11" s="85">
        <v>275</v>
      </c>
      <c r="F11" s="85">
        <v>371</v>
      </c>
      <c r="G11" s="85">
        <v>380</v>
      </c>
      <c r="H11" s="85">
        <v>352</v>
      </c>
      <c r="I11" s="85">
        <v>386</v>
      </c>
      <c r="J11" s="85">
        <v>641</v>
      </c>
      <c r="K11" s="85">
        <v>290</v>
      </c>
      <c r="L11" s="85">
        <v>410</v>
      </c>
      <c r="M11" s="85">
        <v>285</v>
      </c>
      <c r="N11" s="85">
        <v>149</v>
      </c>
      <c r="O11" s="85">
        <v>218</v>
      </c>
      <c r="P11" s="85">
        <v>3870</v>
      </c>
    </row>
    <row r="12" spans="1:16" ht="15" customHeight="1" x14ac:dyDescent="0.2"/>
    <row r="13" spans="1:16" ht="15" customHeight="1" x14ac:dyDescent="0.2">
      <c r="B13" s="76" t="s">
        <v>23</v>
      </c>
      <c r="D13" s="84">
        <v>2829</v>
      </c>
      <c r="E13" s="84">
        <v>2948</v>
      </c>
      <c r="F13" s="84">
        <v>5637</v>
      </c>
      <c r="G13" s="84">
        <v>2426</v>
      </c>
      <c r="H13" s="84">
        <v>3035</v>
      </c>
      <c r="I13" s="84">
        <v>11823</v>
      </c>
      <c r="J13" s="84">
        <v>3795</v>
      </c>
      <c r="K13" s="84">
        <v>3240</v>
      </c>
      <c r="L13" s="84">
        <v>3061</v>
      </c>
      <c r="M13" s="84">
        <v>2582</v>
      </c>
      <c r="N13" s="84">
        <v>1702</v>
      </c>
      <c r="O13" s="84">
        <v>3446</v>
      </c>
      <c r="P13" s="84">
        <v>46524</v>
      </c>
    </row>
    <row r="14" spans="1:16" ht="15" customHeight="1" x14ac:dyDescent="0.2">
      <c r="C14" s="76" t="s">
        <v>24</v>
      </c>
      <c r="D14" s="85">
        <v>1721</v>
      </c>
      <c r="E14" s="85">
        <v>1402</v>
      </c>
      <c r="F14" s="85">
        <v>1797</v>
      </c>
      <c r="G14" s="85">
        <v>1683</v>
      </c>
      <c r="H14" s="85">
        <v>806</v>
      </c>
      <c r="I14" s="85">
        <v>7520</v>
      </c>
      <c r="J14" s="85">
        <v>2190</v>
      </c>
      <c r="K14" s="85">
        <v>2128</v>
      </c>
      <c r="L14" s="85">
        <v>2310</v>
      </c>
      <c r="M14" s="85">
        <v>852</v>
      </c>
      <c r="N14" s="85">
        <v>1479</v>
      </c>
      <c r="O14" s="85">
        <v>2292</v>
      </c>
      <c r="P14" s="85">
        <v>26180</v>
      </c>
    </row>
    <row r="15" spans="1:16" ht="15" customHeight="1" x14ac:dyDescent="0.2">
      <c r="C15" s="76" t="s">
        <v>150</v>
      </c>
      <c r="D15" s="85">
        <v>1097</v>
      </c>
      <c r="E15" s="85">
        <v>1529</v>
      </c>
      <c r="F15" s="85">
        <v>3823</v>
      </c>
      <c r="G15" s="85">
        <v>728</v>
      </c>
      <c r="H15" s="85">
        <v>2229</v>
      </c>
      <c r="I15" s="85">
        <v>920</v>
      </c>
      <c r="J15" s="85">
        <v>1581</v>
      </c>
      <c r="K15" s="85">
        <v>1112</v>
      </c>
      <c r="L15" s="85">
        <v>745</v>
      </c>
      <c r="M15" s="85">
        <v>1718</v>
      </c>
      <c r="N15" s="85">
        <v>223</v>
      </c>
      <c r="O15" s="85">
        <v>316</v>
      </c>
      <c r="P15" s="85">
        <v>16021</v>
      </c>
    </row>
    <row r="16" spans="1:16" ht="15" customHeight="1" x14ac:dyDescent="0.2">
      <c r="C16" s="76" t="s">
        <v>26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3352</v>
      </c>
      <c r="J16" s="85">
        <v>0</v>
      </c>
      <c r="K16" s="85">
        <v>0</v>
      </c>
      <c r="L16" s="85">
        <v>0</v>
      </c>
      <c r="M16" s="85">
        <v>0</v>
      </c>
      <c r="N16" s="85">
        <v>0</v>
      </c>
      <c r="O16" s="85">
        <v>831</v>
      </c>
      <c r="P16" s="85">
        <v>4183</v>
      </c>
    </row>
    <row r="17" spans="1:17" ht="15" customHeight="1" x14ac:dyDescent="0.2">
      <c r="C17" s="76" t="s">
        <v>147</v>
      </c>
      <c r="D17" s="85">
        <v>11</v>
      </c>
      <c r="E17" s="85">
        <v>17</v>
      </c>
      <c r="F17" s="85">
        <v>17</v>
      </c>
      <c r="G17" s="85">
        <v>15</v>
      </c>
      <c r="H17" s="85">
        <v>0</v>
      </c>
      <c r="I17" s="85">
        <v>31</v>
      </c>
      <c r="J17" s="85">
        <v>24</v>
      </c>
      <c r="K17" s="85">
        <v>0</v>
      </c>
      <c r="L17" s="85">
        <v>6</v>
      </c>
      <c r="M17" s="85">
        <v>12</v>
      </c>
      <c r="N17" s="85">
        <v>0</v>
      </c>
      <c r="O17" s="85">
        <v>7</v>
      </c>
      <c r="P17" s="85">
        <v>140</v>
      </c>
    </row>
    <row r="18" spans="1:17" ht="15" customHeight="1" x14ac:dyDescent="0.2"/>
    <row r="19" spans="1:17" ht="15" customHeight="1" x14ac:dyDescent="0.2">
      <c r="B19" s="76" t="s">
        <v>29</v>
      </c>
      <c r="D19" s="85">
        <v>5</v>
      </c>
      <c r="E19" s="85">
        <v>31</v>
      </c>
      <c r="F19" s="85">
        <v>6</v>
      </c>
      <c r="G19" s="85">
        <v>47</v>
      </c>
      <c r="H19" s="85">
        <v>0</v>
      </c>
      <c r="I19" s="85">
        <v>0</v>
      </c>
      <c r="J19" s="85">
        <v>0</v>
      </c>
      <c r="K19" s="85">
        <v>10</v>
      </c>
      <c r="L19" s="85">
        <v>3</v>
      </c>
      <c r="M19" s="85">
        <v>2</v>
      </c>
      <c r="N19" s="85">
        <v>4</v>
      </c>
      <c r="O19" s="85">
        <v>184</v>
      </c>
      <c r="P19" s="85">
        <v>292</v>
      </c>
    </row>
    <row r="20" spans="1:17" ht="15" customHeight="1" x14ac:dyDescent="0.2"/>
    <row r="21" spans="1:17" ht="15" customHeight="1" x14ac:dyDescent="0.25">
      <c r="A21" s="82" t="s">
        <v>30</v>
      </c>
      <c r="D21" s="83">
        <v>45259</v>
      </c>
      <c r="E21" s="83">
        <v>35561</v>
      </c>
      <c r="F21" s="83">
        <v>57765</v>
      </c>
      <c r="G21" s="83">
        <v>47558</v>
      </c>
      <c r="H21" s="83">
        <v>60185</v>
      </c>
      <c r="I21" s="83">
        <v>50877</v>
      </c>
      <c r="J21" s="83">
        <v>51745</v>
      </c>
      <c r="K21" s="83">
        <v>48045</v>
      </c>
      <c r="L21" s="83">
        <v>47919</v>
      </c>
      <c r="M21" s="83">
        <v>50261</v>
      </c>
      <c r="N21" s="83">
        <v>47830</v>
      </c>
      <c r="O21" s="83">
        <v>47155</v>
      </c>
      <c r="P21" s="83">
        <v>590160</v>
      </c>
    </row>
    <row r="22" spans="1:17" ht="15" customHeight="1" x14ac:dyDescent="0.2">
      <c r="B22" s="76" t="s">
        <v>18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</row>
    <row r="23" spans="1:17" ht="15" customHeight="1" x14ac:dyDescent="0.2">
      <c r="C23" s="76" t="s">
        <v>31</v>
      </c>
      <c r="D23" s="85">
        <v>14053</v>
      </c>
      <c r="E23" s="85">
        <v>6628</v>
      </c>
      <c r="F23" s="85">
        <v>5636</v>
      </c>
      <c r="G23" s="85">
        <v>7476</v>
      </c>
      <c r="H23" s="85">
        <v>10267</v>
      </c>
      <c r="I23" s="85">
        <v>7808</v>
      </c>
      <c r="J23" s="85">
        <v>9196</v>
      </c>
      <c r="K23" s="85">
        <v>5670</v>
      </c>
      <c r="L23" s="85">
        <v>7926</v>
      </c>
      <c r="M23" s="85">
        <v>7774</v>
      </c>
      <c r="N23" s="85">
        <v>7562</v>
      </c>
      <c r="O23" s="85">
        <v>6405</v>
      </c>
      <c r="P23" s="85">
        <v>96401</v>
      </c>
      <c r="Q23" s="85"/>
    </row>
    <row r="24" spans="1:17" ht="15" customHeight="1" x14ac:dyDescent="0.2">
      <c r="C24" s="76" t="s">
        <v>32</v>
      </c>
      <c r="D24" s="85">
        <v>6245</v>
      </c>
      <c r="E24" s="85">
        <v>7200</v>
      </c>
      <c r="F24" s="85">
        <v>12242</v>
      </c>
      <c r="G24" s="85">
        <v>9554</v>
      </c>
      <c r="H24" s="85">
        <v>6835</v>
      </c>
      <c r="I24" s="85">
        <v>8677</v>
      </c>
      <c r="J24" s="85">
        <v>6963</v>
      </c>
      <c r="K24" s="85">
        <v>8226</v>
      </c>
      <c r="L24" s="85">
        <v>12215</v>
      </c>
      <c r="M24" s="85">
        <v>11993</v>
      </c>
      <c r="N24" s="85">
        <v>6283</v>
      </c>
      <c r="O24" s="85">
        <v>9857</v>
      </c>
      <c r="P24" s="85">
        <v>106290</v>
      </c>
      <c r="Q24" s="85"/>
    </row>
    <row r="25" spans="1:17" ht="15" customHeight="1" x14ac:dyDescent="0.2">
      <c r="C25" s="76" t="s">
        <v>33</v>
      </c>
      <c r="D25" s="85">
        <v>0</v>
      </c>
      <c r="E25" s="85">
        <v>0</v>
      </c>
      <c r="F25" s="85">
        <v>0</v>
      </c>
      <c r="G25" s="85">
        <v>560</v>
      </c>
      <c r="H25" s="85">
        <v>1392</v>
      </c>
      <c r="I25" s="85">
        <v>650</v>
      </c>
      <c r="J25" s="85">
        <v>99</v>
      </c>
      <c r="K25" s="85">
        <v>2</v>
      </c>
      <c r="L25" s="85">
        <v>58</v>
      </c>
      <c r="M25" s="85">
        <v>1</v>
      </c>
      <c r="N25" s="85">
        <v>27</v>
      </c>
      <c r="O25" s="85">
        <v>3429</v>
      </c>
      <c r="P25" s="85">
        <v>6218</v>
      </c>
    </row>
    <row r="26" spans="1:17" ht="15" customHeight="1" x14ac:dyDescent="0.2">
      <c r="C26" s="76" t="s">
        <v>78</v>
      </c>
      <c r="D26" s="85">
        <v>356</v>
      </c>
      <c r="E26" s="85">
        <v>108</v>
      </c>
      <c r="F26" s="85">
        <v>291</v>
      </c>
      <c r="G26" s="85">
        <v>1236</v>
      </c>
      <c r="H26" s="85">
        <v>1060</v>
      </c>
      <c r="I26" s="85">
        <v>304</v>
      </c>
      <c r="J26" s="85">
        <v>629</v>
      </c>
      <c r="K26" s="85">
        <v>385</v>
      </c>
      <c r="L26" s="85">
        <v>188</v>
      </c>
      <c r="M26" s="85">
        <v>1020</v>
      </c>
      <c r="N26" s="85">
        <v>501</v>
      </c>
      <c r="O26" s="85">
        <v>687</v>
      </c>
      <c r="P26" s="85">
        <v>6765</v>
      </c>
    </row>
    <row r="27" spans="1:17" ht="15" customHeight="1" x14ac:dyDescent="0.2">
      <c r="C27" s="76" t="s">
        <v>35</v>
      </c>
      <c r="D27" s="85">
        <v>0</v>
      </c>
      <c r="E27" s="85">
        <v>0</v>
      </c>
      <c r="F27" s="85">
        <v>10</v>
      </c>
      <c r="G27" s="85">
        <v>128</v>
      </c>
      <c r="H27" s="85">
        <v>480</v>
      </c>
      <c r="I27" s="85">
        <v>620</v>
      </c>
      <c r="J27" s="85">
        <v>243</v>
      </c>
      <c r="K27" s="85">
        <v>10</v>
      </c>
      <c r="L27" s="85">
        <v>0</v>
      </c>
      <c r="M27" s="85">
        <v>20</v>
      </c>
      <c r="N27" s="85">
        <v>0</v>
      </c>
      <c r="O27" s="85">
        <v>21</v>
      </c>
      <c r="P27" s="85">
        <v>1532</v>
      </c>
    </row>
    <row r="28" spans="1:17" ht="15" customHeight="1" x14ac:dyDescent="0.2">
      <c r="C28" s="76" t="s">
        <v>79</v>
      </c>
      <c r="D28" s="85">
        <v>-341</v>
      </c>
      <c r="E28" s="85">
        <v>115</v>
      </c>
      <c r="F28" s="85">
        <v>5895</v>
      </c>
      <c r="G28" s="85">
        <v>-236</v>
      </c>
      <c r="H28" s="85">
        <v>-191</v>
      </c>
      <c r="I28" s="85">
        <v>1219</v>
      </c>
      <c r="J28" s="85">
        <v>1678</v>
      </c>
      <c r="K28" s="85">
        <v>115</v>
      </c>
      <c r="L28" s="85">
        <v>464</v>
      </c>
      <c r="M28" s="85">
        <v>-70</v>
      </c>
      <c r="N28" s="85">
        <v>169</v>
      </c>
      <c r="O28" s="85">
        <v>-5624</v>
      </c>
      <c r="P28" s="85">
        <v>3193</v>
      </c>
    </row>
    <row r="29" spans="1:17" ht="15" customHeight="1" x14ac:dyDescent="0.2"/>
    <row r="30" spans="1:17" ht="15" customHeight="1" x14ac:dyDescent="0.25">
      <c r="A30" s="82" t="s">
        <v>137</v>
      </c>
      <c r="B30" s="82"/>
      <c r="C30" s="82"/>
      <c r="D30" s="88">
        <f t="shared" ref="D30:O30" si="1">+D7-D21</f>
        <v>-1859</v>
      </c>
      <c r="E30" s="88">
        <f t="shared" si="1"/>
        <v>-7947</v>
      </c>
      <c r="F30" s="88">
        <f t="shared" si="1"/>
        <v>-23657</v>
      </c>
      <c r="G30" s="88">
        <f t="shared" si="1"/>
        <v>11440</v>
      </c>
      <c r="H30" s="88">
        <f t="shared" si="1"/>
        <v>-23293</v>
      </c>
      <c r="I30" s="88">
        <f t="shared" si="1"/>
        <v>-7148</v>
      </c>
      <c r="J30" s="88">
        <f t="shared" si="1"/>
        <v>-8069</v>
      </c>
      <c r="K30" s="88">
        <f t="shared" si="1"/>
        <v>-11424</v>
      </c>
      <c r="L30" s="88">
        <f t="shared" si="1"/>
        <v>-15581</v>
      </c>
      <c r="M30" s="88">
        <f t="shared" si="1"/>
        <v>-9266</v>
      </c>
      <c r="N30" s="88">
        <f t="shared" si="1"/>
        <v>-13351</v>
      </c>
      <c r="O30" s="88">
        <f t="shared" si="1"/>
        <v>-1503</v>
      </c>
      <c r="P30" s="88">
        <f>SUM(D30:O30)</f>
        <v>-111658</v>
      </c>
    </row>
    <row r="31" spans="1:17" ht="15" customHeight="1" x14ac:dyDescent="0.2"/>
    <row r="32" spans="1:17" ht="15" customHeight="1" x14ac:dyDescent="0.25">
      <c r="A32" s="82" t="s">
        <v>39</v>
      </c>
      <c r="B32" s="82"/>
      <c r="C32" s="82"/>
      <c r="D32" s="83">
        <v>50412</v>
      </c>
      <c r="E32" s="83">
        <v>21489</v>
      </c>
      <c r="F32" s="83">
        <v>39566</v>
      </c>
      <c r="G32" s="83">
        <v>17863</v>
      </c>
      <c r="H32" s="83">
        <v>-9751</v>
      </c>
      <c r="I32" s="83">
        <v>3167</v>
      </c>
      <c r="J32" s="83">
        <v>1876</v>
      </c>
      <c r="K32" s="83">
        <v>-18440</v>
      </c>
      <c r="L32" s="83">
        <v>23720</v>
      </c>
      <c r="M32" s="83">
        <v>28282</v>
      </c>
      <c r="N32" s="83">
        <v>-4170</v>
      </c>
      <c r="O32" s="83">
        <v>27684</v>
      </c>
      <c r="P32" s="83">
        <v>181698</v>
      </c>
    </row>
    <row r="33" spans="1:17" ht="15" customHeight="1" x14ac:dyDescent="0.2">
      <c r="B33" s="76" t="s">
        <v>40</v>
      </c>
      <c r="D33" s="84">
        <v>36283</v>
      </c>
      <c r="E33" s="84">
        <v>6113</v>
      </c>
      <c r="F33" s="84">
        <v>22451</v>
      </c>
      <c r="G33" s="84">
        <v>7658</v>
      </c>
      <c r="H33" s="84">
        <v>-1565</v>
      </c>
      <c r="I33" s="84">
        <v>-3896</v>
      </c>
      <c r="J33" s="84">
        <v>-1107</v>
      </c>
      <c r="K33" s="84">
        <v>-649</v>
      </c>
      <c r="L33" s="84">
        <v>-676</v>
      </c>
      <c r="M33" s="84">
        <v>11232</v>
      </c>
      <c r="N33" s="84">
        <v>-3713</v>
      </c>
      <c r="O33" s="84">
        <v>10669</v>
      </c>
      <c r="P33" s="84">
        <v>82800</v>
      </c>
    </row>
    <row r="34" spans="1:17" ht="15" customHeight="1" x14ac:dyDescent="0.2">
      <c r="A34" s="76" t="s">
        <v>58</v>
      </c>
      <c r="C34" s="76" t="s">
        <v>41</v>
      </c>
      <c r="D34" s="85">
        <v>38840</v>
      </c>
      <c r="E34" s="85">
        <v>7867</v>
      </c>
      <c r="F34" s="85">
        <v>24579</v>
      </c>
      <c r="G34" s="85">
        <v>9151</v>
      </c>
      <c r="H34" s="85">
        <v>3382</v>
      </c>
      <c r="I34" s="85">
        <v>1006</v>
      </c>
      <c r="J34" s="85">
        <v>549</v>
      </c>
      <c r="K34" s="85">
        <v>925</v>
      </c>
      <c r="L34" s="85">
        <v>1384</v>
      </c>
      <c r="M34" s="85">
        <v>14063</v>
      </c>
      <c r="N34" s="85">
        <v>909</v>
      </c>
      <c r="O34" s="85">
        <v>17699</v>
      </c>
      <c r="P34" s="85">
        <v>120354</v>
      </c>
    </row>
    <row r="35" spans="1:17" ht="15" customHeight="1" x14ac:dyDescent="0.2">
      <c r="C35" s="76" t="s">
        <v>42</v>
      </c>
      <c r="D35" s="85">
        <v>2557</v>
      </c>
      <c r="E35" s="85">
        <v>1754</v>
      </c>
      <c r="F35" s="85">
        <v>2128</v>
      </c>
      <c r="G35" s="85">
        <v>1493</v>
      </c>
      <c r="H35" s="85">
        <v>4947</v>
      </c>
      <c r="I35" s="85">
        <v>4902</v>
      </c>
      <c r="J35" s="85">
        <v>1656</v>
      </c>
      <c r="K35" s="85">
        <v>1574</v>
      </c>
      <c r="L35" s="85">
        <v>2060</v>
      </c>
      <c r="M35" s="85">
        <v>2831</v>
      </c>
      <c r="N35" s="85">
        <v>4622</v>
      </c>
      <c r="O35" s="85">
        <v>7030</v>
      </c>
      <c r="P35" s="85">
        <v>37554</v>
      </c>
    </row>
    <row r="36" spans="1:17" ht="15" customHeight="1" x14ac:dyDescent="0.2"/>
    <row r="37" spans="1:17" ht="15" customHeight="1" x14ac:dyDescent="0.2">
      <c r="B37" s="76" t="s">
        <v>43</v>
      </c>
      <c r="D37" s="84">
        <v>14129</v>
      </c>
      <c r="E37" s="84">
        <v>15376</v>
      </c>
      <c r="F37" s="84">
        <v>17115</v>
      </c>
      <c r="G37" s="84">
        <v>10205</v>
      </c>
      <c r="H37" s="84">
        <v>-8186</v>
      </c>
      <c r="I37" s="84">
        <v>7063</v>
      </c>
      <c r="J37" s="84">
        <v>2983</v>
      </c>
      <c r="K37" s="84">
        <v>-17791</v>
      </c>
      <c r="L37" s="84">
        <v>24396</v>
      </c>
      <c r="M37" s="84">
        <v>17050</v>
      </c>
      <c r="N37" s="84">
        <v>-457</v>
      </c>
      <c r="O37" s="84">
        <v>17015</v>
      </c>
      <c r="P37" s="84">
        <v>98898</v>
      </c>
    </row>
    <row r="38" spans="1:17" ht="15" customHeight="1" x14ac:dyDescent="0.2">
      <c r="C38" s="76" t="s">
        <v>44</v>
      </c>
      <c r="D38" s="85">
        <v>15157</v>
      </c>
      <c r="E38" s="85">
        <v>17061</v>
      </c>
      <c r="F38" s="85">
        <v>22175</v>
      </c>
      <c r="G38" s="85">
        <v>11006</v>
      </c>
      <c r="H38" s="85">
        <v>-7283</v>
      </c>
      <c r="I38" s="85">
        <v>35367</v>
      </c>
      <c r="J38" s="85">
        <v>4603</v>
      </c>
      <c r="K38" s="85">
        <v>-16648</v>
      </c>
      <c r="L38" s="85">
        <v>26858</v>
      </c>
      <c r="M38" s="85">
        <v>18208</v>
      </c>
      <c r="N38" s="85">
        <v>1966</v>
      </c>
      <c r="O38" s="85">
        <v>31980</v>
      </c>
      <c r="P38" s="85">
        <v>160450</v>
      </c>
    </row>
    <row r="39" spans="1:17" ht="15" customHeight="1" x14ac:dyDescent="0.2">
      <c r="C39" s="76" t="s">
        <v>42</v>
      </c>
      <c r="D39" s="85">
        <v>1028</v>
      </c>
      <c r="E39" s="85">
        <v>1685</v>
      </c>
      <c r="F39" s="85">
        <v>5060</v>
      </c>
      <c r="G39" s="85">
        <v>801</v>
      </c>
      <c r="H39" s="85">
        <v>903</v>
      </c>
      <c r="I39" s="85">
        <v>28304</v>
      </c>
      <c r="J39" s="85">
        <v>1620</v>
      </c>
      <c r="K39" s="85">
        <v>1143</v>
      </c>
      <c r="L39" s="85">
        <v>2462</v>
      </c>
      <c r="M39" s="85">
        <v>1158</v>
      </c>
      <c r="N39" s="85">
        <v>2423</v>
      </c>
      <c r="O39" s="85">
        <v>14965</v>
      </c>
      <c r="P39" s="85">
        <v>61552</v>
      </c>
    </row>
    <row r="40" spans="1:17" ht="15" customHeight="1" x14ac:dyDescent="0.2"/>
    <row r="41" spans="1:17" s="82" customFormat="1" ht="15" customHeight="1" x14ac:dyDescent="0.25">
      <c r="A41" s="82" t="s">
        <v>47</v>
      </c>
      <c r="D41" s="83">
        <v>26940</v>
      </c>
      <c r="E41" s="83">
        <v>26992</v>
      </c>
      <c r="F41" s="83">
        <v>13586</v>
      </c>
      <c r="G41" s="83">
        <v>24253</v>
      </c>
      <c r="H41" s="83">
        <v>-35443</v>
      </c>
      <c r="I41" s="83">
        <v>-2509</v>
      </c>
      <c r="J41" s="83">
        <v>-8047</v>
      </c>
      <c r="K41" s="83">
        <v>-30022</v>
      </c>
      <c r="L41" s="83">
        <v>-6626</v>
      </c>
      <c r="M41" s="83">
        <v>26836</v>
      </c>
      <c r="N41" s="83">
        <v>-22377</v>
      </c>
      <c r="O41" s="83">
        <v>25401</v>
      </c>
      <c r="P41" s="83">
        <v>38984</v>
      </c>
      <c r="Q41" s="88"/>
    </row>
    <row r="42" spans="1:17" x14ac:dyDescent="0.2">
      <c r="A42" s="89"/>
      <c r="B42" s="89"/>
      <c r="C42" s="89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</row>
    <row r="43" spans="1:17" x14ac:dyDescent="0.2">
      <c r="A43" s="86"/>
    </row>
    <row r="44" spans="1:17" x14ac:dyDescent="0.2">
      <c r="A44" s="86"/>
    </row>
    <row r="46" spans="1:17" s="76" customFormat="1" x14ac:dyDescent="0.2"/>
    <row r="47" spans="1:17" x14ac:dyDescent="0.2">
      <c r="A47" s="86" t="s">
        <v>139</v>
      </c>
      <c r="C47" s="85"/>
      <c r="E47" s="76"/>
      <c r="F47" s="120"/>
      <c r="G47" s="120"/>
    </row>
    <row r="48" spans="1:17" x14ac:dyDescent="0.2">
      <c r="A48" s="86" t="s">
        <v>151</v>
      </c>
      <c r="E48" s="76"/>
      <c r="F48" s="76"/>
      <c r="G48" s="76"/>
    </row>
    <row r="49" spans="1:4" x14ac:dyDescent="0.2">
      <c r="A49" s="86"/>
      <c r="B49" s="86"/>
      <c r="C49" s="86"/>
      <c r="D49" s="121"/>
    </row>
    <row r="50" spans="1:4" x14ac:dyDescent="0.2">
      <c r="A50" s="86"/>
      <c r="B50" s="86"/>
      <c r="C50" s="86"/>
      <c r="D50" s="121"/>
    </row>
    <row r="51" spans="1:4" x14ac:dyDescent="0.2">
      <c r="A51" s="86"/>
      <c r="B51" s="86"/>
      <c r="C51" s="86"/>
      <c r="D51" s="121"/>
    </row>
    <row r="52" spans="1:4" x14ac:dyDescent="0.2">
      <c r="A52" s="86"/>
      <c r="B52" s="86"/>
      <c r="C52" s="86"/>
      <c r="D52" s="121"/>
    </row>
    <row r="53" spans="1:4" x14ac:dyDescent="0.2">
      <c r="A53" s="86"/>
      <c r="B53" s="86"/>
      <c r="C53" s="86"/>
      <c r="D53" s="121"/>
    </row>
  </sheetData>
  <mergeCells count="1">
    <mergeCell ref="A5:C5"/>
  </mergeCells>
  <printOptions horizontalCentered="1"/>
  <pageMargins left="0" right="0" top="1.10208333333333" bottom="0.98402777777777795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AMJ52"/>
  <sheetViews>
    <sheetView zoomScaleNormal="100" workbookViewId="0">
      <selection activeCell="R24" sqref="R24"/>
    </sheetView>
  </sheetViews>
  <sheetFormatPr defaultColWidth="9.140625" defaultRowHeight="14.25" x14ac:dyDescent="0.2"/>
  <cols>
    <col min="1" max="1" width="1.7109375" style="76" customWidth="1"/>
    <col min="2" max="2" width="1.85546875" style="76" customWidth="1"/>
    <col min="3" max="3" width="22.5703125" style="76" customWidth="1"/>
    <col min="4" max="7" width="8" style="85" customWidth="1"/>
    <col min="8" max="9" width="8.7109375" style="85" customWidth="1"/>
    <col min="10" max="13" width="8" style="85" customWidth="1"/>
    <col min="14" max="14" width="8.7109375" style="85" customWidth="1"/>
    <col min="15" max="15" width="8" style="85" customWidth="1"/>
    <col min="16" max="16" width="9.140625" style="85"/>
    <col min="17" max="1024" width="9.140625" style="76"/>
  </cols>
  <sheetData>
    <row r="1" spans="1:16" ht="15" x14ac:dyDescent="0.25">
      <c r="A1" s="82" t="s">
        <v>0</v>
      </c>
    </row>
    <row r="2" spans="1:16" ht="15" x14ac:dyDescent="0.25">
      <c r="A2" s="82" t="s">
        <v>152</v>
      </c>
    </row>
    <row r="3" spans="1:16" ht="15" x14ac:dyDescent="0.25">
      <c r="A3" s="76" t="s">
        <v>2</v>
      </c>
      <c r="E3" s="85" t="s">
        <v>58</v>
      </c>
      <c r="F3" s="83"/>
    </row>
    <row r="5" spans="1:16" ht="22.5" customHeight="1" x14ac:dyDescent="0.2">
      <c r="A5" s="188" t="s">
        <v>3</v>
      </c>
      <c r="B5" s="188"/>
      <c r="C5" s="188"/>
      <c r="D5" s="118" t="s">
        <v>4</v>
      </c>
      <c r="E5" s="118" t="s">
        <v>5</v>
      </c>
      <c r="F5" s="118" t="s">
        <v>6</v>
      </c>
      <c r="G5" s="118" t="s">
        <v>7</v>
      </c>
      <c r="H5" s="118" t="s">
        <v>8</v>
      </c>
      <c r="I5" s="118" t="s">
        <v>9</v>
      </c>
      <c r="J5" s="118" t="s">
        <v>103</v>
      </c>
      <c r="K5" s="118" t="s">
        <v>11</v>
      </c>
      <c r="L5" s="118" t="s">
        <v>12</v>
      </c>
      <c r="M5" s="118" t="s">
        <v>13</v>
      </c>
      <c r="N5" s="118" t="s">
        <v>56</v>
      </c>
      <c r="O5" s="118" t="s">
        <v>57</v>
      </c>
      <c r="P5" s="119" t="s">
        <v>134</v>
      </c>
    </row>
    <row r="6" spans="1:16" ht="15" customHeight="1" x14ac:dyDescent="0.2"/>
    <row r="7" spans="1:16" ht="15" customHeight="1" x14ac:dyDescent="0.25">
      <c r="A7" s="82" t="s">
        <v>15</v>
      </c>
      <c r="D7" s="83">
        <f t="shared" ref="D7:P7" si="0">D8+D13+D19</f>
        <v>44190</v>
      </c>
      <c r="E7" s="83">
        <f t="shared" si="0"/>
        <v>27490</v>
      </c>
      <c r="F7" s="83">
        <f t="shared" si="0"/>
        <v>31979</v>
      </c>
      <c r="G7" s="83">
        <f t="shared" si="0"/>
        <v>55553</v>
      </c>
      <c r="H7" s="83">
        <f t="shared" si="0"/>
        <v>28227</v>
      </c>
      <c r="I7" s="83">
        <f t="shared" si="0"/>
        <v>31665</v>
      </c>
      <c r="J7" s="83">
        <f t="shared" si="0"/>
        <v>52921</v>
      </c>
      <c r="K7" s="83">
        <f t="shared" si="0"/>
        <v>33834</v>
      </c>
      <c r="L7" s="83">
        <f t="shared" si="0"/>
        <v>38058</v>
      </c>
      <c r="M7" s="83">
        <f t="shared" si="0"/>
        <v>44392</v>
      </c>
      <c r="N7" s="83">
        <f t="shared" si="0"/>
        <v>33899</v>
      </c>
      <c r="O7" s="83">
        <f t="shared" si="0"/>
        <v>40307</v>
      </c>
      <c r="P7" s="83">
        <f t="shared" si="0"/>
        <v>462515</v>
      </c>
    </row>
    <row r="8" spans="1:16" ht="15" customHeight="1" x14ac:dyDescent="0.2">
      <c r="B8" s="76" t="s">
        <v>16</v>
      </c>
      <c r="D8" s="84">
        <v>42393</v>
      </c>
      <c r="E8" s="84">
        <v>25063</v>
      </c>
      <c r="F8" s="84">
        <v>27776</v>
      </c>
      <c r="G8" s="84">
        <v>52265</v>
      </c>
      <c r="H8" s="84">
        <v>25527</v>
      </c>
      <c r="I8" s="84">
        <v>29246</v>
      </c>
      <c r="J8" s="84">
        <v>42731</v>
      </c>
      <c r="K8" s="84">
        <v>28878</v>
      </c>
      <c r="L8" s="84">
        <v>33949</v>
      </c>
      <c r="M8" s="84">
        <v>40914</v>
      </c>
      <c r="N8" s="84">
        <v>33653</v>
      </c>
      <c r="O8" s="84">
        <v>34190</v>
      </c>
      <c r="P8" s="84">
        <v>416585</v>
      </c>
    </row>
    <row r="9" spans="1:16" ht="15" customHeight="1" x14ac:dyDescent="0.2">
      <c r="C9" s="76" t="s">
        <v>17</v>
      </c>
      <c r="D9" s="85">
        <v>35086</v>
      </c>
      <c r="E9" s="85">
        <v>19304</v>
      </c>
      <c r="F9" s="85">
        <v>21154</v>
      </c>
      <c r="G9" s="85">
        <v>46473</v>
      </c>
      <c r="H9" s="85">
        <v>19760</v>
      </c>
      <c r="I9" s="85">
        <v>24275</v>
      </c>
      <c r="J9" s="85">
        <v>34132</v>
      </c>
      <c r="K9" s="85">
        <v>21545</v>
      </c>
      <c r="L9" s="85">
        <v>26793</v>
      </c>
      <c r="M9" s="85">
        <v>33553</v>
      </c>
      <c r="N9" s="85">
        <v>26766</v>
      </c>
      <c r="O9" s="85">
        <v>28334</v>
      </c>
      <c r="P9" s="85">
        <v>337175</v>
      </c>
    </row>
    <row r="10" spans="1:16" ht="15" customHeight="1" x14ac:dyDescent="0.2">
      <c r="C10" s="76" t="s">
        <v>21</v>
      </c>
      <c r="D10" s="85">
        <v>7133</v>
      </c>
      <c r="E10" s="85">
        <v>5462</v>
      </c>
      <c r="F10" s="85">
        <v>6353</v>
      </c>
      <c r="G10" s="85">
        <v>5503</v>
      </c>
      <c r="H10" s="85">
        <v>5469</v>
      </c>
      <c r="I10" s="85">
        <v>4825</v>
      </c>
      <c r="J10" s="85">
        <v>8324</v>
      </c>
      <c r="K10" s="85">
        <v>6741</v>
      </c>
      <c r="L10" s="85">
        <v>6818</v>
      </c>
      <c r="M10" s="85">
        <v>7061</v>
      </c>
      <c r="N10" s="85">
        <v>6586</v>
      </c>
      <c r="O10" s="85">
        <v>5730</v>
      </c>
      <c r="P10" s="85">
        <v>76005</v>
      </c>
    </row>
    <row r="11" spans="1:16" ht="15" customHeight="1" x14ac:dyDescent="0.2">
      <c r="C11" s="76" t="s">
        <v>88</v>
      </c>
      <c r="D11" s="85">
        <v>174</v>
      </c>
      <c r="E11" s="85">
        <v>297</v>
      </c>
      <c r="F11" s="85">
        <v>269</v>
      </c>
      <c r="G11" s="85">
        <v>289</v>
      </c>
      <c r="H11" s="85">
        <v>298</v>
      </c>
      <c r="I11" s="85">
        <v>146</v>
      </c>
      <c r="J11" s="85">
        <v>275</v>
      </c>
      <c r="K11" s="85">
        <v>592</v>
      </c>
      <c r="L11" s="85">
        <v>338</v>
      </c>
      <c r="M11" s="85">
        <v>300</v>
      </c>
      <c r="N11" s="85">
        <v>301</v>
      </c>
      <c r="O11" s="85">
        <v>126</v>
      </c>
      <c r="P11" s="85">
        <v>3405</v>
      </c>
    </row>
    <row r="12" spans="1:16" ht="15" customHeight="1" x14ac:dyDescent="0.2"/>
    <row r="13" spans="1:16" ht="15" customHeight="1" x14ac:dyDescent="0.2">
      <c r="B13" s="76" t="s">
        <v>23</v>
      </c>
      <c r="D13" s="84">
        <f t="shared" ref="D13:P13" si="1">SUM(D14:D17)</f>
        <v>1797</v>
      </c>
      <c r="E13" s="84">
        <f t="shared" si="1"/>
        <v>2187</v>
      </c>
      <c r="F13" s="84">
        <f t="shared" si="1"/>
        <v>4115</v>
      </c>
      <c r="G13" s="84">
        <f t="shared" si="1"/>
        <v>3286</v>
      </c>
      <c r="H13" s="84">
        <f t="shared" si="1"/>
        <v>2700</v>
      </c>
      <c r="I13" s="84">
        <f t="shared" si="1"/>
        <v>2415</v>
      </c>
      <c r="J13" s="84">
        <f t="shared" si="1"/>
        <v>10178</v>
      </c>
      <c r="K13" s="84">
        <f t="shared" si="1"/>
        <v>4955</v>
      </c>
      <c r="L13" s="84">
        <f t="shared" si="1"/>
        <v>4092</v>
      </c>
      <c r="M13" s="84">
        <f t="shared" si="1"/>
        <v>3454</v>
      </c>
      <c r="N13" s="84">
        <f t="shared" si="1"/>
        <v>238</v>
      </c>
      <c r="O13" s="84">
        <f t="shared" si="1"/>
        <v>6117</v>
      </c>
      <c r="P13" s="84">
        <f t="shared" si="1"/>
        <v>45534</v>
      </c>
    </row>
    <row r="14" spans="1:16" ht="15" customHeight="1" x14ac:dyDescent="0.2">
      <c r="C14" s="76" t="s">
        <v>24</v>
      </c>
      <c r="D14" s="85">
        <v>787</v>
      </c>
      <c r="E14" s="85">
        <v>529</v>
      </c>
      <c r="F14" s="85">
        <v>1659</v>
      </c>
      <c r="G14" s="85">
        <v>1310</v>
      </c>
      <c r="H14" s="85">
        <v>1388</v>
      </c>
      <c r="I14" s="85">
        <v>970</v>
      </c>
      <c r="J14" s="85">
        <v>7741</v>
      </c>
      <c r="K14" s="85">
        <v>4123</v>
      </c>
      <c r="L14" s="85">
        <v>1758</v>
      </c>
      <c r="M14" s="85">
        <v>1511</v>
      </c>
      <c r="N14" s="85">
        <v>-1297</v>
      </c>
      <c r="O14" s="85">
        <v>2056</v>
      </c>
      <c r="P14" s="85">
        <v>22535</v>
      </c>
    </row>
    <row r="15" spans="1:16" ht="15" customHeight="1" x14ac:dyDescent="0.2">
      <c r="C15" s="76" t="s">
        <v>150</v>
      </c>
      <c r="D15" s="85">
        <v>979</v>
      </c>
      <c r="E15" s="85">
        <v>1623</v>
      </c>
      <c r="F15" s="85">
        <v>2412</v>
      </c>
      <c r="G15" s="85">
        <v>1948</v>
      </c>
      <c r="H15" s="85">
        <v>1186</v>
      </c>
      <c r="I15" s="85">
        <v>1414</v>
      </c>
      <c r="J15" s="85">
        <v>2418</v>
      </c>
      <c r="K15" s="85">
        <v>573</v>
      </c>
      <c r="L15" s="85">
        <v>1202</v>
      </c>
      <c r="M15" s="85">
        <v>1932</v>
      </c>
      <c r="N15" s="85">
        <v>1437</v>
      </c>
      <c r="O15" s="85">
        <v>3922</v>
      </c>
      <c r="P15" s="85">
        <v>21046</v>
      </c>
    </row>
    <row r="16" spans="1:16" ht="15" customHeight="1" x14ac:dyDescent="0.2">
      <c r="C16" s="76" t="s">
        <v>26</v>
      </c>
      <c r="D16" s="85">
        <v>0</v>
      </c>
      <c r="E16" s="85">
        <v>12</v>
      </c>
      <c r="F16" s="85">
        <v>9</v>
      </c>
      <c r="G16" s="85">
        <v>1</v>
      </c>
      <c r="H16" s="85">
        <v>95</v>
      </c>
      <c r="I16" s="85">
        <v>18</v>
      </c>
      <c r="J16" s="85">
        <v>0</v>
      </c>
      <c r="K16" s="85">
        <v>232</v>
      </c>
      <c r="L16" s="85">
        <v>1113</v>
      </c>
      <c r="M16" s="85">
        <v>0</v>
      </c>
      <c r="N16" s="85">
        <v>98</v>
      </c>
      <c r="O16" s="85">
        <v>139</v>
      </c>
      <c r="P16" s="85">
        <v>1717</v>
      </c>
    </row>
    <row r="17" spans="1:16" ht="15" customHeight="1" x14ac:dyDescent="0.2">
      <c r="C17" s="76" t="s">
        <v>147</v>
      </c>
      <c r="D17" s="85">
        <v>31</v>
      </c>
      <c r="E17" s="85">
        <v>23</v>
      </c>
      <c r="F17" s="85">
        <v>35</v>
      </c>
      <c r="G17" s="85">
        <v>27</v>
      </c>
      <c r="H17" s="85">
        <v>31</v>
      </c>
      <c r="I17" s="85">
        <v>13</v>
      </c>
      <c r="J17" s="85">
        <v>19</v>
      </c>
      <c r="K17" s="85">
        <v>27</v>
      </c>
      <c r="L17" s="85">
        <v>19</v>
      </c>
      <c r="M17" s="85">
        <v>11</v>
      </c>
      <c r="N17" s="85">
        <v>0</v>
      </c>
      <c r="O17" s="85">
        <v>0</v>
      </c>
      <c r="P17" s="85">
        <v>236</v>
      </c>
    </row>
    <row r="18" spans="1:16" ht="15" customHeight="1" x14ac:dyDescent="0.2"/>
    <row r="19" spans="1:16" ht="15" customHeight="1" x14ac:dyDescent="0.2">
      <c r="B19" s="76" t="s">
        <v>29</v>
      </c>
      <c r="D19" s="85">
        <v>0</v>
      </c>
      <c r="E19" s="85">
        <v>240</v>
      </c>
      <c r="F19" s="85">
        <v>88</v>
      </c>
      <c r="G19" s="85">
        <v>2</v>
      </c>
      <c r="H19" s="85">
        <v>0</v>
      </c>
      <c r="I19" s="85">
        <v>4</v>
      </c>
      <c r="J19" s="85">
        <v>12</v>
      </c>
      <c r="K19" s="85">
        <v>1</v>
      </c>
      <c r="L19" s="85">
        <v>17</v>
      </c>
      <c r="M19" s="85">
        <v>24</v>
      </c>
      <c r="N19" s="85">
        <v>8</v>
      </c>
      <c r="O19" s="85">
        <v>0</v>
      </c>
      <c r="P19" s="85">
        <v>396</v>
      </c>
    </row>
    <row r="20" spans="1:16" ht="15" customHeight="1" x14ac:dyDescent="0.2"/>
    <row r="21" spans="1:16" ht="15" customHeight="1" x14ac:dyDescent="0.25">
      <c r="A21" s="82" t="s">
        <v>30</v>
      </c>
      <c r="D21" s="83">
        <v>42320</v>
      </c>
      <c r="E21" s="83">
        <v>34825</v>
      </c>
      <c r="F21" s="83">
        <v>38282</v>
      </c>
      <c r="G21" s="83">
        <v>41782</v>
      </c>
      <c r="H21" s="83">
        <v>45675</v>
      </c>
      <c r="I21" s="83">
        <v>40223</v>
      </c>
      <c r="J21" s="83">
        <v>42491</v>
      </c>
      <c r="K21" s="83">
        <v>42964</v>
      </c>
      <c r="L21" s="83">
        <v>41057</v>
      </c>
      <c r="M21" s="83">
        <v>44100</v>
      </c>
      <c r="N21" s="83">
        <v>48721</v>
      </c>
      <c r="O21" s="83">
        <v>50056</v>
      </c>
      <c r="P21" s="83">
        <v>512496</v>
      </c>
    </row>
    <row r="22" spans="1:16" ht="15" customHeight="1" x14ac:dyDescent="0.2">
      <c r="B22" s="76" t="s">
        <v>18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</row>
    <row r="23" spans="1:16" ht="15" customHeight="1" x14ac:dyDescent="0.2">
      <c r="C23" s="76" t="s">
        <v>31</v>
      </c>
      <c r="D23" s="85">
        <v>6949</v>
      </c>
      <c r="E23" s="85">
        <v>5356</v>
      </c>
      <c r="F23" s="85">
        <v>4637</v>
      </c>
      <c r="G23" s="85">
        <v>5534</v>
      </c>
      <c r="H23" s="85">
        <v>5861</v>
      </c>
      <c r="I23" s="85">
        <v>4997</v>
      </c>
      <c r="J23" s="85">
        <v>8277</v>
      </c>
      <c r="K23" s="85">
        <v>6535</v>
      </c>
      <c r="L23" s="85">
        <v>4630</v>
      </c>
      <c r="M23" s="85">
        <v>6694</v>
      </c>
      <c r="N23" s="85">
        <v>6919</v>
      </c>
      <c r="O23" s="85">
        <v>5647</v>
      </c>
      <c r="P23" s="85">
        <v>72036</v>
      </c>
    </row>
    <row r="24" spans="1:16" ht="15" customHeight="1" x14ac:dyDescent="0.2">
      <c r="C24" s="76" t="s">
        <v>32</v>
      </c>
      <c r="D24" s="85">
        <v>8072</v>
      </c>
      <c r="E24" s="85">
        <v>6884</v>
      </c>
      <c r="F24" s="85">
        <v>9232</v>
      </c>
      <c r="G24" s="85">
        <v>8254</v>
      </c>
      <c r="H24" s="85">
        <v>6437</v>
      </c>
      <c r="I24" s="85">
        <v>7324</v>
      </c>
      <c r="J24" s="85">
        <v>8594</v>
      </c>
      <c r="K24" s="85">
        <v>10015</v>
      </c>
      <c r="L24" s="85">
        <v>10273</v>
      </c>
      <c r="M24" s="85">
        <v>9852</v>
      </c>
      <c r="N24" s="85">
        <v>7046</v>
      </c>
      <c r="O24" s="85">
        <v>7809</v>
      </c>
      <c r="P24" s="85">
        <v>99792</v>
      </c>
    </row>
    <row r="25" spans="1:16" ht="15" customHeight="1" x14ac:dyDescent="0.2">
      <c r="C25" s="76" t="s">
        <v>33</v>
      </c>
      <c r="D25" s="85">
        <v>0</v>
      </c>
      <c r="E25" s="85">
        <v>0</v>
      </c>
      <c r="F25" s="85">
        <v>26</v>
      </c>
      <c r="G25" s="85">
        <v>99</v>
      </c>
      <c r="H25" s="85">
        <v>3</v>
      </c>
      <c r="I25" s="85">
        <v>12</v>
      </c>
      <c r="J25" s="85">
        <v>4</v>
      </c>
      <c r="K25" s="85">
        <v>0</v>
      </c>
      <c r="L25" s="85">
        <v>0</v>
      </c>
      <c r="M25" s="85">
        <v>0</v>
      </c>
      <c r="N25" s="85">
        <v>3</v>
      </c>
      <c r="O25" s="85">
        <v>14</v>
      </c>
      <c r="P25" s="85">
        <v>161</v>
      </c>
    </row>
    <row r="26" spans="1:16" ht="15" customHeight="1" x14ac:dyDescent="0.2">
      <c r="C26" s="76" t="s">
        <v>78</v>
      </c>
      <c r="D26" s="85">
        <v>29</v>
      </c>
      <c r="E26" s="85">
        <v>308</v>
      </c>
      <c r="F26" s="85">
        <v>172</v>
      </c>
      <c r="G26" s="85">
        <v>330</v>
      </c>
      <c r="H26" s="85">
        <v>437</v>
      </c>
      <c r="I26" s="85">
        <v>420</v>
      </c>
      <c r="J26" s="85">
        <v>314</v>
      </c>
      <c r="K26" s="85">
        <v>452</v>
      </c>
      <c r="L26" s="85">
        <v>289</v>
      </c>
      <c r="M26" s="85">
        <v>362</v>
      </c>
      <c r="N26" s="85">
        <v>558</v>
      </c>
      <c r="O26" s="85">
        <v>1068</v>
      </c>
      <c r="P26" s="85">
        <v>4739</v>
      </c>
    </row>
    <row r="27" spans="1:16" ht="15" customHeight="1" x14ac:dyDescent="0.2">
      <c r="C27" s="76" t="s">
        <v>35</v>
      </c>
      <c r="D27" s="85">
        <v>31</v>
      </c>
      <c r="E27" s="85">
        <v>0</v>
      </c>
      <c r="F27" s="85">
        <v>0</v>
      </c>
      <c r="G27" s="85">
        <v>0</v>
      </c>
      <c r="H27" s="85">
        <v>0</v>
      </c>
      <c r="I27" s="85">
        <v>409</v>
      </c>
      <c r="J27" s="85">
        <v>0</v>
      </c>
      <c r="K27" s="85">
        <v>5</v>
      </c>
      <c r="L27" s="85">
        <v>4</v>
      </c>
      <c r="M27" s="85">
        <v>0</v>
      </c>
      <c r="N27" s="85">
        <v>111</v>
      </c>
      <c r="O27" s="85">
        <v>209</v>
      </c>
      <c r="P27" s="85">
        <v>769</v>
      </c>
    </row>
    <row r="28" spans="1:16" ht="15" customHeight="1" x14ac:dyDescent="0.2">
      <c r="C28" s="76" t="s">
        <v>79</v>
      </c>
      <c r="D28" s="85">
        <v>-59</v>
      </c>
      <c r="E28" s="85">
        <v>238</v>
      </c>
      <c r="F28" s="85">
        <v>-22</v>
      </c>
      <c r="G28" s="85">
        <v>19</v>
      </c>
      <c r="H28" s="85">
        <v>16</v>
      </c>
      <c r="I28" s="85">
        <v>-269</v>
      </c>
      <c r="J28" s="85">
        <v>166</v>
      </c>
      <c r="K28" s="85">
        <v>-297</v>
      </c>
      <c r="L28" s="85">
        <v>375</v>
      </c>
      <c r="M28" s="85">
        <v>276</v>
      </c>
      <c r="N28" s="85">
        <v>-251</v>
      </c>
      <c r="O28" s="85">
        <v>137</v>
      </c>
      <c r="P28" s="85">
        <v>329</v>
      </c>
    </row>
    <row r="29" spans="1:16" ht="15" customHeight="1" x14ac:dyDescent="0.2"/>
    <row r="30" spans="1:16" ht="15" customHeight="1" x14ac:dyDescent="0.25">
      <c r="A30" s="82" t="s">
        <v>137</v>
      </c>
      <c r="B30" s="82"/>
      <c r="C30" s="82"/>
      <c r="D30" s="88">
        <v>1870</v>
      </c>
      <c r="E30" s="88">
        <v>-7335</v>
      </c>
      <c r="F30" s="88">
        <v>-6303</v>
      </c>
      <c r="G30" s="88">
        <v>13771</v>
      </c>
      <c r="H30" s="88">
        <v>-17448</v>
      </c>
      <c r="I30" s="88">
        <v>-8558</v>
      </c>
      <c r="J30" s="88">
        <v>10430</v>
      </c>
      <c r="K30" s="88">
        <v>-9130</v>
      </c>
      <c r="L30" s="88">
        <v>-2999</v>
      </c>
      <c r="M30" s="88">
        <v>292</v>
      </c>
      <c r="N30" s="88">
        <v>-14822</v>
      </c>
      <c r="O30" s="88">
        <v>-9749</v>
      </c>
      <c r="P30" s="88">
        <v>-49981</v>
      </c>
    </row>
    <row r="31" spans="1:16" ht="15" customHeight="1" x14ac:dyDescent="0.2"/>
    <row r="32" spans="1:16" ht="15" customHeight="1" x14ac:dyDescent="0.25">
      <c r="A32" s="82" t="s">
        <v>39</v>
      </c>
      <c r="B32" s="82"/>
      <c r="C32" s="82"/>
      <c r="D32" s="83">
        <v>599</v>
      </c>
      <c r="E32" s="83">
        <v>34</v>
      </c>
      <c r="F32" s="83">
        <v>-3008</v>
      </c>
      <c r="G32" s="83">
        <v>20115</v>
      </c>
      <c r="H32" s="83">
        <v>22332</v>
      </c>
      <c r="I32" s="83">
        <v>2192</v>
      </c>
      <c r="J32" s="83">
        <v>9361</v>
      </c>
      <c r="K32" s="83">
        <v>-6090</v>
      </c>
      <c r="L32" s="83">
        <v>7820</v>
      </c>
      <c r="M32" s="83">
        <v>12408</v>
      </c>
      <c r="N32" s="83">
        <v>7233</v>
      </c>
      <c r="O32" s="83">
        <v>15900</v>
      </c>
      <c r="P32" s="83">
        <v>88896</v>
      </c>
    </row>
    <row r="33" spans="1:17" ht="15" customHeight="1" x14ac:dyDescent="0.2">
      <c r="B33" s="76" t="s">
        <v>40</v>
      </c>
      <c r="D33" s="84">
        <v>-879</v>
      </c>
      <c r="E33" s="84">
        <v>-1065</v>
      </c>
      <c r="F33" s="84">
        <v>-20</v>
      </c>
      <c r="G33" s="84">
        <v>19519</v>
      </c>
      <c r="H33" s="84">
        <v>365</v>
      </c>
      <c r="I33" s="84">
        <v>-3463</v>
      </c>
      <c r="J33" s="84">
        <v>-2813</v>
      </c>
      <c r="K33" s="84">
        <v>-691</v>
      </c>
      <c r="L33" s="84">
        <v>-1135</v>
      </c>
      <c r="M33" s="84">
        <v>-1930</v>
      </c>
      <c r="N33" s="84">
        <v>-3782</v>
      </c>
      <c r="O33" s="84">
        <v>8240</v>
      </c>
      <c r="P33" s="84">
        <v>12346</v>
      </c>
    </row>
    <row r="34" spans="1:17" ht="15" customHeight="1" x14ac:dyDescent="0.2">
      <c r="A34" s="76" t="s">
        <v>58</v>
      </c>
      <c r="C34" s="76" t="s">
        <v>41</v>
      </c>
      <c r="D34" s="85">
        <v>425</v>
      </c>
      <c r="E34" s="85">
        <v>412</v>
      </c>
      <c r="F34" s="85">
        <v>2199</v>
      </c>
      <c r="G34" s="85">
        <v>21787</v>
      </c>
      <c r="H34" s="85">
        <v>4442</v>
      </c>
      <c r="I34" s="85">
        <v>687</v>
      </c>
      <c r="J34" s="85">
        <v>660</v>
      </c>
      <c r="K34" s="85">
        <v>1293</v>
      </c>
      <c r="L34" s="85">
        <v>1198</v>
      </c>
      <c r="M34" s="85">
        <v>432</v>
      </c>
      <c r="N34" s="85">
        <v>1522</v>
      </c>
      <c r="O34" s="85">
        <v>13245</v>
      </c>
      <c r="P34" s="85">
        <v>48302</v>
      </c>
    </row>
    <row r="35" spans="1:17" ht="15" customHeight="1" x14ac:dyDescent="0.2">
      <c r="C35" s="76" t="s">
        <v>42</v>
      </c>
      <c r="D35" s="85">
        <v>1304</v>
      </c>
      <c r="E35" s="85">
        <v>1477</v>
      </c>
      <c r="F35" s="85">
        <v>2219</v>
      </c>
      <c r="G35" s="85">
        <v>2268</v>
      </c>
      <c r="H35" s="85">
        <v>4077</v>
      </c>
      <c r="I35" s="85">
        <v>4150</v>
      </c>
      <c r="J35" s="85">
        <v>3473</v>
      </c>
      <c r="K35" s="85">
        <v>1984</v>
      </c>
      <c r="L35" s="85">
        <v>2333</v>
      </c>
      <c r="M35" s="85">
        <v>2362</v>
      </c>
      <c r="N35" s="85">
        <v>5304</v>
      </c>
      <c r="O35" s="85">
        <v>5005</v>
      </c>
      <c r="P35" s="85">
        <v>35956</v>
      </c>
    </row>
    <row r="36" spans="1:17" ht="15" customHeight="1" x14ac:dyDescent="0.2"/>
    <row r="37" spans="1:17" ht="15" customHeight="1" x14ac:dyDescent="0.2">
      <c r="B37" s="76" t="s">
        <v>43</v>
      </c>
      <c r="D37" s="84">
        <v>1478</v>
      </c>
      <c r="E37" s="84">
        <v>1099</v>
      </c>
      <c r="F37" s="84">
        <v>-2988</v>
      </c>
      <c r="G37" s="84">
        <v>596</v>
      </c>
      <c r="H37" s="84">
        <v>21967</v>
      </c>
      <c r="I37" s="84">
        <v>5655</v>
      </c>
      <c r="J37" s="84">
        <v>12174</v>
      </c>
      <c r="K37" s="84">
        <v>-5399</v>
      </c>
      <c r="L37" s="84">
        <v>8955</v>
      </c>
      <c r="M37" s="84">
        <v>14338</v>
      </c>
      <c r="N37" s="84">
        <v>11015</v>
      </c>
      <c r="O37" s="84" t="s">
        <v>58</v>
      </c>
      <c r="P37" s="84">
        <v>76550</v>
      </c>
    </row>
    <row r="38" spans="1:17" ht="15" customHeight="1" x14ac:dyDescent="0.2">
      <c r="C38" s="76" t="s">
        <v>44</v>
      </c>
      <c r="D38" s="85">
        <v>3796</v>
      </c>
      <c r="E38" s="85">
        <v>2884</v>
      </c>
      <c r="F38" s="85">
        <v>1123</v>
      </c>
      <c r="G38" s="85">
        <v>1357</v>
      </c>
      <c r="H38" s="85">
        <v>22135</v>
      </c>
      <c r="I38" s="85">
        <v>10197</v>
      </c>
      <c r="J38" s="85">
        <v>14238</v>
      </c>
      <c r="K38" s="85">
        <v>-5370</v>
      </c>
      <c r="L38" s="85">
        <v>15062</v>
      </c>
      <c r="M38" s="85">
        <v>14946</v>
      </c>
      <c r="N38" s="85">
        <v>13519</v>
      </c>
      <c r="O38" s="85">
        <v>11424</v>
      </c>
      <c r="P38" s="85">
        <v>105311</v>
      </c>
    </row>
    <row r="39" spans="1:17" ht="15" customHeight="1" x14ac:dyDescent="0.2">
      <c r="C39" s="76" t="s">
        <v>42</v>
      </c>
      <c r="D39" s="85">
        <v>2318</v>
      </c>
      <c r="E39" s="85">
        <v>1785</v>
      </c>
      <c r="F39" s="85">
        <v>4111</v>
      </c>
      <c r="G39" s="85">
        <v>761</v>
      </c>
      <c r="H39" s="85">
        <v>168</v>
      </c>
      <c r="I39" s="85">
        <v>4542</v>
      </c>
      <c r="J39" s="85">
        <v>2064</v>
      </c>
      <c r="K39" s="85">
        <v>29</v>
      </c>
      <c r="L39" s="85">
        <v>6107</v>
      </c>
      <c r="M39" s="85">
        <v>608</v>
      </c>
      <c r="N39" s="85">
        <v>2504</v>
      </c>
      <c r="O39" s="85">
        <v>3764</v>
      </c>
      <c r="P39" s="85">
        <v>28761</v>
      </c>
    </row>
    <row r="40" spans="1:17" ht="15" customHeight="1" x14ac:dyDescent="0.2"/>
    <row r="41" spans="1:17" s="82" customFormat="1" ht="15" customHeight="1" x14ac:dyDescent="0.25">
      <c r="A41" s="82" t="s">
        <v>47</v>
      </c>
      <c r="D41" s="83">
        <v>-7091</v>
      </c>
      <c r="E41" s="83">
        <v>-2484</v>
      </c>
      <c r="F41" s="83">
        <v>-1862</v>
      </c>
      <c r="G41" s="83">
        <v>16780</v>
      </c>
      <c r="H41" s="83">
        <v>-15990</v>
      </c>
      <c r="I41" s="83">
        <v>-13224</v>
      </c>
      <c r="J41" s="83">
        <v>8102</v>
      </c>
      <c r="K41" s="83">
        <v>-5845</v>
      </c>
      <c r="L41" s="83">
        <v>4657</v>
      </c>
      <c r="M41" s="83">
        <v>2338</v>
      </c>
      <c r="N41" s="83">
        <v>-8391</v>
      </c>
      <c r="O41" s="83">
        <v>5921</v>
      </c>
      <c r="P41" s="83">
        <v>-17089</v>
      </c>
      <c r="Q41" s="88"/>
    </row>
    <row r="42" spans="1:17" x14ac:dyDescent="0.2">
      <c r="A42" s="89"/>
      <c r="B42" s="89"/>
      <c r="C42" s="89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</row>
    <row r="43" spans="1:17" x14ac:dyDescent="0.2">
      <c r="A43" s="86"/>
    </row>
    <row r="44" spans="1:17" x14ac:dyDescent="0.2">
      <c r="A44" s="86"/>
    </row>
    <row r="46" spans="1:17" s="76" customFormat="1" x14ac:dyDescent="0.2"/>
    <row r="47" spans="1:17" x14ac:dyDescent="0.2">
      <c r="A47" s="86" t="s">
        <v>139</v>
      </c>
      <c r="C47" s="85"/>
      <c r="E47" s="76"/>
      <c r="F47" s="120"/>
      <c r="G47" s="120"/>
    </row>
    <row r="48" spans="1:17" x14ac:dyDescent="0.2">
      <c r="A48" s="86"/>
      <c r="B48" s="86"/>
      <c r="C48" s="86"/>
      <c r="D48" s="121"/>
    </row>
    <row r="49" spans="1:4" x14ac:dyDescent="0.2">
      <c r="A49" s="86"/>
      <c r="B49" s="86"/>
      <c r="C49" s="86"/>
      <c r="D49" s="121"/>
    </row>
    <row r="50" spans="1:4" x14ac:dyDescent="0.2">
      <c r="A50" s="86"/>
      <c r="B50" s="86"/>
      <c r="C50" s="86"/>
      <c r="D50" s="121"/>
    </row>
    <row r="51" spans="1:4" x14ac:dyDescent="0.2">
      <c r="A51" s="86"/>
      <c r="B51" s="86"/>
      <c r="C51" s="86"/>
      <c r="D51" s="121"/>
    </row>
    <row r="52" spans="1:4" x14ac:dyDescent="0.2">
      <c r="A52" s="86"/>
      <c r="B52" s="86"/>
      <c r="C52" s="86"/>
      <c r="D52" s="121"/>
    </row>
  </sheetData>
  <mergeCells count="1">
    <mergeCell ref="A5:C5"/>
  </mergeCells>
  <printOptions horizontalCentered="1"/>
  <pageMargins left="0" right="0" top="1.10208333333333" bottom="0.51180555555555596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AMJ146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13" sqref="D13"/>
    </sheetView>
  </sheetViews>
  <sheetFormatPr defaultColWidth="9.140625" defaultRowHeight="14.25" x14ac:dyDescent="0.2"/>
  <cols>
    <col min="1" max="1" width="1.7109375" style="76" customWidth="1"/>
    <col min="2" max="2" width="1.42578125" style="76" customWidth="1"/>
    <col min="3" max="3" width="22.5703125" style="76" customWidth="1"/>
    <col min="4" max="7" width="8" style="85" customWidth="1"/>
    <col min="8" max="8" width="8.7109375" style="85" customWidth="1"/>
    <col min="9" max="9" width="8" style="85" customWidth="1"/>
    <col min="10" max="10" width="8.7109375" style="85" customWidth="1"/>
    <col min="11" max="13" width="8" style="85" customWidth="1"/>
    <col min="14" max="14" width="8.7109375" style="85" customWidth="1"/>
    <col min="15" max="15" width="8" style="85" customWidth="1"/>
    <col min="16" max="16" width="9.140625" style="85"/>
    <col min="17" max="19" width="9.140625" style="76"/>
    <col min="20" max="20" width="12.28515625" style="76" customWidth="1"/>
    <col min="21" max="1024" width="9.140625" style="76"/>
  </cols>
  <sheetData>
    <row r="1" spans="1:19" ht="15" x14ac:dyDescent="0.25">
      <c r="A1" s="82" t="s">
        <v>153</v>
      </c>
    </row>
    <row r="2" spans="1:19" ht="15" x14ac:dyDescent="0.25">
      <c r="A2" s="82" t="s">
        <v>154</v>
      </c>
    </row>
    <row r="3" spans="1:19" ht="15" x14ac:dyDescent="0.25">
      <c r="A3" s="76" t="s">
        <v>2</v>
      </c>
      <c r="E3" s="85" t="s">
        <v>58</v>
      </c>
      <c r="F3" s="83"/>
      <c r="S3" s="76" t="s">
        <v>58</v>
      </c>
    </row>
    <row r="4" spans="1:19" ht="12.75" customHeight="1" x14ac:dyDescent="0.2"/>
    <row r="5" spans="1:19" ht="21.75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6" spans="1:19" ht="15" customHeight="1" x14ac:dyDescent="0.2"/>
    <row r="7" spans="1:19" ht="15" customHeight="1" x14ac:dyDescent="0.25">
      <c r="A7" s="82" t="s">
        <v>15</v>
      </c>
      <c r="D7" s="83">
        <f t="shared" ref="D7:P7" si="0">D8+D13+D18</f>
        <v>37439</v>
      </c>
      <c r="E7" s="83">
        <f t="shared" si="0"/>
        <v>26717</v>
      </c>
      <c r="F7" s="83">
        <f t="shared" si="0"/>
        <v>32444</v>
      </c>
      <c r="G7" s="83">
        <f t="shared" si="0"/>
        <v>54833</v>
      </c>
      <c r="H7" s="83">
        <f t="shared" si="0"/>
        <v>28345</v>
      </c>
      <c r="I7" s="83">
        <f t="shared" si="0"/>
        <v>35773</v>
      </c>
      <c r="J7" s="83">
        <f t="shared" si="0"/>
        <v>43887</v>
      </c>
      <c r="K7" s="83">
        <f t="shared" si="0"/>
        <v>38452</v>
      </c>
      <c r="L7" s="83">
        <f t="shared" si="0"/>
        <v>41861</v>
      </c>
      <c r="M7" s="83">
        <f t="shared" si="0"/>
        <v>42100</v>
      </c>
      <c r="N7" s="83">
        <f t="shared" si="0"/>
        <v>35545</v>
      </c>
      <c r="O7" s="83">
        <f t="shared" si="0"/>
        <v>54447</v>
      </c>
      <c r="P7" s="83">
        <f t="shared" si="0"/>
        <v>471843</v>
      </c>
    </row>
    <row r="8" spans="1:19" ht="15" customHeight="1" x14ac:dyDescent="0.2">
      <c r="B8" s="76" t="s">
        <v>16</v>
      </c>
      <c r="D8" s="84">
        <v>35261</v>
      </c>
      <c r="E8" s="84">
        <v>24203</v>
      </c>
      <c r="F8" s="84">
        <v>26041</v>
      </c>
      <c r="G8" s="84">
        <v>52624</v>
      </c>
      <c r="H8" s="84">
        <v>26847</v>
      </c>
      <c r="I8" s="84">
        <v>32167</v>
      </c>
      <c r="J8" s="84">
        <v>36960</v>
      </c>
      <c r="K8" s="84">
        <v>36634</v>
      </c>
      <c r="L8" s="84">
        <v>31875</v>
      </c>
      <c r="M8" s="84">
        <v>38494</v>
      </c>
      <c r="N8" s="84">
        <v>29876</v>
      </c>
      <c r="O8" s="84">
        <v>41183</v>
      </c>
      <c r="P8" s="84">
        <v>412165</v>
      </c>
    </row>
    <row r="9" spans="1:19" ht="15" customHeight="1" x14ac:dyDescent="0.2">
      <c r="C9" s="76" t="s">
        <v>17</v>
      </c>
      <c r="D9" s="85">
        <v>28601</v>
      </c>
      <c r="E9" s="85">
        <v>17405</v>
      </c>
      <c r="F9" s="85">
        <v>18791</v>
      </c>
      <c r="G9" s="85">
        <v>44940</v>
      </c>
      <c r="H9" s="85">
        <v>19933</v>
      </c>
      <c r="I9" s="85">
        <v>24948</v>
      </c>
      <c r="J9" s="85">
        <v>28857</v>
      </c>
      <c r="K9" s="85">
        <v>28984</v>
      </c>
      <c r="L9" s="85">
        <v>21689</v>
      </c>
      <c r="M9" s="85">
        <v>29790</v>
      </c>
      <c r="N9" s="85">
        <v>21857</v>
      </c>
      <c r="O9" s="85">
        <v>28902</v>
      </c>
      <c r="P9" s="85">
        <v>314697</v>
      </c>
    </row>
    <row r="10" spans="1:19" ht="15" customHeight="1" x14ac:dyDescent="0.2">
      <c r="C10" s="76" t="s">
        <v>21</v>
      </c>
      <c r="D10" s="85">
        <v>6489</v>
      </c>
      <c r="E10" s="85">
        <v>6604</v>
      </c>
      <c r="F10" s="85">
        <v>7060</v>
      </c>
      <c r="G10" s="85">
        <v>7512</v>
      </c>
      <c r="H10" s="85">
        <v>6780</v>
      </c>
      <c r="I10" s="85">
        <v>7013</v>
      </c>
      <c r="J10" s="85">
        <v>7912</v>
      </c>
      <c r="K10" s="85">
        <v>7566</v>
      </c>
      <c r="L10" s="85">
        <v>9737</v>
      </c>
      <c r="M10" s="85">
        <v>8400</v>
      </c>
      <c r="N10" s="85">
        <v>7735</v>
      </c>
      <c r="O10" s="85">
        <v>11992</v>
      </c>
      <c r="P10" s="85">
        <v>94800</v>
      </c>
    </row>
    <row r="11" spans="1:19" ht="15" customHeight="1" x14ac:dyDescent="0.2">
      <c r="C11" s="76" t="s">
        <v>88</v>
      </c>
      <c r="D11" s="85">
        <v>171</v>
      </c>
      <c r="E11" s="85">
        <v>194</v>
      </c>
      <c r="F11" s="85">
        <v>190</v>
      </c>
      <c r="G11" s="85">
        <v>172</v>
      </c>
      <c r="H11" s="85">
        <v>134</v>
      </c>
      <c r="I11" s="85">
        <v>206</v>
      </c>
      <c r="J11" s="85">
        <v>191</v>
      </c>
      <c r="K11" s="85">
        <v>84</v>
      </c>
      <c r="L11" s="85">
        <v>449</v>
      </c>
      <c r="M11" s="85">
        <v>304</v>
      </c>
      <c r="N11" s="85">
        <v>284</v>
      </c>
      <c r="O11" s="85">
        <v>289</v>
      </c>
      <c r="P11" s="85">
        <v>2668</v>
      </c>
    </row>
    <row r="12" spans="1:19" ht="15" customHeight="1" x14ac:dyDescent="0.2"/>
    <row r="13" spans="1:19" ht="15" customHeight="1" x14ac:dyDescent="0.2">
      <c r="B13" s="76" t="s">
        <v>23</v>
      </c>
      <c r="D13" s="84">
        <f t="shared" ref="D13:P13" si="1">SUM(D14:D16)</f>
        <v>2040</v>
      </c>
      <c r="E13" s="84">
        <f t="shared" si="1"/>
        <v>1494</v>
      </c>
      <c r="F13" s="84">
        <f t="shared" si="1"/>
        <v>6084</v>
      </c>
      <c r="G13" s="84">
        <f t="shared" si="1"/>
        <v>2200</v>
      </c>
      <c r="H13" s="84">
        <f t="shared" si="1"/>
        <v>1497</v>
      </c>
      <c r="I13" s="84">
        <f t="shared" si="1"/>
        <v>3602</v>
      </c>
      <c r="J13" s="84">
        <f t="shared" si="1"/>
        <v>6920</v>
      </c>
      <c r="K13" s="84">
        <f t="shared" si="1"/>
        <v>1809</v>
      </c>
      <c r="L13" s="84">
        <f t="shared" si="1"/>
        <v>9943</v>
      </c>
      <c r="M13" s="84">
        <f t="shared" si="1"/>
        <v>3544</v>
      </c>
      <c r="N13" s="84">
        <f t="shared" si="1"/>
        <v>5575</v>
      </c>
      <c r="O13" s="84">
        <f t="shared" si="1"/>
        <v>13232</v>
      </c>
      <c r="P13" s="84">
        <f t="shared" si="1"/>
        <v>57940</v>
      </c>
    </row>
    <row r="14" spans="1:19" ht="15" customHeight="1" x14ac:dyDescent="0.2">
      <c r="C14" s="76" t="s">
        <v>24</v>
      </c>
      <c r="D14" s="85">
        <v>760</v>
      </c>
      <c r="E14" s="85">
        <v>384</v>
      </c>
      <c r="F14" s="85">
        <v>2426</v>
      </c>
      <c r="G14" s="85">
        <v>770</v>
      </c>
      <c r="H14" s="85">
        <v>555</v>
      </c>
      <c r="I14" s="85">
        <v>2027</v>
      </c>
      <c r="J14" s="85">
        <v>5604</v>
      </c>
      <c r="K14" s="85">
        <v>1208</v>
      </c>
      <c r="L14" s="85">
        <v>7562</v>
      </c>
      <c r="M14" s="85">
        <v>1925</v>
      </c>
      <c r="N14" s="85">
        <v>2406</v>
      </c>
      <c r="O14" s="85">
        <v>9725</v>
      </c>
      <c r="P14" s="85">
        <v>35352</v>
      </c>
    </row>
    <row r="15" spans="1:19" ht="15" customHeight="1" x14ac:dyDescent="0.2">
      <c r="C15" s="76" t="s">
        <v>150</v>
      </c>
      <c r="D15" s="85">
        <v>1170</v>
      </c>
      <c r="E15" s="85">
        <v>1099</v>
      </c>
      <c r="F15" s="85">
        <v>1064</v>
      </c>
      <c r="G15" s="85">
        <v>1425</v>
      </c>
      <c r="H15" s="85">
        <v>920</v>
      </c>
      <c r="I15" s="85">
        <v>1511</v>
      </c>
      <c r="J15" s="85">
        <v>1251</v>
      </c>
      <c r="K15" s="85">
        <v>601</v>
      </c>
      <c r="L15" s="85">
        <v>1267</v>
      </c>
      <c r="M15" s="85">
        <v>1605</v>
      </c>
      <c r="N15" s="85">
        <v>397</v>
      </c>
      <c r="O15" s="85">
        <v>850</v>
      </c>
      <c r="P15" s="85">
        <v>13160</v>
      </c>
    </row>
    <row r="16" spans="1:19" ht="15" customHeight="1" x14ac:dyDescent="0.2">
      <c r="C16" s="76" t="s">
        <v>26</v>
      </c>
      <c r="D16" s="85">
        <v>110</v>
      </c>
      <c r="E16" s="85">
        <v>11</v>
      </c>
      <c r="F16" s="85">
        <v>2594</v>
      </c>
      <c r="G16" s="85">
        <v>5</v>
      </c>
      <c r="H16" s="85">
        <v>22</v>
      </c>
      <c r="I16" s="85">
        <v>64</v>
      </c>
      <c r="J16" s="85">
        <v>65</v>
      </c>
      <c r="K16" s="85">
        <v>0</v>
      </c>
      <c r="L16" s="85">
        <v>1114</v>
      </c>
      <c r="M16" s="85">
        <v>14</v>
      </c>
      <c r="N16" s="85">
        <v>2772</v>
      </c>
      <c r="O16" s="85">
        <v>2657</v>
      </c>
      <c r="P16" s="85">
        <v>9428</v>
      </c>
    </row>
    <row r="17" spans="1:85" ht="15" customHeight="1" x14ac:dyDescent="0.2"/>
    <row r="18" spans="1:85" ht="15" customHeight="1" x14ac:dyDescent="0.2">
      <c r="B18" s="76" t="s">
        <v>29</v>
      </c>
      <c r="D18" s="85">
        <v>138</v>
      </c>
      <c r="E18" s="85">
        <v>1020</v>
      </c>
      <c r="F18" s="85">
        <v>319</v>
      </c>
      <c r="G18" s="85">
        <v>9</v>
      </c>
      <c r="H18" s="85">
        <v>1</v>
      </c>
      <c r="I18" s="85">
        <v>4</v>
      </c>
      <c r="J18" s="85">
        <v>7</v>
      </c>
      <c r="K18" s="85">
        <v>9</v>
      </c>
      <c r="L18" s="85">
        <v>43</v>
      </c>
      <c r="M18" s="85">
        <v>62</v>
      </c>
      <c r="N18" s="85">
        <v>94</v>
      </c>
      <c r="O18" s="85">
        <v>32</v>
      </c>
      <c r="P18" s="85">
        <v>1738</v>
      </c>
    </row>
    <row r="19" spans="1:85" ht="15" customHeight="1" x14ac:dyDescent="0.2"/>
    <row r="20" spans="1:85" ht="15" customHeight="1" x14ac:dyDescent="0.25">
      <c r="A20" s="82" t="s">
        <v>30</v>
      </c>
      <c r="D20" s="83">
        <v>40621</v>
      </c>
      <c r="E20" s="83">
        <v>27085</v>
      </c>
      <c r="F20" s="83">
        <v>29563</v>
      </c>
      <c r="G20" s="83">
        <v>36822</v>
      </c>
      <c r="H20" s="83">
        <v>40770</v>
      </c>
      <c r="I20" s="83">
        <v>36869</v>
      </c>
      <c r="J20" s="83">
        <v>42002</v>
      </c>
      <c r="K20" s="83">
        <v>36358</v>
      </c>
      <c r="L20" s="83">
        <v>45098</v>
      </c>
      <c r="M20" s="83">
        <v>49023</v>
      </c>
      <c r="N20" s="83">
        <v>41166</v>
      </c>
      <c r="O20" s="83">
        <v>44902</v>
      </c>
      <c r="P20" s="83">
        <v>470279</v>
      </c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/>
      <c r="BE20" s="129"/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29"/>
      <c r="BY20" s="129"/>
      <c r="BZ20" s="129"/>
      <c r="CA20" s="129"/>
      <c r="CB20" s="129"/>
      <c r="CC20" s="129"/>
      <c r="CD20" s="129"/>
      <c r="CE20" s="129"/>
      <c r="CF20" s="129"/>
      <c r="CG20" s="129"/>
    </row>
    <row r="21" spans="1:85" ht="15" customHeight="1" x14ac:dyDescent="0.2">
      <c r="B21" s="76" t="s">
        <v>18</v>
      </c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</row>
    <row r="22" spans="1:85" ht="15" customHeight="1" x14ac:dyDescent="0.2">
      <c r="C22" s="76" t="s">
        <v>31</v>
      </c>
      <c r="D22" s="85">
        <v>3842</v>
      </c>
      <c r="E22" s="85">
        <v>8160</v>
      </c>
      <c r="F22" s="85">
        <v>5772</v>
      </c>
      <c r="G22" s="85">
        <v>5920</v>
      </c>
      <c r="H22" s="85">
        <v>5920</v>
      </c>
      <c r="I22" s="85">
        <v>6179</v>
      </c>
      <c r="J22" s="85">
        <v>5920</v>
      </c>
      <c r="K22" s="85">
        <v>6747</v>
      </c>
      <c r="L22" s="85">
        <v>5273</v>
      </c>
      <c r="M22" s="85">
        <v>8095</v>
      </c>
      <c r="N22" s="85">
        <v>4765</v>
      </c>
      <c r="O22" s="85">
        <v>4375</v>
      </c>
      <c r="P22" s="85">
        <v>70968</v>
      </c>
    </row>
    <row r="23" spans="1:85" ht="15" customHeight="1" x14ac:dyDescent="0.2">
      <c r="C23" s="76" t="s">
        <v>32</v>
      </c>
      <c r="D23" s="85">
        <v>6266</v>
      </c>
      <c r="E23" s="85">
        <v>5131</v>
      </c>
      <c r="F23" s="85">
        <v>6809</v>
      </c>
      <c r="G23" s="85">
        <v>6510</v>
      </c>
      <c r="H23" s="85">
        <v>4652</v>
      </c>
      <c r="I23" s="85">
        <v>5023</v>
      </c>
      <c r="J23" s="85">
        <v>5862</v>
      </c>
      <c r="K23" s="85">
        <v>8061</v>
      </c>
      <c r="L23" s="85">
        <v>10027</v>
      </c>
      <c r="M23" s="85">
        <v>8358</v>
      </c>
      <c r="N23" s="85">
        <v>5158</v>
      </c>
      <c r="O23" s="85">
        <v>6114</v>
      </c>
      <c r="P23" s="85">
        <v>77971</v>
      </c>
    </row>
    <row r="24" spans="1:85" ht="15" customHeight="1" x14ac:dyDescent="0.2">
      <c r="C24" s="76" t="s">
        <v>78</v>
      </c>
      <c r="D24" s="85">
        <v>763</v>
      </c>
      <c r="E24" s="85">
        <v>605</v>
      </c>
      <c r="F24" s="85">
        <v>52</v>
      </c>
      <c r="G24" s="85">
        <v>194</v>
      </c>
      <c r="H24" s="85">
        <v>363</v>
      </c>
      <c r="I24" s="85">
        <v>263</v>
      </c>
      <c r="J24" s="85">
        <v>558</v>
      </c>
      <c r="K24" s="85">
        <v>360</v>
      </c>
      <c r="L24" s="85">
        <v>764</v>
      </c>
      <c r="M24" s="85">
        <v>468</v>
      </c>
      <c r="N24" s="85">
        <v>1158</v>
      </c>
      <c r="O24" s="85">
        <v>344</v>
      </c>
      <c r="P24" s="85">
        <v>5892</v>
      </c>
    </row>
    <row r="25" spans="1:85" ht="15" customHeight="1" x14ac:dyDescent="0.2">
      <c r="C25" s="76" t="s">
        <v>33</v>
      </c>
      <c r="D25" s="85">
        <v>0</v>
      </c>
      <c r="E25" s="85">
        <v>0</v>
      </c>
      <c r="F25" s="85">
        <v>317</v>
      </c>
      <c r="G25" s="85">
        <v>112</v>
      </c>
      <c r="H25" s="85">
        <v>495</v>
      </c>
      <c r="I25" s="85">
        <v>431</v>
      </c>
      <c r="J25" s="85">
        <v>291</v>
      </c>
      <c r="K25" s="85">
        <v>374</v>
      </c>
      <c r="L25" s="85">
        <v>122</v>
      </c>
      <c r="M25" s="85">
        <v>209</v>
      </c>
      <c r="N25" s="85">
        <v>525</v>
      </c>
      <c r="O25" s="85">
        <v>3207</v>
      </c>
      <c r="P25" s="85">
        <v>6083</v>
      </c>
    </row>
    <row r="26" spans="1:85" ht="15" customHeight="1" x14ac:dyDescent="0.2">
      <c r="C26" s="76" t="s">
        <v>35</v>
      </c>
      <c r="D26" s="85">
        <v>132</v>
      </c>
      <c r="E26" s="85">
        <v>3</v>
      </c>
      <c r="F26" s="85">
        <v>0</v>
      </c>
      <c r="G26" s="85">
        <v>1</v>
      </c>
      <c r="H26" s="85">
        <v>94</v>
      </c>
      <c r="I26" s="85">
        <v>164</v>
      </c>
      <c r="J26" s="85">
        <v>17</v>
      </c>
      <c r="K26" s="85">
        <v>17</v>
      </c>
      <c r="L26" s="85">
        <v>944</v>
      </c>
      <c r="M26" s="85">
        <v>140</v>
      </c>
      <c r="N26" s="85">
        <v>22</v>
      </c>
      <c r="O26" s="85">
        <v>45</v>
      </c>
      <c r="P26" s="85">
        <v>1579</v>
      </c>
    </row>
    <row r="27" spans="1:85" ht="15" customHeight="1" x14ac:dyDescent="0.2">
      <c r="C27" s="76" t="s">
        <v>79</v>
      </c>
      <c r="D27" s="85">
        <v>50</v>
      </c>
      <c r="E27" s="85">
        <v>19</v>
      </c>
      <c r="F27" s="85">
        <v>119</v>
      </c>
      <c r="G27" s="85">
        <v>-35</v>
      </c>
      <c r="H27" s="85">
        <v>150</v>
      </c>
      <c r="I27" s="85">
        <v>-154</v>
      </c>
      <c r="J27" s="85">
        <v>44</v>
      </c>
      <c r="K27" s="85">
        <v>260</v>
      </c>
      <c r="L27" s="85">
        <v>108</v>
      </c>
      <c r="M27" s="85">
        <v>198</v>
      </c>
      <c r="N27" s="85">
        <v>163</v>
      </c>
      <c r="O27" s="85">
        <v>459</v>
      </c>
      <c r="P27" s="85">
        <v>1381</v>
      </c>
    </row>
    <row r="28" spans="1:85" ht="15" customHeight="1" x14ac:dyDescent="0.2"/>
    <row r="29" spans="1:85" s="82" customFormat="1" ht="15" customHeight="1" x14ac:dyDescent="0.25">
      <c r="A29" s="82" t="s">
        <v>137</v>
      </c>
      <c r="D29" s="88">
        <v>-3182</v>
      </c>
      <c r="E29" s="88">
        <v>-368</v>
      </c>
      <c r="F29" s="88">
        <v>2881</v>
      </c>
      <c r="G29" s="88">
        <v>18011</v>
      </c>
      <c r="H29" s="88">
        <v>-12425</v>
      </c>
      <c r="I29" s="88">
        <v>-1096</v>
      </c>
      <c r="J29" s="88">
        <v>1885</v>
      </c>
      <c r="K29" s="88">
        <v>2094</v>
      </c>
      <c r="L29" s="88">
        <v>-3237</v>
      </c>
      <c r="M29" s="88">
        <v>-6923</v>
      </c>
      <c r="N29" s="88">
        <v>-5621</v>
      </c>
      <c r="O29" s="88">
        <v>9545</v>
      </c>
      <c r="P29" s="88">
        <v>1564</v>
      </c>
    </row>
    <row r="30" spans="1:85" ht="15" customHeight="1" x14ac:dyDescent="0.2"/>
    <row r="31" spans="1:85" s="82" customFormat="1" ht="15" customHeight="1" x14ac:dyDescent="0.25">
      <c r="A31" s="82" t="s">
        <v>39</v>
      </c>
      <c r="D31" s="83">
        <v>-5487</v>
      </c>
      <c r="E31" s="83">
        <v>3489</v>
      </c>
      <c r="F31" s="83">
        <v>-3769</v>
      </c>
      <c r="G31" s="83">
        <v>-7845</v>
      </c>
      <c r="H31" s="83">
        <v>-2432</v>
      </c>
      <c r="I31" s="83">
        <v>-1376</v>
      </c>
      <c r="J31" s="83">
        <v>-14957</v>
      </c>
      <c r="K31" s="83">
        <v>8572</v>
      </c>
      <c r="L31" s="83">
        <v>5574</v>
      </c>
      <c r="M31" s="83">
        <v>2894</v>
      </c>
      <c r="N31" s="83">
        <v>-4194</v>
      </c>
      <c r="O31" s="83">
        <v>-7582</v>
      </c>
      <c r="P31" s="83">
        <v>-27113</v>
      </c>
    </row>
    <row r="32" spans="1:85" ht="15" customHeight="1" x14ac:dyDescent="0.2">
      <c r="B32" s="76" t="s">
        <v>40</v>
      </c>
      <c r="D32" s="84">
        <v>-1461</v>
      </c>
      <c r="E32" s="84">
        <v>-1053</v>
      </c>
      <c r="F32" s="84">
        <v>-543</v>
      </c>
      <c r="G32" s="84">
        <v>65</v>
      </c>
      <c r="H32" s="84">
        <v>-1912</v>
      </c>
      <c r="I32" s="84">
        <v>-3158</v>
      </c>
      <c r="J32" s="84">
        <v>20</v>
      </c>
      <c r="K32" s="84">
        <v>9469</v>
      </c>
      <c r="L32" s="84">
        <v>-563</v>
      </c>
      <c r="M32" s="84">
        <v>-1253</v>
      </c>
      <c r="N32" s="84">
        <v>-3286</v>
      </c>
      <c r="O32" s="84">
        <v>-3143</v>
      </c>
      <c r="P32" s="84">
        <v>-6818</v>
      </c>
    </row>
    <row r="33" spans="1:17" ht="15" customHeight="1" x14ac:dyDescent="0.2">
      <c r="C33" s="76" t="s">
        <v>41</v>
      </c>
      <c r="D33" s="85">
        <v>140</v>
      </c>
      <c r="E33" s="85">
        <v>430</v>
      </c>
      <c r="F33" s="85">
        <v>662</v>
      </c>
      <c r="G33" s="85">
        <v>2580</v>
      </c>
      <c r="H33" s="85">
        <v>752</v>
      </c>
      <c r="I33" s="84">
        <v>716</v>
      </c>
      <c r="J33" s="85">
        <v>1083</v>
      </c>
      <c r="K33" s="85">
        <v>10714</v>
      </c>
      <c r="L33" s="85">
        <v>1129</v>
      </c>
      <c r="M33" s="85">
        <v>1157</v>
      </c>
      <c r="N33" s="85">
        <v>852</v>
      </c>
      <c r="O33" s="85">
        <v>2780</v>
      </c>
      <c r="P33" s="85">
        <v>22995</v>
      </c>
    </row>
    <row r="34" spans="1:17" ht="15" customHeight="1" x14ac:dyDescent="0.2">
      <c r="C34" s="76" t="s">
        <v>42</v>
      </c>
      <c r="D34" s="85">
        <v>1601</v>
      </c>
      <c r="E34" s="85">
        <v>1483</v>
      </c>
      <c r="F34" s="85">
        <v>1205</v>
      </c>
      <c r="G34" s="85">
        <v>2515</v>
      </c>
      <c r="H34" s="85">
        <v>2664</v>
      </c>
      <c r="I34" s="85">
        <v>3874</v>
      </c>
      <c r="J34" s="85">
        <v>1063</v>
      </c>
      <c r="K34" s="85">
        <v>1245</v>
      </c>
      <c r="L34" s="85">
        <v>1692</v>
      </c>
      <c r="M34" s="85">
        <v>2410</v>
      </c>
      <c r="N34" s="85">
        <v>4138</v>
      </c>
      <c r="O34" s="85">
        <v>5923</v>
      </c>
      <c r="P34" s="85">
        <v>29813</v>
      </c>
    </row>
    <row r="35" spans="1:17" ht="15" customHeight="1" x14ac:dyDescent="0.2">
      <c r="Q35" s="85"/>
    </row>
    <row r="36" spans="1:17" ht="15" customHeight="1" x14ac:dyDescent="0.2">
      <c r="B36" s="76" t="s">
        <v>43</v>
      </c>
      <c r="D36" s="84">
        <v>-4026</v>
      </c>
      <c r="E36" s="84">
        <v>4542</v>
      </c>
      <c r="F36" s="84">
        <v>-3226</v>
      </c>
      <c r="G36" s="84">
        <v>-7910</v>
      </c>
      <c r="H36" s="84">
        <v>-520</v>
      </c>
      <c r="I36" s="84">
        <v>1782</v>
      </c>
      <c r="J36" s="84">
        <v>-14977</v>
      </c>
      <c r="K36" s="84">
        <v>-897</v>
      </c>
      <c r="L36" s="84">
        <v>6137</v>
      </c>
      <c r="M36" s="84">
        <v>4147</v>
      </c>
      <c r="N36" s="84">
        <v>-908</v>
      </c>
      <c r="O36" s="84">
        <v>-4439</v>
      </c>
      <c r="P36" s="84">
        <v>-20295</v>
      </c>
    </row>
    <row r="37" spans="1:17" ht="15" customHeight="1" x14ac:dyDescent="0.2">
      <c r="C37" s="76" t="s">
        <v>44</v>
      </c>
      <c r="D37" s="85">
        <v>-3101</v>
      </c>
      <c r="E37" s="85">
        <v>5610</v>
      </c>
      <c r="F37" s="85">
        <v>462</v>
      </c>
      <c r="G37" s="85">
        <v>-7243</v>
      </c>
      <c r="H37" s="85">
        <v>-85</v>
      </c>
      <c r="I37" s="85">
        <v>4890</v>
      </c>
      <c r="J37" s="85">
        <v>-14973</v>
      </c>
      <c r="K37" s="85">
        <v>-891</v>
      </c>
      <c r="L37" s="85">
        <v>7347</v>
      </c>
      <c r="M37" s="85">
        <v>4877</v>
      </c>
      <c r="N37" s="85">
        <v>222</v>
      </c>
      <c r="O37" s="85">
        <v>455</v>
      </c>
      <c r="P37" s="85">
        <v>-2430</v>
      </c>
    </row>
    <row r="38" spans="1:17" ht="15" customHeight="1" x14ac:dyDescent="0.2">
      <c r="C38" s="76" t="s">
        <v>42</v>
      </c>
      <c r="D38" s="85">
        <v>925</v>
      </c>
      <c r="E38" s="85">
        <v>1068</v>
      </c>
      <c r="F38" s="85">
        <v>3688</v>
      </c>
      <c r="G38" s="85">
        <v>667</v>
      </c>
      <c r="H38" s="85">
        <v>435</v>
      </c>
      <c r="I38" s="85">
        <v>3108</v>
      </c>
      <c r="J38" s="85">
        <v>4</v>
      </c>
      <c r="K38" s="85">
        <v>6</v>
      </c>
      <c r="L38" s="85">
        <v>1210</v>
      </c>
      <c r="M38" s="85">
        <v>730</v>
      </c>
      <c r="N38" s="85">
        <v>1130</v>
      </c>
      <c r="O38" s="85">
        <v>4894</v>
      </c>
      <c r="P38" s="85">
        <v>17865</v>
      </c>
    </row>
    <row r="39" spans="1:17" ht="15" customHeight="1" x14ac:dyDescent="0.2"/>
    <row r="40" spans="1:17" s="82" customFormat="1" ht="15" customHeight="1" x14ac:dyDescent="0.25">
      <c r="A40" s="82" t="s">
        <v>47</v>
      </c>
      <c r="D40" s="83">
        <v>-6830</v>
      </c>
      <c r="E40" s="83">
        <v>3390</v>
      </c>
      <c r="F40" s="83">
        <v>-450</v>
      </c>
      <c r="G40" s="83">
        <v>10441</v>
      </c>
      <c r="H40" s="83">
        <v>-16522</v>
      </c>
      <c r="I40" s="83">
        <v>-3406</v>
      </c>
      <c r="J40" s="83">
        <v>-12527</v>
      </c>
      <c r="K40" s="83">
        <v>10073</v>
      </c>
      <c r="L40" s="83">
        <v>-622</v>
      </c>
      <c r="M40" s="83">
        <v>-5496</v>
      </c>
      <c r="N40" s="83">
        <v>-12910</v>
      </c>
      <c r="O40" s="83">
        <v>2295</v>
      </c>
      <c r="P40" s="83">
        <v>-32564</v>
      </c>
      <c r="Q40" s="88"/>
    </row>
    <row r="41" spans="1:17" x14ac:dyDescent="0.2">
      <c r="A41" s="89"/>
      <c r="B41" s="89"/>
      <c r="C41" s="89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</row>
    <row r="43" spans="1:17" x14ac:dyDescent="0.2">
      <c r="C43" s="130"/>
    </row>
    <row r="44" spans="1:17" x14ac:dyDescent="0.2">
      <c r="A44" s="86" t="s">
        <v>139</v>
      </c>
    </row>
    <row r="49" s="76" customFormat="1" x14ac:dyDescent="0.2"/>
    <row r="50" s="76" customFormat="1" x14ac:dyDescent="0.2"/>
    <row r="51" s="76" customFormat="1" x14ac:dyDescent="0.2"/>
    <row r="52" s="76" customFormat="1" x14ac:dyDescent="0.2"/>
    <row r="53" s="76" customFormat="1" x14ac:dyDescent="0.2"/>
    <row r="54" s="76" customFormat="1" x14ac:dyDescent="0.2"/>
    <row r="55" s="76" customFormat="1" x14ac:dyDescent="0.2"/>
    <row r="56" s="76" customFormat="1" x14ac:dyDescent="0.2"/>
    <row r="57" s="76" customFormat="1" x14ac:dyDescent="0.2"/>
    <row r="58" s="76" customFormat="1" x14ac:dyDescent="0.2"/>
    <row r="59" s="76" customFormat="1" x14ac:dyDescent="0.2"/>
    <row r="60" s="76" customFormat="1" x14ac:dyDescent="0.2"/>
    <row r="61" s="76" customFormat="1" x14ac:dyDescent="0.2"/>
    <row r="62" s="76" customFormat="1" x14ac:dyDescent="0.2"/>
    <row r="63" s="76" customFormat="1" x14ac:dyDescent="0.2"/>
    <row r="64" s="76" customFormat="1" x14ac:dyDescent="0.2"/>
    <row r="65" s="76" customFormat="1" x14ac:dyDescent="0.2"/>
    <row r="66" s="76" customFormat="1" x14ac:dyDescent="0.2"/>
    <row r="67" s="76" customFormat="1" x14ac:dyDescent="0.2"/>
    <row r="68" s="76" customFormat="1" x14ac:dyDescent="0.2"/>
    <row r="69" s="76" customFormat="1" x14ac:dyDescent="0.2"/>
    <row r="70" s="76" customFormat="1" x14ac:dyDescent="0.2"/>
    <row r="71" s="76" customFormat="1" x14ac:dyDescent="0.2"/>
    <row r="72" s="76" customFormat="1" x14ac:dyDescent="0.2"/>
    <row r="73" s="76" customFormat="1" x14ac:dyDescent="0.2"/>
    <row r="74" s="76" customFormat="1" x14ac:dyDescent="0.2"/>
    <row r="75" s="76" customFormat="1" x14ac:dyDescent="0.2"/>
    <row r="76" s="76" customFormat="1" x14ac:dyDescent="0.2"/>
    <row r="77" s="76" customFormat="1" x14ac:dyDescent="0.2"/>
    <row r="78" s="76" customFormat="1" x14ac:dyDescent="0.2"/>
    <row r="79" s="76" customFormat="1" x14ac:dyDescent="0.2"/>
    <row r="80" s="76" customFormat="1" x14ac:dyDescent="0.2"/>
    <row r="81" s="76" customFormat="1" x14ac:dyDescent="0.2"/>
    <row r="82" s="76" customFormat="1" x14ac:dyDescent="0.2"/>
    <row r="83" s="76" customFormat="1" x14ac:dyDescent="0.2"/>
    <row r="84" s="76" customFormat="1" x14ac:dyDescent="0.2"/>
    <row r="85" s="76" customFormat="1" x14ac:dyDescent="0.2"/>
    <row r="86" s="76" customFormat="1" x14ac:dyDescent="0.2"/>
    <row r="87" s="76" customFormat="1" x14ac:dyDescent="0.2"/>
    <row r="88" s="76" customFormat="1" x14ac:dyDescent="0.2"/>
    <row r="89" s="76" customFormat="1" x14ac:dyDescent="0.2"/>
    <row r="90" s="76" customFormat="1" x14ac:dyDescent="0.2"/>
    <row r="91" s="76" customFormat="1" x14ac:dyDescent="0.2"/>
    <row r="92" s="76" customFormat="1" x14ac:dyDescent="0.2"/>
    <row r="93" s="76" customFormat="1" x14ac:dyDescent="0.2"/>
    <row r="94" s="76" customFormat="1" x14ac:dyDescent="0.2"/>
    <row r="95" s="76" customFormat="1" x14ac:dyDescent="0.2"/>
    <row r="96" s="76" customFormat="1" x14ac:dyDescent="0.2"/>
    <row r="97" s="76" customFormat="1" x14ac:dyDescent="0.2"/>
    <row r="98" s="76" customFormat="1" x14ac:dyDescent="0.2"/>
    <row r="99" s="76" customFormat="1" x14ac:dyDescent="0.2"/>
    <row r="100" s="76" customFormat="1" x14ac:dyDescent="0.2"/>
    <row r="101" s="76" customFormat="1" x14ac:dyDescent="0.2"/>
    <row r="102" s="76" customFormat="1" x14ac:dyDescent="0.2"/>
    <row r="103" s="76" customFormat="1" x14ac:dyDescent="0.2"/>
    <row r="104" s="76" customFormat="1" x14ac:dyDescent="0.2"/>
    <row r="105" s="76" customFormat="1" x14ac:dyDescent="0.2"/>
    <row r="106" s="76" customFormat="1" x14ac:dyDescent="0.2"/>
    <row r="107" s="76" customFormat="1" x14ac:dyDescent="0.2"/>
    <row r="108" s="76" customFormat="1" x14ac:dyDescent="0.2"/>
    <row r="109" s="76" customFormat="1" x14ac:dyDescent="0.2"/>
    <row r="110" s="76" customFormat="1" x14ac:dyDescent="0.2"/>
    <row r="111" s="76" customFormat="1" x14ac:dyDescent="0.2"/>
    <row r="112" s="76" customFormat="1" x14ac:dyDescent="0.2"/>
    <row r="113" s="76" customFormat="1" x14ac:dyDescent="0.2"/>
    <row r="114" s="76" customFormat="1" x14ac:dyDescent="0.2"/>
    <row r="115" s="76" customFormat="1" x14ac:dyDescent="0.2"/>
    <row r="116" s="76" customFormat="1" x14ac:dyDescent="0.2"/>
    <row r="117" s="76" customFormat="1" x14ac:dyDescent="0.2"/>
    <row r="118" s="76" customFormat="1" x14ac:dyDescent="0.2"/>
    <row r="119" s="76" customFormat="1" x14ac:dyDescent="0.2"/>
    <row r="120" s="76" customFormat="1" x14ac:dyDescent="0.2"/>
    <row r="121" s="76" customFormat="1" x14ac:dyDescent="0.2"/>
    <row r="122" s="76" customFormat="1" x14ac:dyDescent="0.2"/>
    <row r="123" s="76" customFormat="1" x14ac:dyDescent="0.2"/>
    <row r="124" s="76" customFormat="1" x14ac:dyDescent="0.2"/>
    <row r="125" s="76" customFormat="1" x14ac:dyDescent="0.2"/>
    <row r="126" s="76" customFormat="1" x14ac:dyDescent="0.2"/>
    <row r="127" s="76" customFormat="1" x14ac:dyDescent="0.2"/>
    <row r="128" s="76" customFormat="1" x14ac:dyDescent="0.2"/>
    <row r="129" s="76" customFormat="1" x14ac:dyDescent="0.2"/>
    <row r="130" s="76" customFormat="1" x14ac:dyDescent="0.2"/>
    <row r="131" s="76" customFormat="1" x14ac:dyDescent="0.2"/>
    <row r="132" s="76" customFormat="1" x14ac:dyDescent="0.2"/>
    <row r="133" s="76" customFormat="1" x14ac:dyDescent="0.2"/>
    <row r="134" s="76" customFormat="1" x14ac:dyDescent="0.2"/>
    <row r="135" s="76" customFormat="1" x14ac:dyDescent="0.2"/>
    <row r="136" s="76" customFormat="1" x14ac:dyDescent="0.2"/>
    <row r="137" s="76" customFormat="1" x14ac:dyDescent="0.2"/>
    <row r="138" s="76" customFormat="1" x14ac:dyDescent="0.2"/>
    <row r="139" s="76" customFormat="1" x14ac:dyDescent="0.2"/>
    <row r="140" s="76" customFormat="1" x14ac:dyDescent="0.2"/>
    <row r="141" s="76" customFormat="1" x14ac:dyDescent="0.2"/>
    <row r="142" s="76" customFormat="1" x14ac:dyDescent="0.2"/>
    <row r="143" s="76" customFormat="1" x14ac:dyDescent="0.2"/>
    <row r="144" s="76" customFormat="1" x14ac:dyDescent="0.2"/>
    <row r="145" s="76" customFormat="1" x14ac:dyDescent="0.2"/>
    <row r="146" s="76" customFormat="1" x14ac:dyDescent="0.2"/>
  </sheetData>
  <mergeCells count="1">
    <mergeCell ref="A5:C5"/>
  </mergeCells>
  <printOptions horizontalCentered="1"/>
  <pageMargins left="0" right="0" top="1.10208333333333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AMJ45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P20" sqref="P20"/>
    </sheetView>
  </sheetViews>
  <sheetFormatPr defaultColWidth="9.140625" defaultRowHeight="14.25" x14ac:dyDescent="0.2"/>
  <cols>
    <col min="1" max="1" width="1.7109375" style="76" customWidth="1"/>
    <col min="2" max="2" width="1.42578125" style="76" customWidth="1"/>
    <col min="3" max="3" width="22.5703125" style="76" customWidth="1"/>
    <col min="4" max="8" width="8" style="76" customWidth="1"/>
    <col min="9" max="9" width="8.7109375" style="76" customWidth="1"/>
    <col min="10" max="13" width="8" style="76" customWidth="1"/>
    <col min="14" max="15" width="8.7109375" style="76" customWidth="1"/>
    <col min="16" max="1024" width="9.140625" style="76"/>
  </cols>
  <sheetData>
    <row r="1" spans="1:16" ht="15" x14ac:dyDescent="0.25">
      <c r="A1" s="82" t="s">
        <v>153</v>
      </c>
    </row>
    <row r="2" spans="1:16" ht="15" x14ac:dyDescent="0.25">
      <c r="A2" s="82" t="s">
        <v>155</v>
      </c>
    </row>
    <row r="3" spans="1:16" ht="15" x14ac:dyDescent="0.25">
      <c r="A3" s="76" t="s">
        <v>2</v>
      </c>
      <c r="E3" s="76" t="s">
        <v>58</v>
      </c>
      <c r="F3" s="83"/>
    </row>
    <row r="5" spans="1:16" ht="21.75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6" spans="1:16" ht="15" customHeight="1" x14ac:dyDescent="0.2"/>
    <row r="7" spans="1:16" ht="15" customHeight="1" x14ac:dyDescent="0.25">
      <c r="A7" s="82" t="s">
        <v>15</v>
      </c>
      <c r="D7" s="83">
        <f t="shared" ref="D7:P7" si="0">D8+D13+D18</f>
        <v>37796</v>
      </c>
      <c r="E7" s="83">
        <f t="shared" si="0"/>
        <v>24430</v>
      </c>
      <c r="F7" s="83">
        <f t="shared" si="0"/>
        <v>30792</v>
      </c>
      <c r="G7" s="83">
        <f t="shared" si="0"/>
        <v>51789</v>
      </c>
      <c r="H7" s="83">
        <f t="shared" si="0"/>
        <v>32624</v>
      </c>
      <c r="I7" s="83">
        <f t="shared" si="0"/>
        <v>25556</v>
      </c>
      <c r="J7" s="83">
        <f t="shared" si="0"/>
        <v>36458</v>
      </c>
      <c r="K7" s="83">
        <f t="shared" si="0"/>
        <v>34863</v>
      </c>
      <c r="L7" s="83">
        <f t="shared" si="0"/>
        <v>29083</v>
      </c>
      <c r="M7" s="83">
        <f t="shared" si="0"/>
        <v>37966</v>
      </c>
      <c r="N7" s="83">
        <f t="shared" si="0"/>
        <v>38178</v>
      </c>
      <c r="O7" s="83">
        <f t="shared" si="0"/>
        <v>30914</v>
      </c>
      <c r="P7" s="83">
        <f t="shared" si="0"/>
        <v>410449</v>
      </c>
    </row>
    <row r="8" spans="1:16" ht="15" customHeight="1" x14ac:dyDescent="0.2">
      <c r="B8" s="76" t="s">
        <v>16</v>
      </c>
      <c r="D8" s="84">
        <v>31098</v>
      </c>
      <c r="E8" s="84">
        <v>22145</v>
      </c>
      <c r="F8" s="84">
        <v>24552</v>
      </c>
      <c r="G8" s="84">
        <v>44947</v>
      </c>
      <c r="H8" s="84">
        <v>31147</v>
      </c>
      <c r="I8" s="84">
        <v>23175</v>
      </c>
      <c r="J8" s="84">
        <v>34620</v>
      </c>
      <c r="K8" s="84">
        <v>31696</v>
      </c>
      <c r="L8" s="84">
        <v>24479</v>
      </c>
      <c r="M8" s="84">
        <v>36659</v>
      </c>
      <c r="N8" s="84">
        <v>36422</v>
      </c>
      <c r="O8" s="84">
        <v>26954</v>
      </c>
      <c r="P8" s="84">
        <v>367894</v>
      </c>
    </row>
    <row r="9" spans="1:16" ht="15" customHeight="1" x14ac:dyDescent="0.2">
      <c r="C9" s="76" t="s">
        <v>17</v>
      </c>
      <c r="D9" s="85">
        <v>23547</v>
      </c>
      <c r="E9" s="85">
        <v>13663</v>
      </c>
      <c r="F9" s="85">
        <v>14915</v>
      </c>
      <c r="G9" s="85">
        <v>36447</v>
      </c>
      <c r="H9" s="85">
        <v>21426</v>
      </c>
      <c r="I9" s="85">
        <v>15151</v>
      </c>
      <c r="J9" s="85">
        <v>24676</v>
      </c>
      <c r="K9" s="85">
        <v>22947</v>
      </c>
      <c r="L9" s="85">
        <v>15775</v>
      </c>
      <c r="M9" s="85">
        <v>27578</v>
      </c>
      <c r="N9" s="85">
        <v>24627</v>
      </c>
      <c r="O9" s="85">
        <v>20022</v>
      </c>
      <c r="P9" s="85">
        <v>260774</v>
      </c>
    </row>
    <row r="10" spans="1:16" ht="15" customHeight="1" x14ac:dyDescent="0.2">
      <c r="C10" s="76" t="s">
        <v>21</v>
      </c>
      <c r="D10" s="85">
        <v>7406</v>
      </c>
      <c r="E10" s="85">
        <v>8232</v>
      </c>
      <c r="F10" s="85">
        <v>9380</v>
      </c>
      <c r="G10" s="85">
        <v>8285</v>
      </c>
      <c r="H10" s="85">
        <v>9445</v>
      </c>
      <c r="I10" s="85">
        <v>7773</v>
      </c>
      <c r="J10" s="85">
        <v>9743</v>
      </c>
      <c r="K10" s="85">
        <v>8654</v>
      </c>
      <c r="L10" s="85">
        <v>8416</v>
      </c>
      <c r="M10" s="85">
        <v>8790</v>
      </c>
      <c r="N10" s="85">
        <v>11671</v>
      </c>
      <c r="O10" s="85">
        <v>6771</v>
      </c>
      <c r="P10" s="85">
        <v>104566</v>
      </c>
    </row>
    <row r="11" spans="1:16" ht="15" customHeight="1" x14ac:dyDescent="0.2">
      <c r="C11" s="76" t="s">
        <v>88</v>
      </c>
      <c r="D11" s="85">
        <v>145</v>
      </c>
      <c r="E11" s="85">
        <v>250</v>
      </c>
      <c r="F11" s="85">
        <v>257</v>
      </c>
      <c r="G11" s="85">
        <v>215</v>
      </c>
      <c r="H11" s="85">
        <v>276</v>
      </c>
      <c r="I11" s="85">
        <v>251</v>
      </c>
      <c r="J11" s="85">
        <v>201</v>
      </c>
      <c r="K11" s="85">
        <v>95</v>
      </c>
      <c r="L11" s="85">
        <v>288</v>
      </c>
      <c r="M11" s="85">
        <v>291</v>
      </c>
      <c r="N11" s="85">
        <v>124</v>
      </c>
      <c r="O11" s="85">
        <v>161</v>
      </c>
      <c r="P11" s="85">
        <v>2554</v>
      </c>
    </row>
    <row r="12" spans="1:16" ht="15" customHeight="1" x14ac:dyDescent="0.2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1:16" ht="15" customHeight="1" x14ac:dyDescent="0.2">
      <c r="B13" s="76" t="s">
        <v>23</v>
      </c>
      <c r="D13" s="84">
        <f t="shared" ref="D13:P13" si="1">SUM(D14:D16)</f>
        <v>6685</v>
      </c>
      <c r="E13" s="84">
        <f t="shared" si="1"/>
        <v>2224</v>
      </c>
      <c r="F13" s="84">
        <f t="shared" si="1"/>
        <v>6240</v>
      </c>
      <c r="G13" s="84">
        <f t="shared" si="1"/>
        <v>6765</v>
      </c>
      <c r="H13" s="84">
        <f t="shared" si="1"/>
        <v>1454</v>
      </c>
      <c r="I13" s="84">
        <f t="shared" si="1"/>
        <v>2340</v>
      </c>
      <c r="J13" s="84">
        <f t="shared" si="1"/>
        <v>1769</v>
      </c>
      <c r="K13" s="84">
        <f t="shared" si="1"/>
        <v>3167</v>
      </c>
      <c r="L13" s="84">
        <f t="shared" si="1"/>
        <v>4480</v>
      </c>
      <c r="M13" s="84">
        <f t="shared" si="1"/>
        <v>1250</v>
      </c>
      <c r="N13" s="84">
        <f t="shared" si="1"/>
        <v>1736</v>
      </c>
      <c r="O13" s="84">
        <f t="shared" si="1"/>
        <v>3876</v>
      </c>
      <c r="P13" s="84">
        <f t="shared" si="1"/>
        <v>41986</v>
      </c>
    </row>
    <row r="14" spans="1:16" ht="15" customHeight="1" x14ac:dyDescent="0.2">
      <c r="C14" s="76" t="s">
        <v>24</v>
      </c>
      <c r="D14" s="85">
        <v>5893</v>
      </c>
      <c r="E14" s="85">
        <v>351</v>
      </c>
      <c r="F14" s="85">
        <v>2093</v>
      </c>
      <c r="G14" s="85">
        <v>5927</v>
      </c>
      <c r="H14" s="85">
        <v>624</v>
      </c>
      <c r="I14" s="85">
        <v>1321</v>
      </c>
      <c r="J14" s="85">
        <v>642</v>
      </c>
      <c r="K14" s="85">
        <v>1905</v>
      </c>
      <c r="L14" s="85">
        <v>2853</v>
      </c>
      <c r="M14" s="85">
        <v>722</v>
      </c>
      <c r="N14" s="85">
        <v>693</v>
      </c>
      <c r="O14" s="85">
        <v>1569</v>
      </c>
      <c r="P14" s="85">
        <v>24593</v>
      </c>
    </row>
    <row r="15" spans="1:16" ht="15" customHeight="1" x14ac:dyDescent="0.2">
      <c r="C15" s="76" t="s">
        <v>150</v>
      </c>
      <c r="D15" s="85">
        <v>664</v>
      </c>
      <c r="E15" s="85">
        <v>994</v>
      </c>
      <c r="F15" s="85">
        <v>972</v>
      </c>
      <c r="G15" s="85">
        <v>815</v>
      </c>
      <c r="H15" s="85">
        <v>821</v>
      </c>
      <c r="I15" s="85">
        <v>1009</v>
      </c>
      <c r="J15" s="85">
        <v>1123</v>
      </c>
      <c r="K15" s="85">
        <v>1248</v>
      </c>
      <c r="L15" s="85">
        <v>1614</v>
      </c>
      <c r="M15" s="85">
        <v>381</v>
      </c>
      <c r="N15" s="85">
        <v>845</v>
      </c>
      <c r="O15" s="85">
        <v>1247</v>
      </c>
      <c r="P15" s="85">
        <v>11733</v>
      </c>
    </row>
    <row r="16" spans="1:16" ht="15" customHeight="1" x14ac:dyDescent="0.2">
      <c r="C16" s="76" t="s">
        <v>26</v>
      </c>
      <c r="D16" s="85">
        <v>128</v>
      </c>
      <c r="E16" s="85">
        <v>879</v>
      </c>
      <c r="F16" s="85">
        <v>3175</v>
      </c>
      <c r="G16" s="85">
        <v>23</v>
      </c>
      <c r="H16" s="85">
        <v>9</v>
      </c>
      <c r="I16" s="85">
        <v>10</v>
      </c>
      <c r="J16" s="85">
        <v>4</v>
      </c>
      <c r="K16" s="85">
        <v>14</v>
      </c>
      <c r="L16" s="85">
        <v>13</v>
      </c>
      <c r="M16" s="85">
        <v>147</v>
      </c>
      <c r="N16" s="85">
        <v>198</v>
      </c>
      <c r="O16" s="85">
        <v>1060</v>
      </c>
      <c r="P16" s="85">
        <v>5660</v>
      </c>
    </row>
    <row r="17" spans="1:43" ht="15" customHeight="1" x14ac:dyDescent="0.2"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1:43" ht="15" customHeight="1" x14ac:dyDescent="0.2">
      <c r="B18" s="76" t="s">
        <v>29</v>
      </c>
      <c r="D18" s="85">
        <v>13</v>
      </c>
      <c r="E18" s="85">
        <v>61</v>
      </c>
      <c r="F18" s="85">
        <v>0</v>
      </c>
      <c r="G18" s="85">
        <v>77</v>
      </c>
      <c r="H18" s="85">
        <v>23</v>
      </c>
      <c r="I18" s="85">
        <v>41</v>
      </c>
      <c r="J18" s="85">
        <v>69</v>
      </c>
      <c r="K18" s="85">
        <v>0</v>
      </c>
      <c r="L18" s="85">
        <v>124</v>
      </c>
      <c r="M18" s="85">
        <v>57</v>
      </c>
      <c r="N18" s="85">
        <v>20</v>
      </c>
      <c r="O18" s="85">
        <v>84</v>
      </c>
      <c r="P18" s="85">
        <v>569</v>
      </c>
    </row>
    <row r="19" spans="1:43" ht="15" customHeight="1" x14ac:dyDescent="0.2"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</row>
    <row r="20" spans="1:43" ht="15" customHeight="1" x14ac:dyDescent="0.25">
      <c r="A20" s="82" t="s">
        <v>30</v>
      </c>
      <c r="D20" s="83">
        <v>37576</v>
      </c>
      <c r="E20" s="83">
        <v>30380</v>
      </c>
      <c r="F20" s="83">
        <v>26633</v>
      </c>
      <c r="G20" s="83">
        <v>36552</v>
      </c>
      <c r="H20" s="83">
        <v>33736</v>
      </c>
      <c r="I20" s="83">
        <v>28690</v>
      </c>
      <c r="J20" s="83">
        <v>41254</v>
      </c>
      <c r="K20" s="83">
        <v>32530</v>
      </c>
      <c r="L20" s="83">
        <v>28867</v>
      </c>
      <c r="M20" s="83">
        <v>38606</v>
      </c>
      <c r="N20" s="83">
        <v>34378</v>
      </c>
      <c r="O20" s="83">
        <v>34991</v>
      </c>
      <c r="P20" s="83">
        <v>404193</v>
      </c>
    </row>
    <row r="21" spans="1:43" ht="15" customHeight="1" x14ac:dyDescent="0.2">
      <c r="B21" s="76" t="s">
        <v>18</v>
      </c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</row>
    <row r="22" spans="1:43" ht="15" customHeight="1" x14ac:dyDescent="0.2">
      <c r="C22" s="76" t="s">
        <v>31</v>
      </c>
      <c r="D22" s="85">
        <v>4716</v>
      </c>
      <c r="E22" s="85">
        <v>4716</v>
      </c>
      <c r="F22" s="85">
        <v>4716</v>
      </c>
      <c r="G22" s="85">
        <v>4748</v>
      </c>
      <c r="H22" s="85">
        <v>4748</v>
      </c>
      <c r="I22" s="85">
        <v>4806</v>
      </c>
      <c r="J22" s="85">
        <v>4756</v>
      </c>
      <c r="K22" s="85">
        <v>4748</v>
      </c>
      <c r="L22" s="85">
        <v>4748</v>
      </c>
      <c r="M22" s="85">
        <v>4884</v>
      </c>
      <c r="N22" s="85">
        <v>4884</v>
      </c>
      <c r="O22" s="85">
        <v>4886</v>
      </c>
      <c r="P22" s="85">
        <v>57356</v>
      </c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</row>
    <row r="23" spans="1:43" ht="15" customHeight="1" x14ac:dyDescent="0.2">
      <c r="C23" s="76" t="s">
        <v>32</v>
      </c>
      <c r="D23" s="85">
        <v>8433</v>
      </c>
      <c r="E23" s="85">
        <v>5613</v>
      </c>
      <c r="F23" s="85">
        <v>4929</v>
      </c>
      <c r="G23" s="85">
        <v>6568</v>
      </c>
      <c r="H23" s="85">
        <v>7162</v>
      </c>
      <c r="I23" s="85">
        <v>5363</v>
      </c>
      <c r="J23" s="85">
        <v>8425</v>
      </c>
      <c r="K23" s="85">
        <v>7645</v>
      </c>
      <c r="L23" s="85">
        <v>6358</v>
      </c>
      <c r="M23" s="85">
        <v>6487</v>
      </c>
      <c r="N23" s="85">
        <v>4295</v>
      </c>
      <c r="O23" s="85">
        <v>5244</v>
      </c>
      <c r="P23" s="85">
        <v>76522</v>
      </c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</row>
    <row r="24" spans="1:43" ht="15" customHeight="1" x14ac:dyDescent="0.2">
      <c r="C24" s="76" t="s">
        <v>78</v>
      </c>
      <c r="D24" s="85">
        <v>1146</v>
      </c>
      <c r="E24" s="85">
        <v>1287</v>
      </c>
      <c r="F24" s="85">
        <v>177</v>
      </c>
      <c r="G24" s="85">
        <v>47</v>
      </c>
      <c r="H24" s="85">
        <v>256</v>
      </c>
      <c r="I24" s="85">
        <v>364</v>
      </c>
      <c r="J24" s="85">
        <v>98</v>
      </c>
      <c r="K24" s="85">
        <v>187</v>
      </c>
      <c r="L24" s="85">
        <v>386</v>
      </c>
      <c r="M24" s="85">
        <v>302</v>
      </c>
      <c r="N24" s="85">
        <v>114</v>
      </c>
      <c r="O24" s="85">
        <v>1498</v>
      </c>
      <c r="P24" s="85">
        <v>5862</v>
      </c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</row>
    <row r="25" spans="1:43" ht="15" customHeight="1" x14ac:dyDescent="0.2">
      <c r="C25" s="76" t="s">
        <v>33</v>
      </c>
      <c r="D25" s="85">
        <v>0</v>
      </c>
      <c r="E25" s="85">
        <v>69</v>
      </c>
      <c r="F25" s="85">
        <v>212</v>
      </c>
      <c r="G25" s="85">
        <v>86</v>
      </c>
      <c r="H25" s="85">
        <v>117</v>
      </c>
      <c r="I25" s="85">
        <v>86</v>
      </c>
      <c r="J25" s="85">
        <v>228</v>
      </c>
      <c r="K25" s="85">
        <v>173</v>
      </c>
      <c r="L25" s="85">
        <v>166</v>
      </c>
      <c r="M25" s="85">
        <v>539</v>
      </c>
      <c r="N25" s="85">
        <v>4308</v>
      </c>
      <c r="O25" s="85">
        <v>711</v>
      </c>
      <c r="P25" s="85">
        <v>6695</v>
      </c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</row>
    <row r="26" spans="1:43" ht="15" customHeight="1" x14ac:dyDescent="0.2">
      <c r="C26" s="76" t="s">
        <v>35</v>
      </c>
      <c r="D26" s="85">
        <v>700</v>
      </c>
      <c r="E26" s="85">
        <v>2</v>
      </c>
      <c r="F26" s="85">
        <v>0</v>
      </c>
      <c r="G26" s="85">
        <v>0</v>
      </c>
      <c r="H26" s="85">
        <v>165</v>
      </c>
      <c r="I26" s="85">
        <v>442</v>
      </c>
      <c r="J26" s="85">
        <v>0</v>
      </c>
      <c r="K26" s="85">
        <v>338</v>
      </c>
      <c r="L26" s="85">
        <v>20</v>
      </c>
      <c r="M26" s="85">
        <v>103</v>
      </c>
      <c r="N26" s="85">
        <v>14</v>
      </c>
      <c r="O26" s="85">
        <v>231</v>
      </c>
      <c r="P26" s="85">
        <v>2015</v>
      </c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</row>
    <row r="27" spans="1:43" ht="15" customHeight="1" x14ac:dyDescent="0.2">
      <c r="C27" s="76" t="s">
        <v>79</v>
      </c>
      <c r="D27" s="85">
        <v>299</v>
      </c>
      <c r="E27" s="85">
        <v>35</v>
      </c>
      <c r="F27" s="85">
        <v>552</v>
      </c>
      <c r="G27" s="85">
        <v>296</v>
      </c>
      <c r="H27" s="85">
        <v>107</v>
      </c>
      <c r="I27" s="85">
        <v>-244</v>
      </c>
      <c r="J27" s="85">
        <v>-186</v>
      </c>
      <c r="K27" s="85">
        <v>91</v>
      </c>
      <c r="L27" s="85">
        <v>329</v>
      </c>
      <c r="M27" s="85">
        <v>-19</v>
      </c>
      <c r="N27" s="85">
        <v>237</v>
      </c>
      <c r="O27" s="85">
        <v>-336</v>
      </c>
      <c r="P27" s="85">
        <v>1161</v>
      </c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</row>
    <row r="28" spans="1:43" ht="15" customHeight="1" x14ac:dyDescent="0.2"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</row>
    <row r="29" spans="1:43" s="82" customFormat="1" ht="15" customHeight="1" x14ac:dyDescent="0.25">
      <c r="A29" s="82" t="s">
        <v>137</v>
      </c>
      <c r="D29" s="88">
        <v>220</v>
      </c>
      <c r="E29" s="88">
        <v>-5950</v>
      </c>
      <c r="F29" s="88">
        <v>4159</v>
      </c>
      <c r="G29" s="88">
        <v>15237</v>
      </c>
      <c r="H29" s="88">
        <v>-1112</v>
      </c>
      <c r="I29" s="88">
        <v>-3134</v>
      </c>
      <c r="J29" s="88">
        <v>-4796</v>
      </c>
      <c r="K29" s="88">
        <v>2333</v>
      </c>
      <c r="L29" s="88">
        <v>216</v>
      </c>
      <c r="M29" s="88">
        <v>-640</v>
      </c>
      <c r="N29" s="88">
        <v>3800</v>
      </c>
      <c r="O29" s="88">
        <v>-4077</v>
      </c>
      <c r="P29" s="88">
        <v>6256</v>
      </c>
      <c r="R29" s="88"/>
    </row>
    <row r="30" spans="1:43" ht="15" customHeight="1" x14ac:dyDescent="0.2"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</row>
    <row r="31" spans="1:43" s="82" customFormat="1" ht="15" customHeight="1" x14ac:dyDescent="0.25">
      <c r="A31" s="82" t="s">
        <v>39</v>
      </c>
      <c r="D31" s="83">
        <v>12427</v>
      </c>
      <c r="E31" s="83">
        <v>3186</v>
      </c>
      <c r="F31" s="83">
        <v>-4021</v>
      </c>
      <c r="G31" s="83">
        <v>30164</v>
      </c>
      <c r="H31" s="83">
        <v>-2318</v>
      </c>
      <c r="I31" s="83">
        <v>-4541</v>
      </c>
      <c r="J31" s="83">
        <v>15494</v>
      </c>
      <c r="K31" s="83">
        <v>10305</v>
      </c>
      <c r="L31" s="83">
        <v>11905</v>
      </c>
      <c r="M31" s="83">
        <v>-5992</v>
      </c>
      <c r="N31" s="83">
        <v>-14611</v>
      </c>
      <c r="O31" s="83">
        <v>-8679</v>
      </c>
      <c r="P31" s="83">
        <v>43319</v>
      </c>
    </row>
    <row r="32" spans="1:43" ht="15" customHeight="1" x14ac:dyDescent="0.2">
      <c r="B32" s="76" t="s">
        <v>40</v>
      </c>
      <c r="D32" s="84">
        <v>-498</v>
      </c>
      <c r="E32" s="84">
        <v>-4019</v>
      </c>
      <c r="F32" s="84">
        <v>-548</v>
      </c>
      <c r="G32" s="84">
        <v>-1866</v>
      </c>
      <c r="H32" s="84">
        <v>-1926</v>
      </c>
      <c r="I32" s="84">
        <v>-1339</v>
      </c>
      <c r="J32" s="84">
        <v>-114</v>
      </c>
      <c r="K32" s="84">
        <v>6271</v>
      </c>
      <c r="L32" s="84">
        <v>167</v>
      </c>
      <c r="M32" s="84">
        <v>1698</v>
      </c>
      <c r="N32" s="84">
        <v>-1888</v>
      </c>
      <c r="O32" s="84">
        <v>-1943</v>
      </c>
      <c r="P32" s="84">
        <v>-6005</v>
      </c>
    </row>
    <row r="33" spans="1:17" ht="15" customHeight="1" x14ac:dyDescent="0.2">
      <c r="C33" s="76" t="s">
        <v>41</v>
      </c>
      <c r="D33" s="85">
        <v>458</v>
      </c>
      <c r="E33" s="85">
        <v>869</v>
      </c>
      <c r="F33" s="85">
        <v>862</v>
      </c>
      <c r="G33" s="85">
        <v>795</v>
      </c>
      <c r="H33" s="85">
        <v>1069</v>
      </c>
      <c r="I33" s="85">
        <v>941</v>
      </c>
      <c r="J33" s="85">
        <v>981</v>
      </c>
      <c r="K33" s="85">
        <v>7324</v>
      </c>
      <c r="L33" s="85">
        <v>1458</v>
      </c>
      <c r="M33" s="85">
        <v>4762</v>
      </c>
      <c r="N33" s="85">
        <v>792</v>
      </c>
      <c r="O33" s="85">
        <v>1644</v>
      </c>
      <c r="P33" s="85">
        <v>21955</v>
      </c>
    </row>
    <row r="34" spans="1:17" ht="15" customHeight="1" x14ac:dyDescent="0.2">
      <c r="C34" s="76" t="s">
        <v>42</v>
      </c>
      <c r="D34" s="85">
        <v>956</v>
      </c>
      <c r="E34" s="85">
        <v>4888</v>
      </c>
      <c r="F34" s="85">
        <v>1410</v>
      </c>
      <c r="G34" s="85">
        <v>2661</v>
      </c>
      <c r="H34" s="85">
        <v>2995</v>
      </c>
      <c r="I34" s="85">
        <v>2280</v>
      </c>
      <c r="J34" s="85">
        <v>1095</v>
      </c>
      <c r="K34" s="85">
        <v>1053</v>
      </c>
      <c r="L34" s="85">
        <v>1291</v>
      </c>
      <c r="M34" s="85">
        <v>3064</v>
      </c>
      <c r="N34" s="85">
        <v>2680</v>
      </c>
      <c r="O34" s="85">
        <v>3587</v>
      </c>
      <c r="P34" s="85">
        <v>27960</v>
      </c>
    </row>
    <row r="35" spans="1:17" ht="15" customHeight="1" x14ac:dyDescent="0.2"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</row>
    <row r="36" spans="1:17" ht="15" customHeight="1" x14ac:dyDescent="0.2">
      <c r="B36" s="76" t="s">
        <v>43</v>
      </c>
      <c r="D36" s="84">
        <v>12925</v>
      </c>
      <c r="E36" s="84">
        <v>7205</v>
      </c>
      <c r="F36" s="84">
        <v>-3473</v>
      </c>
      <c r="G36" s="84">
        <v>32030</v>
      </c>
      <c r="H36" s="84">
        <v>-392</v>
      </c>
      <c r="I36" s="84">
        <v>-3202</v>
      </c>
      <c r="J36" s="84">
        <v>15608</v>
      </c>
      <c r="K36" s="84">
        <v>4034</v>
      </c>
      <c r="L36" s="84">
        <v>11738</v>
      </c>
      <c r="M36" s="84">
        <v>-7690</v>
      </c>
      <c r="N36" s="84">
        <v>-12723</v>
      </c>
      <c r="O36" s="84">
        <v>-6736</v>
      </c>
      <c r="P36" s="84">
        <v>49324</v>
      </c>
    </row>
    <row r="37" spans="1:17" ht="15" customHeight="1" x14ac:dyDescent="0.2">
      <c r="C37" s="76" t="s">
        <v>44</v>
      </c>
      <c r="D37" s="85">
        <v>17420</v>
      </c>
      <c r="E37" s="85">
        <v>7503</v>
      </c>
      <c r="F37" s="85">
        <v>-3449</v>
      </c>
      <c r="G37" s="85">
        <v>32062</v>
      </c>
      <c r="H37" s="85">
        <v>-366</v>
      </c>
      <c r="I37" s="85">
        <v>-827</v>
      </c>
      <c r="J37" s="85">
        <v>16594</v>
      </c>
      <c r="K37" s="85">
        <v>4575</v>
      </c>
      <c r="L37" s="85">
        <v>12356</v>
      </c>
      <c r="M37" s="85">
        <v>-6669</v>
      </c>
      <c r="N37" s="85">
        <v>-12185</v>
      </c>
      <c r="O37" s="85">
        <v>-4430</v>
      </c>
      <c r="P37" s="85">
        <v>62584</v>
      </c>
    </row>
    <row r="38" spans="1:17" ht="15" customHeight="1" x14ac:dyDescent="0.2">
      <c r="C38" s="76" t="s">
        <v>42</v>
      </c>
      <c r="D38" s="85">
        <v>4495</v>
      </c>
      <c r="E38" s="85">
        <v>298</v>
      </c>
      <c r="F38" s="85">
        <v>24</v>
      </c>
      <c r="G38" s="85">
        <v>32</v>
      </c>
      <c r="H38" s="85">
        <v>26</v>
      </c>
      <c r="I38" s="85">
        <v>2375</v>
      </c>
      <c r="J38" s="85">
        <v>986</v>
      </c>
      <c r="K38" s="85">
        <v>541</v>
      </c>
      <c r="L38" s="85">
        <v>618</v>
      </c>
      <c r="M38" s="85">
        <v>1021</v>
      </c>
      <c r="N38" s="85">
        <v>538</v>
      </c>
      <c r="O38" s="85">
        <v>2306</v>
      </c>
      <c r="P38" s="85">
        <v>13260</v>
      </c>
    </row>
    <row r="39" spans="1:17" ht="15" customHeight="1" x14ac:dyDescent="0.2"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</row>
    <row r="40" spans="1:17" s="88" customFormat="1" ht="15" customHeight="1" x14ac:dyDescent="0.25">
      <c r="A40" s="88" t="s">
        <v>47</v>
      </c>
      <c r="D40" s="83">
        <v>-3561</v>
      </c>
      <c r="E40" s="83">
        <v>-3648</v>
      </c>
      <c r="F40" s="83">
        <v>11284</v>
      </c>
      <c r="G40" s="83">
        <v>43809</v>
      </c>
      <c r="H40" s="83">
        <v>-5914</v>
      </c>
      <c r="I40" s="83">
        <v>-11160</v>
      </c>
      <c r="J40" s="83">
        <v>9787</v>
      </c>
      <c r="K40" s="83">
        <v>15391</v>
      </c>
      <c r="L40" s="83">
        <v>8193</v>
      </c>
      <c r="M40" s="83">
        <v>-6664</v>
      </c>
      <c r="N40" s="83">
        <v>-13292</v>
      </c>
      <c r="O40" s="83">
        <v>-13549</v>
      </c>
      <c r="P40" s="83">
        <v>30676</v>
      </c>
    </row>
    <row r="41" spans="1:17" x14ac:dyDescent="0.2">
      <c r="A41" s="89"/>
      <c r="B41" s="89"/>
      <c r="C41" s="89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</row>
    <row r="42" spans="1:17" x14ac:dyDescent="0.2"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</row>
    <row r="43" spans="1:17" x14ac:dyDescent="0.2"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</row>
    <row r="44" spans="1:17" x14ac:dyDescent="0.2">
      <c r="A44" s="86" t="s">
        <v>139</v>
      </c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</row>
    <row r="45" spans="1:17" s="86" customFormat="1" x14ac:dyDescent="0.2"/>
  </sheetData>
  <mergeCells count="1">
    <mergeCell ref="A5:C5"/>
  </mergeCells>
  <printOptions horizontalCentered="1"/>
  <pageMargins left="0" right="0" top="1.10208333333333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MJ44"/>
  <sheetViews>
    <sheetView zoomScaleNormal="100" workbookViewId="0">
      <selection activeCell="Q25" sqref="Q25"/>
    </sheetView>
  </sheetViews>
  <sheetFormatPr defaultColWidth="9.140625" defaultRowHeight="14.25" x14ac:dyDescent="0.2"/>
  <cols>
    <col min="1" max="1" width="1.42578125" style="76" customWidth="1"/>
    <col min="2" max="2" width="1.140625" style="76" customWidth="1"/>
    <col min="3" max="3" width="22.5703125" style="76" customWidth="1"/>
    <col min="4" max="4" width="8.7109375" style="76" customWidth="1"/>
    <col min="5" max="6" width="8" style="76" customWidth="1"/>
    <col min="7" max="7" width="8.7109375" style="76" customWidth="1"/>
    <col min="8" max="11" width="8" style="76" customWidth="1"/>
    <col min="12" max="12" width="8.7109375" style="76" customWidth="1"/>
    <col min="13" max="15" width="8" style="76" customWidth="1"/>
    <col min="16" max="1024" width="9.140625" style="76"/>
  </cols>
  <sheetData>
    <row r="1" spans="1:16" ht="15" x14ac:dyDescent="0.25">
      <c r="A1" s="82" t="s">
        <v>153</v>
      </c>
    </row>
    <row r="2" spans="1:16" ht="15" x14ac:dyDescent="0.25">
      <c r="A2" s="82" t="s">
        <v>156</v>
      </c>
      <c r="B2" s="82"/>
    </row>
    <row r="3" spans="1:16" x14ac:dyDescent="0.2">
      <c r="A3" s="76" t="s">
        <v>2</v>
      </c>
    </row>
    <row r="5" spans="1:16" ht="22.5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6" spans="1:16" ht="15.75" customHeight="1" x14ac:dyDescent="0.2"/>
    <row r="7" spans="1:16" s="82" customFormat="1" ht="15.75" customHeight="1" x14ac:dyDescent="0.25">
      <c r="A7" s="82" t="s">
        <v>15</v>
      </c>
      <c r="D7" s="83">
        <v>27348</v>
      </c>
      <c r="E7" s="83">
        <v>30834</v>
      </c>
      <c r="F7" s="83">
        <v>34574</v>
      </c>
      <c r="G7" s="83">
        <v>38415</v>
      </c>
      <c r="H7" s="83">
        <v>27038</v>
      </c>
      <c r="I7" s="83">
        <v>25920</v>
      </c>
      <c r="J7" s="83">
        <v>30762</v>
      </c>
      <c r="K7" s="83">
        <v>30354</v>
      </c>
      <c r="L7" s="83">
        <v>25758</v>
      </c>
      <c r="M7" s="83">
        <v>31494</v>
      </c>
      <c r="N7" s="83">
        <v>27853</v>
      </c>
      <c r="O7" s="83">
        <v>30870</v>
      </c>
      <c r="P7" s="83">
        <v>361220</v>
      </c>
    </row>
    <row r="8" spans="1:16" ht="15.75" customHeight="1" x14ac:dyDescent="0.2">
      <c r="B8" s="76" t="s">
        <v>16</v>
      </c>
      <c r="D8" s="84">
        <v>25252</v>
      </c>
      <c r="E8" s="84">
        <v>18982</v>
      </c>
      <c r="F8" s="84">
        <v>21030</v>
      </c>
      <c r="G8" s="84">
        <v>36033</v>
      </c>
      <c r="H8" s="84">
        <v>25508</v>
      </c>
      <c r="I8" s="84">
        <v>23427</v>
      </c>
      <c r="J8" s="84">
        <v>28931</v>
      </c>
      <c r="K8" s="84">
        <v>27073</v>
      </c>
      <c r="L8" s="84">
        <v>22035</v>
      </c>
      <c r="M8" s="84">
        <v>29491</v>
      </c>
      <c r="N8" s="84">
        <v>26915</v>
      </c>
      <c r="O8" s="84">
        <v>25840</v>
      </c>
      <c r="P8" s="84">
        <v>310517</v>
      </c>
    </row>
    <row r="9" spans="1:16" ht="15.75" customHeight="1" x14ac:dyDescent="0.2">
      <c r="C9" s="76" t="s">
        <v>17</v>
      </c>
      <c r="D9" s="85">
        <v>18240</v>
      </c>
      <c r="E9" s="85">
        <v>11835</v>
      </c>
      <c r="F9" s="85">
        <v>12402</v>
      </c>
      <c r="G9" s="85">
        <v>29046</v>
      </c>
      <c r="H9" s="85">
        <v>17880</v>
      </c>
      <c r="I9" s="85">
        <v>14165</v>
      </c>
      <c r="J9" s="85">
        <v>20065</v>
      </c>
      <c r="K9" s="85">
        <v>19467</v>
      </c>
      <c r="L9" s="85">
        <v>12248</v>
      </c>
      <c r="M9" s="85">
        <v>19701</v>
      </c>
      <c r="N9" s="85">
        <v>18804</v>
      </c>
      <c r="O9" s="85">
        <v>16342</v>
      </c>
      <c r="P9" s="85">
        <v>210195</v>
      </c>
    </row>
    <row r="10" spans="1:16" ht="15.75" customHeight="1" x14ac:dyDescent="0.2">
      <c r="C10" s="76" t="s">
        <v>21</v>
      </c>
      <c r="D10" s="85">
        <v>6812</v>
      </c>
      <c r="E10" s="85">
        <v>6893</v>
      </c>
      <c r="F10" s="85">
        <v>8350</v>
      </c>
      <c r="G10" s="85">
        <v>6778</v>
      </c>
      <c r="H10" s="85">
        <v>7505</v>
      </c>
      <c r="I10" s="85">
        <v>9007</v>
      </c>
      <c r="J10" s="85">
        <v>8620</v>
      </c>
      <c r="K10" s="85">
        <v>7335</v>
      </c>
      <c r="L10" s="85">
        <v>9544</v>
      </c>
      <c r="M10" s="85">
        <v>9481</v>
      </c>
      <c r="N10" s="85">
        <v>7912</v>
      </c>
      <c r="O10" s="85">
        <v>9364</v>
      </c>
      <c r="P10" s="85">
        <v>97601</v>
      </c>
    </row>
    <row r="11" spans="1:16" ht="15.75" customHeight="1" x14ac:dyDescent="0.2">
      <c r="C11" s="76" t="s">
        <v>88</v>
      </c>
      <c r="D11" s="85">
        <v>200</v>
      </c>
      <c r="E11" s="85">
        <v>254</v>
      </c>
      <c r="F11" s="85">
        <v>278</v>
      </c>
      <c r="G11" s="85">
        <v>209</v>
      </c>
      <c r="H11" s="85">
        <v>123</v>
      </c>
      <c r="I11" s="85">
        <v>255</v>
      </c>
      <c r="J11" s="85">
        <v>246</v>
      </c>
      <c r="K11" s="85">
        <v>271</v>
      </c>
      <c r="L11" s="85">
        <v>243</v>
      </c>
      <c r="M11" s="85">
        <v>309</v>
      </c>
      <c r="N11" s="85">
        <v>199</v>
      </c>
      <c r="O11" s="85">
        <v>134</v>
      </c>
      <c r="P11" s="85">
        <v>2721</v>
      </c>
    </row>
    <row r="12" spans="1:16" ht="15.75" customHeight="1" x14ac:dyDescent="0.2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1:16" ht="15.75" customHeight="1" x14ac:dyDescent="0.2">
      <c r="B13" s="76" t="s">
        <v>23</v>
      </c>
      <c r="D13" s="84">
        <v>2094</v>
      </c>
      <c r="E13" s="84">
        <v>11843</v>
      </c>
      <c r="F13" s="84">
        <v>13486</v>
      </c>
      <c r="G13" s="84">
        <v>2051</v>
      </c>
      <c r="H13" s="84">
        <v>1233</v>
      </c>
      <c r="I13" s="84">
        <v>2469</v>
      </c>
      <c r="J13" s="84">
        <v>1812</v>
      </c>
      <c r="K13" s="84">
        <v>3281</v>
      </c>
      <c r="L13" s="84">
        <v>3572</v>
      </c>
      <c r="M13" s="84">
        <v>2002</v>
      </c>
      <c r="N13" s="84">
        <v>935</v>
      </c>
      <c r="O13" s="84">
        <v>4937</v>
      </c>
      <c r="P13" s="84">
        <v>49715</v>
      </c>
    </row>
    <row r="14" spans="1:16" ht="15.75" customHeight="1" x14ac:dyDescent="0.2">
      <c r="C14" s="76" t="s">
        <v>24</v>
      </c>
      <c r="D14" s="85">
        <v>1336</v>
      </c>
      <c r="E14" s="85">
        <v>714</v>
      </c>
      <c r="F14" s="85">
        <v>2758</v>
      </c>
      <c r="G14" s="85">
        <v>1348</v>
      </c>
      <c r="H14" s="85">
        <v>643</v>
      </c>
      <c r="I14" s="85">
        <v>1111</v>
      </c>
      <c r="J14" s="85">
        <v>1131</v>
      </c>
      <c r="K14" s="85">
        <v>1629</v>
      </c>
      <c r="L14" s="85">
        <v>1631</v>
      </c>
      <c r="M14" s="85">
        <v>956</v>
      </c>
      <c r="N14" s="85">
        <v>261</v>
      </c>
      <c r="O14" s="85">
        <v>2367</v>
      </c>
      <c r="P14" s="85">
        <v>15885</v>
      </c>
    </row>
    <row r="15" spans="1:16" ht="15.75" customHeight="1" x14ac:dyDescent="0.2">
      <c r="C15" s="76" t="s">
        <v>150</v>
      </c>
      <c r="D15" s="85">
        <v>733</v>
      </c>
      <c r="E15" s="85">
        <v>1206</v>
      </c>
      <c r="F15" s="85">
        <v>711</v>
      </c>
      <c r="G15" s="85">
        <v>404</v>
      </c>
      <c r="H15" s="85">
        <v>555</v>
      </c>
      <c r="I15" s="85">
        <v>861</v>
      </c>
      <c r="J15" s="85">
        <v>615</v>
      </c>
      <c r="K15" s="85">
        <v>1634</v>
      </c>
      <c r="L15" s="85">
        <v>1937</v>
      </c>
      <c r="M15" s="85">
        <v>978</v>
      </c>
      <c r="N15" s="85">
        <v>669</v>
      </c>
      <c r="O15" s="85">
        <v>698</v>
      </c>
      <c r="P15" s="85">
        <v>11001</v>
      </c>
    </row>
    <row r="16" spans="1:16" ht="15.75" customHeight="1" x14ac:dyDescent="0.2">
      <c r="C16" s="76" t="s">
        <v>26</v>
      </c>
      <c r="D16" s="85">
        <v>25</v>
      </c>
      <c r="E16" s="85">
        <v>9923</v>
      </c>
      <c r="F16" s="85">
        <v>10017</v>
      </c>
      <c r="G16" s="85">
        <v>299</v>
      </c>
      <c r="H16" s="85">
        <v>35</v>
      </c>
      <c r="I16" s="85">
        <v>497</v>
      </c>
      <c r="J16" s="85">
        <v>66</v>
      </c>
      <c r="K16" s="85">
        <v>18</v>
      </c>
      <c r="L16" s="85">
        <v>4</v>
      </c>
      <c r="M16" s="85">
        <v>68</v>
      </c>
      <c r="N16" s="85">
        <v>5</v>
      </c>
      <c r="O16" s="85">
        <v>1872</v>
      </c>
      <c r="P16" s="85">
        <v>22829</v>
      </c>
    </row>
    <row r="17" spans="1:18" ht="15.75" customHeight="1" x14ac:dyDescent="0.2"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1:18" ht="15.75" customHeight="1" x14ac:dyDescent="0.2">
      <c r="B18" s="76" t="s">
        <v>29</v>
      </c>
      <c r="D18" s="85">
        <v>2</v>
      </c>
      <c r="E18" s="85">
        <v>9</v>
      </c>
      <c r="F18" s="85">
        <v>58</v>
      </c>
      <c r="G18" s="85">
        <v>331</v>
      </c>
      <c r="H18" s="85">
        <v>297</v>
      </c>
      <c r="I18" s="85">
        <v>24</v>
      </c>
      <c r="J18" s="85">
        <v>19</v>
      </c>
      <c r="K18" s="85">
        <v>0</v>
      </c>
      <c r="L18" s="85">
        <v>151</v>
      </c>
      <c r="M18" s="85">
        <v>1</v>
      </c>
      <c r="N18" s="85">
        <v>3</v>
      </c>
      <c r="O18" s="85">
        <v>93</v>
      </c>
      <c r="P18" s="85">
        <v>988</v>
      </c>
    </row>
    <row r="19" spans="1:18" ht="15.75" customHeight="1" x14ac:dyDescent="0.25">
      <c r="Q19" s="82"/>
      <c r="R19" s="82"/>
    </row>
    <row r="20" spans="1:18" s="82" customFormat="1" ht="15.75" customHeight="1" x14ac:dyDescent="0.25">
      <c r="A20" s="82" t="s">
        <v>30</v>
      </c>
      <c r="D20" s="83">
        <v>28501</v>
      </c>
      <c r="E20" s="83">
        <v>25313</v>
      </c>
      <c r="F20" s="83">
        <v>33473</v>
      </c>
      <c r="G20" s="83">
        <v>27134</v>
      </c>
      <c r="H20" s="83">
        <v>32952</v>
      </c>
      <c r="I20" s="83">
        <v>27286</v>
      </c>
      <c r="J20" s="83">
        <v>33616</v>
      </c>
      <c r="K20" s="83">
        <v>30717</v>
      </c>
      <c r="L20" s="83">
        <v>24077</v>
      </c>
      <c r="M20" s="83">
        <v>29363</v>
      </c>
      <c r="N20" s="83">
        <v>27522</v>
      </c>
      <c r="O20" s="83">
        <v>30192</v>
      </c>
      <c r="P20" s="83">
        <v>350146</v>
      </c>
    </row>
    <row r="21" spans="1:18" ht="15.75" customHeight="1" x14ac:dyDescent="0.2">
      <c r="B21" s="76" t="s">
        <v>18</v>
      </c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</row>
    <row r="22" spans="1:18" ht="15.75" customHeight="1" x14ac:dyDescent="0.2">
      <c r="C22" s="76" t="s">
        <v>31</v>
      </c>
      <c r="D22" s="85">
        <v>3581</v>
      </c>
      <c r="E22" s="85">
        <v>3769</v>
      </c>
      <c r="F22" s="85">
        <v>6067</v>
      </c>
      <c r="G22" s="85">
        <v>4244</v>
      </c>
      <c r="H22" s="85">
        <v>5506</v>
      </c>
      <c r="I22" s="85">
        <v>3521</v>
      </c>
      <c r="J22" s="85">
        <v>4355</v>
      </c>
      <c r="K22" s="85">
        <v>4722</v>
      </c>
      <c r="L22" s="85">
        <v>4340</v>
      </c>
      <c r="M22" s="85">
        <v>4359</v>
      </c>
      <c r="N22" s="85">
        <v>4359</v>
      </c>
      <c r="O22" s="85">
        <v>4359</v>
      </c>
      <c r="P22" s="85">
        <v>53182</v>
      </c>
    </row>
    <row r="23" spans="1:18" ht="15.75" customHeight="1" x14ac:dyDescent="0.2">
      <c r="C23" s="76" t="s">
        <v>32</v>
      </c>
      <c r="D23" s="85">
        <v>5087</v>
      </c>
      <c r="E23" s="85">
        <v>4290</v>
      </c>
      <c r="F23" s="85">
        <v>6118</v>
      </c>
      <c r="G23" s="85">
        <v>5670</v>
      </c>
      <c r="H23" s="85">
        <v>9316</v>
      </c>
      <c r="I23" s="85">
        <v>6809</v>
      </c>
      <c r="J23" s="85">
        <v>6479</v>
      </c>
      <c r="K23" s="85">
        <v>5675</v>
      </c>
      <c r="L23" s="85">
        <v>5272</v>
      </c>
      <c r="M23" s="85">
        <v>5777</v>
      </c>
      <c r="N23" s="85">
        <v>6900</v>
      </c>
      <c r="O23" s="85">
        <v>5265</v>
      </c>
      <c r="P23" s="85">
        <v>72658</v>
      </c>
    </row>
    <row r="24" spans="1:18" ht="15.75" customHeight="1" x14ac:dyDescent="0.2">
      <c r="C24" s="76" t="s">
        <v>78</v>
      </c>
      <c r="D24" s="85">
        <v>704</v>
      </c>
      <c r="E24" s="85">
        <v>183</v>
      </c>
      <c r="F24" s="85">
        <v>226</v>
      </c>
      <c r="G24" s="85">
        <v>71</v>
      </c>
      <c r="H24" s="85">
        <v>506</v>
      </c>
      <c r="I24" s="85">
        <v>496</v>
      </c>
      <c r="J24" s="85">
        <v>172</v>
      </c>
      <c r="K24" s="85">
        <v>374</v>
      </c>
      <c r="L24" s="85">
        <v>176</v>
      </c>
      <c r="M24" s="85">
        <v>131</v>
      </c>
      <c r="N24" s="85">
        <v>310</v>
      </c>
      <c r="O24" s="85">
        <v>231</v>
      </c>
      <c r="P24" s="85">
        <v>3580</v>
      </c>
    </row>
    <row r="25" spans="1:18" ht="15.75" customHeight="1" x14ac:dyDescent="0.2">
      <c r="C25" s="76" t="s">
        <v>33</v>
      </c>
      <c r="D25" s="85">
        <v>0</v>
      </c>
      <c r="E25" s="85">
        <v>43</v>
      </c>
      <c r="F25" s="85">
        <v>27</v>
      </c>
      <c r="G25" s="85">
        <v>53</v>
      </c>
      <c r="H25" s="85">
        <v>596</v>
      </c>
      <c r="I25" s="85">
        <v>61</v>
      </c>
      <c r="J25" s="85">
        <v>31</v>
      </c>
      <c r="K25" s="85">
        <v>273</v>
      </c>
      <c r="L25" s="85">
        <v>448</v>
      </c>
      <c r="M25" s="85">
        <v>391</v>
      </c>
      <c r="N25" s="85">
        <v>29</v>
      </c>
      <c r="O25" s="85">
        <v>1657</v>
      </c>
      <c r="P25" s="85">
        <v>3609</v>
      </c>
    </row>
    <row r="26" spans="1:18" ht="15.75" customHeight="1" x14ac:dyDescent="0.2">
      <c r="C26" s="76" t="s">
        <v>35</v>
      </c>
      <c r="D26" s="85">
        <v>1</v>
      </c>
      <c r="E26" s="85">
        <v>2</v>
      </c>
      <c r="F26" s="85">
        <v>3000</v>
      </c>
      <c r="G26" s="85">
        <v>0</v>
      </c>
      <c r="H26" s="85">
        <v>0</v>
      </c>
      <c r="I26" s="85">
        <v>128</v>
      </c>
      <c r="J26" s="85">
        <v>496</v>
      </c>
      <c r="K26" s="85">
        <v>447</v>
      </c>
      <c r="L26" s="85">
        <v>0</v>
      </c>
      <c r="M26" s="85">
        <v>20</v>
      </c>
      <c r="N26" s="85">
        <v>0</v>
      </c>
      <c r="O26" s="85">
        <v>506</v>
      </c>
      <c r="P26" s="85">
        <v>4600</v>
      </c>
    </row>
    <row r="27" spans="1:18" ht="15.75" customHeight="1" x14ac:dyDescent="0.2">
      <c r="C27" s="76" t="s">
        <v>79</v>
      </c>
      <c r="D27" s="85">
        <v>197</v>
      </c>
      <c r="E27" s="85">
        <v>71</v>
      </c>
      <c r="F27" s="85">
        <v>1025</v>
      </c>
      <c r="G27" s="85">
        <v>266</v>
      </c>
      <c r="H27" s="85">
        <v>426</v>
      </c>
      <c r="I27" s="85">
        <v>-254</v>
      </c>
      <c r="J27" s="85">
        <v>251</v>
      </c>
      <c r="K27" s="85">
        <v>-235</v>
      </c>
      <c r="L27" s="85">
        <v>157</v>
      </c>
      <c r="M27" s="85">
        <v>476</v>
      </c>
      <c r="N27" s="85">
        <v>1042</v>
      </c>
      <c r="O27" s="85">
        <v>398</v>
      </c>
      <c r="P27" s="85">
        <v>3820</v>
      </c>
    </row>
    <row r="28" spans="1:18" ht="15.75" customHeight="1" x14ac:dyDescent="0.2"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</row>
    <row r="29" spans="1:18" s="82" customFormat="1" ht="15.75" customHeight="1" x14ac:dyDescent="0.25">
      <c r="A29" s="82" t="s">
        <v>137</v>
      </c>
      <c r="D29" s="88">
        <v>-1153</v>
      </c>
      <c r="E29" s="88">
        <v>5521</v>
      </c>
      <c r="F29" s="88">
        <v>1101</v>
      </c>
      <c r="G29" s="88">
        <v>11281</v>
      </c>
      <c r="H29" s="88">
        <v>-5914</v>
      </c>
      <c r="I29" s="88">
        <v>-1366</v>
      </c>
      <c r="J29" s="88">
        <v>-2854</v>
      </c>
      <c r="K29" s="88">
        <v>-363</v>
      </c>
      <c r="L29" s="88">
        <v>1681</v>
      </c>
      <c r="M29" s="88">
        <v>2131</v>
      </c>
      <c r="N29" s="88">
        <v>331</v>
      </c>
      <c r="O29" s="88">
        <v>678</v>
      </c>
      <c r="P29" s="88">
        <v>11074</v>
      </c>
    </row>
    <row r="30" spans="1:18" ht="15.75" customHeight="1" x14ac:dyDescent="0.2"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</row>
    <row r="31" spans="1:18" s="82" customFormat="1" ht="15.75" customHeight="1" x14ac:dyDescent="0.25">
      <c r="A31" s="82" t="s">
        <v>39</v>
      </c>
      <c r="D31" s="83">
        <v>-17234</v>
      </c>
      <c r="E31" s="83">
        <v>-4432</v>
      </c>
      <c r="F31" s="83">
        <v>14008</v>
      </c>
      <c r="G31" s="83">
        <v>-13985</v>
      </c>
      <c r="H31" s="83">
        <v>3368</v>
      </c>
      <c r="I31" s="83">
        <v>11695</v>
      </c>
      <c r="J31" s="83">
        <v>19842</v>
      </c>
      <c r="K31" s="83">
        <v>12413</v>
      </c>
      <c r="L31" s="83">
        <v>-11684</v>
      </c>
      <c r="M31" s="83">
        <v>3155</v>
      </c>
      <c r="N31" s="83">
        <v>-3264</v>
      </c>
      <c r="O31" s="83">
        <v>-2913</v>
      </c>
      <c r="P31" s="83">
        <v>10969</v>
      </c>
    </row>
    <row r="32" spans="1:18" ht="15.75" customHeight="1" x14ac:dyDescent="0.2">
      <c r="B32" s="76" t="s">
        <v>40</v>
      </c>
      <c r="D32" s="84">
        <v>-420</v>
      </c>
      <c r="E32" s="84">
        <v>-398</v>
      </c>
      <c r="F32" s="84">
        <v>-3001</v>
      </c>
      <c r="G32" s="84">
        <v>-252</v>
      </c>
      <c r="H32" s="84">
        <v>-1511</v>
      </c>
      <c r="I32" s="84">
        <v>-675</v>
      </c>
      <c r="J32" s="84">
        <v>-62</v>
      </c>
      <c r="K32" s="84">
        <v>615</v>
      </c>
      <c r="L32" s="84">
        <v>-1867</v>
      </c>
      <c r="M32" s="84">
        <v>-1069</v>
      </c>
      <c r="N32" s="84">
        <v>-2198</v>
      </c>
      <c r="O32" s="84">
        <v>-2508</v>
      </c>
      <c r="P32" s="84">
        <v>-13346</v>
      </c>
    </row>
    <row r="33" spans="1:17" ht="15.75" customHeight="1" x14ac:dyDescent="0.2">
      <c r="C33" s="76" t="s">
        <v>41</v>
      </c>
      <c r="D33" s="85">
        <v>372</v>
      </c>
      <c r="E33" s="85">
        <v>315</v>
      </c>
      <c r="F33" s="85">
        <v>1710</v>
      </c>
      <c r="G33" s="85">
        <v>3676</v>
      </c>
      <c r="H33" s="85">
        <v>1868</v>
      </c>
      <c r="I33" s="85">
        <v>2341</v>
      </c>
      <c r="J33" s="85">
        <v>908</v>
      </c>
      <c r="K33" s="85">
        <v>1534</v>
      </c>
      <c r="L33" s="85">
        <v>1253</v>
      </c>
      <c r="M33" s="85">
        <v>1450</v>
      </c>
      <c r="N33" s="85">
        <v>639</v>
      </c>
      <c r="O33" s="85">
        <v>767</v>
      </c>
      <c r="P33" s="85">
        <v>16833</v>
      </c>
    </row>
    <row r="34" spans="1:17" ht="15.75" customHeight="1" x14ac:dyDescent="0.2">
      <c r="C34" s="76" t="s">
        <v>42</v>
      </c>
      <c r="D34" s="85">
        <v>792</v>
      </c>
      <c r="E34" s="85">
        <v>713</v>
      </c>
      <c r="F34" s="85">
        <v>4711</v>
      </c>
      <c r="G34" s="85">
        <v>3928</v>
      </c>
      <c r="H34" s="85">
        <v>3379</v>
      </c>
      <c r="I34" s="85">
        <v>3016</v>
      </c>
      <c r="J34" s="85">
        <v>970</v>
      </c>
      <c r="K34" s="85">
        <v>919</v>
      </c>
      <c r="L34" s="85">
        <v>3120</v>
      </c>
      <c r="M34" s="85">
        <v>2519</v>
      </c>
      <c r="N34" s="85">
        <v>2837</v>
      </c>
      <c r="O34" s="85">
        <v>3275</v>
      </c>
      <c r="P34" s="85">
        <v>30179</v>
      </c>
    </row>
    <row r="35" spans="1:17" ht="15.75" customHeight="1" x14ac:dyDescent="0.2"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</row>
    <row r="36" spans="1:17" ht="15.75" customHeight="1" x14ac:dyDescent="0.2">
      <c r="B36" s="76" t="s">
        <v>43</v>
      </c>
      <c r="D36" s="84">
        <v>-16814</v>
      </c>
      <c r="E36" s="84">
        <v>-4034</v>
      </c>
      <c r="F36" s="84">
        <v>17009</v>
      </c>
      <c r="G36" s="84">
        <v>-13733</v>
      </c>
      <c r="H36" s="84">
        <v>4879</v>
      </c>
      <c r="I36" s="84">
        <v>12370</v>
      </c>
      <c r="J36" s="84">
        <v>19904</v>
      </c>
      <c r="K36" s="84">
        <v>11798</v>
      </c>
      <c r="L36" s="84">
        <v>-9817</v>
      </c>
      <c r="M36" s="84">
        <v>4224</v>
      </c>
      <c r="N36" s="84">
        <v>-1066</v>
      </c>
      <c r="O36" s="84">
        <v>-405</v>
      </c>
      <c r="P36" s="84">
        <v>24315</v>
      </c>
    </row>
    <row r="37" spans="1:17" ht="15.75" customHeight="1" x14ac:dyDescent="0.2">
      <c r="C37" s="76" t="s">
        <v>44</v>
      </c>
      <c r="D37" s="85">
        <v>-11207</v>
      </c>
      <c r="E37" s="85">
        <v>-3736</v>
      </c>
      <c r="F37" s="85">
        <v>17031</v>
      </c>
      <c r="G37" s="85">
        <v>-13687</v>
      </c>
      <c r="H37" s="85">
        <v>4905</v>
      </c>
      <c r="I37" s="85">
        <v>13878</v>
      </c>
      <c r="J37" s="85">
        <v>19906</v>
      </c>
      <c r="K37" s="85">
        <v>11828</v>
      </c>
      <c r="L37" s="85">
        <v>-9675</v>
      </c>
      <c r="M37" s="85">
        <v>5871</v>
      </c>
      <c r="N37" s="85">
        <v>-942</v>
      </c>
      <c r="O37" s="85">
        <v>24481</v>
      </c>
      <c r="P37" s="85">
        <v>58653</v>
      </c>
    </row>
    <row r="38" spans="1:17" ht="15.75" customHeight="1" x14ac:dyDescent="0.2">
      <c r="C38" s="76" t="s">
        <v>42</v>
      </c>
      <c r="D38" s="85">
        <v>5607</v>
      </c>
      <c r="E38" s="85">
        <v>298</v>
      </c>
      <c r="F38" s="85">
        <v>22</v>
      </c>
      <c r="G38" s="85">
        <v>46</v>
      </c>
      <c r="H38" s="85">
        <v>26</v>
      </c>
      <c r="I38" s="85">
        <v>1508</v>
      </c>
      <c r="J38" s="85">
        <v>2</v>
      </c>
      <c r="K38" s="85">
        <v>30</v>
      </c>
      <c r="L38" s="85">
        <v>142</v>
      </c>
      <c r="M38" s="85">
        <v>1647</v>
      </c>
      <c r="N38" s="85">
        <v>124</v>
      </c>
      <c r="O38" s="85">
        <v>24886</v>
      </c>
      <c r="P38" s="85">
        <v>34338</v>
      </c>
    </row>
    <row r="39" spans="1:17" ht="15.75" customHeight="1" x14ac:dyDescent="0.2">
      <c r="D39" s="85" t="s">
        <v>58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</row>
    <row r="40" spans="1:17" s="82" customFormat="1" ht="15.75" customHeight="1" x14ac:dyDescent="0.25">
      <c r="A40" s="82" t="s">
        <v>157</v>
      </c>
      <c r="D40" s="83">
        <v>-20281</v>
      </c>
      <c r="E40" s="83">
        <v>334</v>
      </c>
      <c r="F40" s="83">
        <v>-1798</v>
      </c>
      <c r="G40" s="83">
        <v>-2306</v>
      </c>
      <c r="H40" s="83">
        <v>-4390</v>
      </c>
      <c r="I40" s="83">
        <v>6845</v>
      </c>
      <c r="J40" s="83">
        <v>14709</v>
      </c>
      <c r="K40" s="83">
        <v>5391</v>
      </c>
      <c r="L40" s="83">
        <v>-12390</v>
      </c>
      <c r="M40" s="83">
        <v>3648</v>
      </c>
      <c r="N40" s="83">
        <v>24</v>
      </c>
      <c r="O40" s="83">
        <v>-7018</v>
      </c>
      <c r="P40" s="83">
        <v>-17232</v>
      </c>
      <c r="Q40" s="88"/>
    </row>
    <row r="41" spans="1:17" ht="15.75" customHeight="1" x14ac:dyDescent="0.2">
      <c r="A41" s="89"/>
      <c r="B41" s="89"/>
      <c r="C41" s="89"/>
      <c r="D41" s="123" t="s">
        <v>58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</row>
    <row r="44" spans="1:17" x14ac:dyDescent="0.2">
      <c r="A44" s="86" t="s">
        <v>139</v>
      </c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TREASUR&amp;"Arial,Regular"Y
&amp;"Arial,Italic"Statistical Data Analysis Division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MJ44"/>
  <sheetViews>
    <sheetView zoomScaleNormal="100" workbookViewId="0">
      <selection activeCell="J30" sqref="J30"/>
    </sheetView>
  </sheetViews>
  <sheetFormatPr defaultColWidth="9.140625" defaultRowHeight="14.25" x14ac:dyDescent="0.2"/>
  <cols>
    <col min="1" max="2" width="1.28515625" style="76" customWidth="1"/>
    <col min="3" max="3" width="22.5703125" style="76" customWidth="1"/>
    <col min="4" max="7" width="8" style="76" customWidth="1"/>
    <col min="8" max="8" width="8.7109375" style="76" customWidth="1"/>
    <col min="9" max="12" width="8" style="76" customWidth="1"/>
    <col min="13" max="15" width="8.7109375" style="76" customWidth="1"/>
    <col min="16" max="1024" width="9.140625" style="76"/>
  </cols>
  <sheetData>
    <row r="1" spans="1:17" ht="15" x14ac:dyDescent="0.25">
      <c r="A1" s="82" t="s">
        <v>153</v>
      </c>
    </row>
    <row r="2" spans="1:17" ht="15" x14ac:dyDescent="0.25">
      <c r="A2" s="82" t="s">
        <v>158</v>
      </c>
      <c r="B2" s="82"/>
    </row>
    <row r="3" spans="1:17" x14ac:dyDescent="0.2">
      <c r="A3" s="76" t="s">
        <v>2</v>
      </c>
    </row>
    <row r="5" spans="1:17" ht="22.5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7" spans="1:17" s="82" customFormat="1" ht="15" customHeight="1" x14ac:dyDescent="0.25">
      <c r="A7" s="82" t="s">
        <v>15</v>
      </c>
      <c r="D7" s="83">
        <v>26889</v>
      </c>
      <c r="E7" s="83">
        <v>18770</v>
      </c>
      <c r="F7" s="83">
        <v>32472</v>
      </c>
      <c r="G7" s="83">
        <v>37323</v>
      </c>
      <c r="H7" s="83">
        <v>25342</v>
      </c>
      <c r="I7" s="83">
        <v>22141</v>
      </c>
      <c r="J7" s="83">
        <v>25102</v>
      </c>
      <c r="K7" s="83">
        <v>26403</v>
      </c>
      <c r="L7" s="83">
        <v>23929</v>
      </c>
      <c r="M7" s="83">
        <v>33541</v>
      </c>
      <c r="N7" s="83">
        <v>39552</v>
      </c>
      <c r="O7" s="83">
        <v>24696</v>
      </c>
      <c r="P7" s="83">
        <v>336160</v>
      </c>
      <c r="Q7" s="88"/>
    </row>
    <row r="8" spans="1:17" ht="15" customHeight="1" x14ac:dyDescent="0.25">
      <c r="B8" s="76" t="s">
        <v>16</v>
      </c>
      <c r="D8" s="84">
        <v>24549</v>
      </c>
      <c r="E8" s="84">
        <v>14698</v>
      </c>
      <c r="F8" s="84">
        <v>21711</v>
      </c>
      <c r="G8" s="84">
        <v>33029</v>
      </c>
      <c r="H8" s="84">
        <v>21041</v>
      </c>
      <c r="I8" s="84">
        <v>19243</v>
      </c>
      <c r="J8" s="84">
        <v>22541</v>
      </c>
      <c r="K8" s="84">
        <v>22378</v>
      </c>
      <c r="L8" s="84">
        <v>17157</v>
      </c>
      <c r="M8" s="84">
        <v>26392</v>
      </c>
      <c r="N8" s="84">
        <v>26404</v>
      </c>
      <c r="O8" s="84">
        <v>22161</v>
      </c>
      <c r="P8" s="84">
        <v>271304</v>
      </c>
      <c r="Q8" s="88"/>
    </row>
    <row r="9" spans="1:17" ht="15" customHeight="1" x14ac:dyDescent="0.25">
      <c r="C9" s="76" t="s">
        <v>17</v>
      </c>
      <c r="D9" s="85">
        <v>17585</v>
      </c>
      <c r="E9" s="85">
        <v>9349</v>
      </c>
      <c r="F9" s="85">
        <v>13698</v>
      </c>
      <c r="G9" s="85">
        <v>25599</v>
      </c>
      <c r="H9" s="85">
        <v>15144</v>
      </c>
      <c r="I9" s="85">
        <v>11905</v>
      </c>
      <c r="J9" s="85">
        <v>17356</v>
      </c>
      <c r="K9" s="85">
        <v>16317</v>
      </c>
      <c r="L9" s="85">
        <v>11735</v>
      </c>
      <c r="M9" s="85">
        <v>18164</v>
      </c>
      <c r="N9" s="85">
        <v>17224</v>
      </c>
      <c r="O9" s="85">
        <v>13369</v>
      </c>
      <c r="P9" s="85">
        <v>187445</v>
      </c>
      <c r="Q9" s="88"/>
    </row>
    <row r="10" spans="1:17" ht="15" customHeight="1" x14ac:dyDescent="0.25">
      <c r="C10" s="76" t="s">
        <v>21</v>
      </c>
      <c r="D10" s="85">
        <v>6823</v>
      </c>
      <c r="E10" s="85">
        <v>5217</v>
      </c>
      <c r="F10" s="85">
        <v>7745</v>
      </c>
      <c r="G10" s="85">
        <v>7231</v>
      </c>
      <c r="H10" s="85">
        <v>5701</v>
      </c>
      <c r="I10" s="85">
        <v>7159</v>
      </c>
      <c r="J10" s="85">
        <v>5016</v>
      </c>
      <c r="K10" s="85">
        <v>5758</v>
      </c>
      <c r="L10" s="85">
        <v>5231</v>
      </c>
      <c r="M10" s="85">
        <v>8019</v>
      </c>
      <c r="N10" s="85">
        <v>9037</v>
      </c>
      <c r="O10" s="85">
        <v>8673</v>
      </c>
      <c r="P10" s="85">
        <v>81610</v>
      </c>
      <c r="Q10" s="88"/>
    </row>
    <row r="11" spans="1:17" ht="15" customHeight="1" x14ac:dyDescent="0.25">
      <c r="C11" s="76" t="s">
        <v>88</v>
      </c>
      <c r="D11" s="85">
        <v>141</v>
      </c>
      <c r="E11" s="85">
        <v>132</v>
      </c>
      <c r="F11" s="85">
        <v>268</v>
      </c>
      <c r="G11" s="85">
        <v>199</v>
      </c>
      <c r="H11" s="85">
        <v>196</v>
      </c>
      <c r="I11" s="85">
        <v>179</v>
      </c>
      <c r="J11" s="85">
        <v>169</v>
      </c>
      <c r="K11" s="85">
        <v>303</v>
      </c>
      <c r="L11" s="85">
        <v>191</v>
      </c>
      <c r="M11" s="85">
        <v>209</v>
      </c>
      <c r="N11" s="85">
        <v>143</v>
      </c>
      <c r="O11" s="85">
        <v>119</v>
      </c>
      <c r="P11" s="85">
        <v>2249</v>
      </c>
      <c r="Q11" s="88"/>
    </row>
    <row r="12" spans="1:17" ht="15" customHeight="1" x14ac:dyDescent="0.25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8"/>
    </row>
    <row r="13" spans="1:17" ht="15" customHeight="1" x14ac:dyDescent="0.25">
      <c r="B13" s="76" t="s">
        <v>23</v>
      </c>
      <c r="D13" s="84">
        <v>2337</v>
      </c>
      <c r="E13" s="84">
        <v>4066</v>
      </c>
      <c r="F13" s="84">
        <v>10752</v>
      </c>
      <c r="G13" s="84">
        <v>4293</v>
      </c>
      <c r="H13" s="84">
        <v>4296</v>
      </c>
      <c r="I13" s="84">
        <v>2892</v>
      </c>
      <c r="J13" s="84">
        <v>2569</v>
      </c>
      <c r="K13" s="84">
        <v>4011</v>
      </c>
      <c r="L13" s="84">
        <v>6767</v>
      </c>
      <c r="M13" s="84">
        <v>7148</v>
      </c>
      <c r="N13" s="84">
        <v>12544</v>
      </c>
      <c r="O13" s="84">
        <v>2448</v>
      </c>
      <c r="P13" s="84">
        <v>64123</v>
      </c>
      <c r="Q13" s="88"/>
    </row>
    <row r="14" spans="1:17" ht="15" customHeight="1" x14ac:dyDescent="0.25">
      <c r="C14" s="76" t="s">
        <v>24</v>
      </c>
      <c r="D14" s="85">
        <v>1652</v>
      </c>
      <c r="E14" s="85">
        <v>1029</v>
      </c>
      <c r="F14" s="85">
        <v>1796</v>
      </c>
      <c r="G14" s="85">
        <v>2422</v>
      </c>
      <c r="H14" s="85">
        <v>2863</v>
      </c>
      <c r="I14" s="85">
        <v>1364</v>
      </c>
      <c r="J14" s="85">
        <v>1702</v>
      </c>
      <c r="K14" s="85">
        <v>2583</v>
      </c>
      <c r="L14" s="85">
        <v>1034</v>
      </c>
      <c r="M14" s="85">
        <v>2623</v>
      </c>
      <c r="N14" s="85">
        <v>1149</v>
      </c>
      <c r="O14" s="85">
        <v>1278</v>
      </c>
      <c r="P14" s="85">
        <v>21495</v>
      </c>
      <c r="Q14" s="88"/>
    </row>
    <row r="15" spans="1:17" ht="15" customHeight="1" x14ac:dyDescent="0.25">
      <c r="C15" s="76" t="s">
        <v>150</v>
      </c>
      <c r="D15" s="85">
        <v>508</v>
      </c>
      <c r="E15" s="85">
        <v>888</v>
      </c>
      <c r="F15" s="85">
        <v>1051</v>
      </c>
      <c r="G15" s="85">
        <v>1555</v>
      </c>
      <c r="H15" s="85">
        <v>1424</v>
      </c>
      <c r="I15" s="85">
        <v>1538</v>
      </c>
      <c r="J15" s="85">
        <v>656</v>
      </c>
      <c r="K15" s="85">
        <v>806</v>
      </c>
      <c r="L15" s="85">
        <v>815</v>
      </c>
      <c r="M15" s="85">
        <v>1799</v>
      </c>
      <c r="N15" s="85">
        <v>703</v>
      </c>
      <c r="O15" s="85">
        <v>971</v>
      </c>
      <c r="P15" s="85">
        <v>12714</v>
      </c>
      <c r="Q15" s="88"/>
    </row>
    <row r="16" spans="1:17" ht="15" customHeight="1" x14ac:dyDescent="0.25">
      <c r="C16" s="76" t="s">
        <v>26</v>
      </c>
      <c r="D16" s="85">
        <v>177</v>
      </c>
      <c r="E16" s="85">
        <v>2149</v>
      </c>
      <c r="F16" s="85">
        <v>7905</v>
      </c>
      <c r="G16" s="85">
        <v>316</v>
      </c>
      <c r="H16" s="85">
        <v>9</v>
      </c>
      <c r="I16" s="85">
        <v>-10</v>
      </c>
      <c r="J16" s="85">
        <v>211</v>
      </c>
      <c r="K16" s="85">
        <v>622</v>
      </c>
      <c r="L16" s="85">
        <v>4918</v>
      </c>
      <c r="M16" s="85">
        <v>2726</v>
      </c>
      <c r="N16" s="85">
        <v>10692</v>
      </c>
      <c r="O16" s="85">
        <v>199</v>
      </c>
      <c r="P16" s="85">
        <v>29914</v>
      </c>
      <c r="Q16" s="88"/>
    </row>
    <row r="17" spans="1:17" ht="15" customHeight="1" x14ac:dyDescent="0.25"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8"/>
    </row>
    <row r="18" spans="1:17" ht="15" customHeight="1" x14ac:dyDescent="0.25">
      <c r="B18" s="76" t="s">
        <v>29</v>
      </c>
      <c r="D18" s="85">
        <v>3</v>
      </c>
      <c r="E18" s="85">
        <v>6</v>
      </c>
      <c r="F18" s="85">
        <v>9</v>
      </c>
      <c r="G18" s="85">
        <v>1</v>
      </c>
      <c r="H18" s="85">
        <v>5</v>
      </c>
      <c r="I18" s="85">
        <v>6</v>
      </c>
      <c r="J18" s="85">
        <v>-8</v>
      </c>
      <c r="K18" s="85">
        <v>14</v>
      </c>
      <c r="L18" s="85">
        <v>5</v>
      </c>
      <c r="M18" s="85">
        <v>1</v>
      </c>
      <c r="N18" s="85">
        <v>604</v>
      </c>
      <c r="O18" s="85">
        <v>87</v>
      </c>
      <c r="P18" s="85">
        <v>733</v>
      </c>
      <c r="Q18" s="88"/>
    </row>
    <row r="19" spans="1:17" ht="15" customHeight="1" x14ac:dyDescent="0.25"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8"/>
    </row>
    <row r="20" spans="1:17" s="82" customFormat="1" ht="15" customHeight="1" x14ac:dyDescent="0.25">
      <c r="A20" s="82" t="s">
        <v>30</v>
      </c>
      <c r="D20" s="83">
        <v>26300</v>
      </c>
      <c r="E20" s="83">
        <v>21143</v>
      </c>
      <c r="F20" s="83">
        <v>22732</v>
      </c>
      <c r="G20" s="83">
        <v>22380</v>
      </c>
      <c r="H20" s="83">
        <v>28072</v>
      </c>
      <c r="I20" s="83">
        <v>30251</v>
      </c>
      <c r="J20" s="83">
        <v>29015</v>
      </c>
      <c r="K20" s="83">
        <v>26975</v>
      </c>
      <c r="L20" s="83">
        <v>25827</v>
      </c>
      <c r="M20" s="83">
        <v>24778</v>
      </c>
      <c r="N20" s="83">
        <v>28588</v>
      </c>
      <c r="O20" s="83">
        <v>33813</v>
      </c>
      <c r="P20" s="83">
        <v>319874</v>
      </c>
      <c r="Q20" s="88"/>
    </row>
    <row r="21" spans="1:17" ht="15" customHeight="1" x14ac:dyDescent="0.25">
      <c r="B21" s="76" t="s">
        <v>18</v>
      </c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8"/>
    </row>
    <row r="22" spans="1:17" ht="15" customHeight="1" x14ac:dyDescent="0.25">
      <c r="C22" s="76" t="s">
        <v>31</v>
      </c>
      <c r="D22" s="85">
        <v>2675</v>
      </c>
      <c r="E22" s="85">
        <v>3277</v>
      </c>
      <c r="F22" s="85">
        <v>5369</v>
      </c>
      <c r="G22" s="85">
        <v>3368</v>
      </c>
      <c r="H22" s="85">
        <v>5377</v>
      </c>
      <c r="I22" s="85">
        <v>3306</v>
      </c>
      <c r="J22" s="85">
        <v>3394</v>
      </c>
      <c r="K22" s="85">
        <v>3200</v>
      </c>
      <c r="L22" s="85">
        <v>5234</v>
      </c>
      <c r="M22" s="85">
        <v>3413</v>
      </c>
      <c r="N22" s="85">
        <v>3223</v>
      </c>
      <c r="O22" s="85">
        <v>5379</v>
      </c>
      <c r="P22" s="85">
        <v>47215</v>
      </c>
      <c r="Q22" s="88"/>
    </row>
    <row r="23" spans="1:17" ht="15" customHeight="1" x14ac:dyDescent="0.25">
      <c r="C23" s="76" t="s">
        <v>32</v>
      </c>
      <c r="D23" s="85">
        <v>8618</v>
      </c>
      <c r="E23" s="85">
        <v>6502</v>
      </c>
      <c r="F23" s="85">
        <v>6301</v>
      </c>
      <c r="G23" s="85">
        <v>5316</v>
      </c>
      <c r="H23" s="85">
        <v>8843</v>
      </c>
      <c r="I23" s="85">
        <v>7057</v>
      </c>
      <c r="J23" s="85">
        <v>5559</v>
      </c>
      <c r="K23" s="85">
        <v>8694</v>
      </c>
      <c r="L23" s="85">
        <v>5563</v>
      </c>
      <c r="M23" s="85">
        <v>5202</v>
      </c>
      <c r="N23" s="85">
        <v>6994</v>
      </c>
      <c r="O23" s="85">
        <v>4474</v>
      </c>
      <c r="P23" s="85">
        <v>79123</v>
      </c>
      <c r="Q23" s="88"/>
    </row>
    <row r="24" spans="1:17" ht="15" customHeight="1" x14ac:dyDescent="0.25">
      <c r="C24" s="76" t="s">
        <v>78</v>
      </c>
      <c r="D24" s="85">
        <v>268</v>
      </c>
      <c r="E24" s="85">
        <v>148</v>
      </c>
      <c r="F24" s="85">
        <v>50</v>
      </c>
      <c r="G24" s="85">
        <v>511</v>
      </c>
      <c r="H24" s="85">
        <v>1453</v>
      </c>
      <c r="I24" s="85">
        <v>1357</v>
      </c>
      <c r="J24" s="85">
        <v>324</v>
      </c>
      <c r="K24" s="85">
        <v>909</v>
      </c>
      <c r="L24" s="85">
        <v>465</v>
      </c>
      <c r="M24" s="85">
        <v>386</v>
      </c>
      <c r="N24" s="85">
        <v>201</v>
      </c>
      <c r="O24" s="85">
        <v>949</v>
      </c>
      <c r="P24" s="85">
        <v>7021</v>
      </c>
      <c r="Q24" s="88"/>
    </row>
    <row r="25" spans="1:17" ht="15" customHeight="1" x14ac:dyDescent="0.25">
      <c r="C25" s="76" t="s">
        <v>33</v>
      </c>
      <c r="D25" s="85">
        <v>31</v>
      </c>
      <c r="E25" s="85">
        <v>100</v>
      </c>
      <c r="F25" s="85">
        <v>2</v>
      </c>
      <c r="G25" s="85">
        <v>395</v>
      </c>
      <c r="H25" s="85">
        <v>201</v>
      </c>
      <c r="I25" s="85">
        <v>753</v>
      </c>
      <c r="J25" s="85">
        <v>194</v>
      </c>
      <c r="K25" s="85">
        <v>293</v>
      </c>
      <c r="L25" s="85">
        <v>605</v>
      </c>
      <c r="M25" s="85">
        <v>150</v>
      </c>
      <c r="N25" s="85">
        <v>397</v>
      </c>
      <c r="O25" s="85">
        <v>1280</v>
      </c>
      <c r="P25" s="85">
        <v>4401</v>
      </c>
      <c r="Q25" s="88"/>
    </row>
    <row r="26" spans="1:17" ht="15" customHeight="1" x14ac:dyDescent="0.25">
      <c r="C26" s="76" t="s">
        <v>35</v>
      </c>
      <c r="D26" s="85">
        <v>180</v>
      </c>
      <c r="E26" s="85">
        <v>33</v>
      </c>
      <c r="F26" s="85">
        <v>28</v>
      </c>
      <c r="G26" s="85">
        <v>3636</v>
      </c>
      <c r="H26" s="85">
        <v>1555</v>
      </c>
      <c r="I26" s="85">
        <v>131</v>
      </c>
      <c r="J26" s="85">
        <v>732</v>
      </c>
      <c r="K26" s="85">
        <v>309</v>
      </c>
      <c r="L26" s="85">
        <v>210</v>
      </c>
      <c r="M26" s="85">
        <v>331</v>
      </c>
      <c r="N26" s="85">
        <v>61</v>
      </c>
      <c r="O26" s="85">
        <v>1085</v>
      </c>
      <c r="P26" s="85">
        <v>8291</v>
      </c>
      <c r="Q26" s="88"/>
    </row>
    <row r="27" spans="1:17" ht="15" customHeight="1" x14ac:dyDescent="0.25">
      <c r="C27" s="76" t="s">
        <v>79</v>
      </c>
      <c r="D27" s="85">
        <v>66</v>
      </c>
      <c r="E27" s="85">
        <v>133</v>
      </c>
      <c r="F27" s="85">
        <v>609</v>
      </c>
      <c r="G27" s="85">
        <v>-3490</v>
      </c>
      <c r="H27" s="85">
        <v>-1368</v>
      </c>
      <c r="I27" s="85">
        <v>61</v>
      </c>
      <c r="J27" s="85">
        <v>212</v>
      </c>
      <c r="K27" s="85">
        <v>349</v>
      </c>
      <c r="L27" s="85">
        <v>594</v>
      </c>
      <c r="M27" s="85">
        <v>1650</v>
      </c>
      <c r="N27" s="85">
        <v>1266</v>
      </c>
      <c r="O27" s="85">
        <v>620</v>
      </c>
      <c r="P27" s="85">
        <v>702</v>
      </c>
      <c r="Q27" s="88"/>
    </row>
    <row r="28" spans="1:17" ht="15" customHeight="1" x14ac:dyDescent="0.25"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8"/>
    </row>
    <row r="29" spans="1:17" s="82" customFormat="1" ht="15" customHeight="1" x14ac:dyDescent="0.25">
      <c r="A29" s="82" t="s">
        <v>137</v>
      </c>
      <c r="D29" s="88">
        <v>589</v>
      </c>
      <c r="E29" s="88">
        <v>-2373</v>
      </c>
      <c r="F29" s="88">
        <v>9740</v>
      </c>
      <c r="G29" s="88">
        <v>14943</v>
      </c>
      <c r="H29" s="88">
        <v>-2730</v>
      </c>
      <c r="I29" s="88">
        <v>-8110</v>
      </c>
      <c r="J29" s="88">
        <v>-3913</v>
      </c>
      <c r="K29" s="88">
        <v>-572</v>
      </c>
      <c r="L29" s="88">
        <v>-1898</v>
      </c>
      <c r="M29" s="88">
        <v>8763</v>
      </c>
      <c r="N29" s="88">
        <v>10964</v>
      </c>
      <c r="O29" s="88">
        <v>-9117</v>
      </c>
      <c r="P29" s="88">
        <v>16286</v>
      </c>
      <c r="Q29" s="88"/>
    </row>
    <row r="30" spans="1:17" ht="15" customHeight="1" x14ac:dyDescent="0.25"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8"/>
    </row>
    <row r="31" spans="1:17" s="82" customFormat="1" ht="15" customHeight="1" x14ac:dyDescent="0.25">
      <c r="A31" s="82" t="s">
        <v>39</v>
      </c>
      <c r="D31" s="83">
        <v>-309</v>
      </c>
      <c r="E31" s="83">
        <v>13749</v>
      </c>
      <c r="F31" s="83">
        <v>-1513</v>
      </c>
      <c r="G31" s="83">
        <v>12749</v>
      </c>
      <c r="H31" s="83">
        <v>-8118</v>
      </c>
      <c r="I31" s="83">
        <v>6196</v>
      </c>
      <c r="J31" s="83">
        <v>-3766</v>
      </c>
      <c r="K31" s="83">
        <v>8706</v>
      </c>
      <c r="L31" s="83">
        <v>-3152</v>
      </c>
      <c r="M31" s="83">
        <v>-15681</v>
      </c>
      <c r="N31" s="83">
        <v>-15865</v>
      </c>
      <c r="O31" s="83">
        <v>-14935</v>
      </c>
      <c r="P31" s="83">
        <v>-21939</v>
      </c>
      <c r="Q31" s="88"/>
    </row>
    <row r="32" spans="1:17" ht="15" customHeight="1" x14ac:dyDescent="0.25">
      <c r="B32" s="76" t="s">
        <v>40</v>
      </c>
      <c r="D32" s="84">
        <v>-47</v>
      </c>
      <c r="E32" s="84">
        <v>710</v>
      </c>
      <c r="F32" s="84">
        <v>-2961</v>
      </c>
      <c r="G32" s="84">
        <v>-96</v>
      </c>
      <c r="H32" s="84">
        <v>-2706</v>
      </c>
      <c r="I32" s="84">
        <v>-2221</v>
      </c>
      <c r="J32" s="84">
        <v>-244</v>
      </c>
      <c r="K32" s="84">
        <v>604</v>
      </c>
      <c r="L32" s="84">
        <v>-1532</v>
      </c>
      <c r="M32" s="84">
        <v>-2110</v>
      </c>
      <c r="N32" s="84">
        <v>-1191</v>
      </c>
      <c r="O32" s="84">
        <v>216</v>
      </c>
      <c r="P32" s="84">
        <v>-11578</v>
      </c>
      <c r="Q32" s="88"/>
    </row>
    <row r="33" spans="1:17" ht="15" customHeight="1" x14ac:dyDescent="0.25">
      <c r="C33" s="76" t="s">
        <v>41</v>
      </c>
      <c r="D33" s="85">
        <v>902</v>
      </c>
      <c r="E33" s="85">
        <v>1488</v>
      </c>
      <c r="F33" s="85">
        <v>554</v>
      </c>
      <c r="G33" s="85">
        <v>1048</v>
      </c>
      <c r="H33" s="85">
        <v>701</v>
      </c>
      <c r="I33" s="85">
        <v>1716</v>
      </c>
      <c r="J33" s="85">
        <v>663</v>
      </c>
      <c r="K33" s="85">
        <v>1389</v>
      </c>
      <c r="L33" s="85">
        <v>550</v>
      </c>
      <c r="M33" s="85">
        <v>380</v>
      </c>
      <c r="N33" s="85">
        <v>934</v>
      </c>
      <c r="O33" s="85">
        <v>1960</v>
      </c>
      <c r="P33" s="85">
        <v>12285</v>
      </c>
      <c r="Q33" s="88"/>
    </row>
    <row r="34" spans="1:17" ht="15" customHeight="1" x14ac:dyDescent="0.25">
      <c r="C34" s="76" t="s">
        <v>42</v>
      </c>
      <c r="D34" s="85">
        <v>949</v>
      </c>
      <c r="E34" s="85">
        <v>778</v>
      </c>
      <c r="F34" s="85">
        <v>3515</v>
      </c>
      <c r="G34" s="85">
        <v>1144</v>
      </c>
      <c r="H34" s="85">
        <v>3407</v>
      </c>
      <c r="I34" s="85">
        <v>3937</v>
      </c>
      <c r="J34" s="85">
        <v>907</v>
      </c>
      <c r="K34" s="85">
        <v>785</v>
      </c>
      <c r="L34" s="85">
        <v>2082</v>
      </c>
      <c r="M34" s="85">
        <v>2490</v>
      </c>
      <c r="N34" s="85">
        <v>2125</v>
      </c>
      <c r="O34" s="85">
        <v>1744</v>
      </c>
      <c r="P34" s="85">
        <v>23863</v>
      </c>
      <c r="Q34" s="88"/>
    </row>
    <row r="35" spans="1:17" ht="15" customHeight="1" x14ac:dyDescent="0.25"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8"/>
    </row>
    <row r="36" spans="1:17" ht="15" customHeight="1" x14ac:dyDescent="0.25">
      <c r="B36" s="76" t="s">
        <v>43</v>
      </c>
      <c r="D36" s="84">
        <v>-262</v>
      </c>
      <c r="E36" s="84">
        <v>13039</v>
      </c>
      <c r="F36" s="84">
        <v>1448</v>
      </c>
      <c r="G36" s="84">
        <v>12845</v>
      </c>
      <c r="H36" s="84">
        <v>-5412</v>
      </c>
      <c r="I36" s="84">
        <v>8417</v>
      </c>
      <c r="J36" s="84">
        <v>-3522</v>
      </c>
      <c r="K36" s="84">
        <v>8102</v>
      </c>
      <c r="L36" s="84">
        <v>-1620</v>
      </c>
      <c r="M36" s="84">
        <v>-13571</v>
      </c>
      <c r="N36" s="84">
        <v>-14674</v>
      </c>
      <c r="O36" s="84">
        <v>-15151</v>
      </c>
      <c r="P36" s="84">
        <v>-10361</v>
      </c>
      <c r="Q36" s="88"/>
    </row>
    <row r="37" spans="1:17" ht="15" customHeight="1" x14ac:dyDescent="0.25">
      <c r="C37" s="76" t="s">
        <v>44</v>
      </c>
      <c r="D37" s="85">
        <v>5306</v>
      </c>
      <c r="E37" s="85">
        <v>13048</v>
      </c>
      <c r="F37" s="85">
        <v>1477</v>
      </c>
      <c r="G37" s="85">
        <v>12855</v>
      </c>
      <c r="H37" s="85">
        <v>-5301</v>
      </c>
      <c r="I37" s="85">
        <v>8632</v>
      </c>
      <c r="J37" s="85">
        <v>-1520</v>
      </c>
      <c r="K37" s="85">
        <v>9303</v>
      </c>
      <c r="L37" s="85">
        <v>-798</v>
      </c>
      <c r="M37" s="85">
        <v>-12091</v>
      </c>
      <c r="N37" s="85">
        <v>-11963</v>
      </c>
      <c r="O37" s="85">
        <v>-14328</v>
      </c>
      <c r="P37" s="85">
        <v>4620</v>
      </c>
      <c r="Q37" s="88"/>
    </row>
    <row r="38" spans="1:17" ht="15" customHeight="1" x14ac:dyDescent="0.25">
      <c r="C38" s="76" t="s">
        <v>42</v>
      </c>
      <c r="D38" s="85">
        <v>5568</v>
      </c>
      <c r="E38" s="85">
        <v>9</v>
      </c>
      <c r="F38" s="85">
        <v>29</v>
      </c>
      <c r="G38" s="85">
        <v>10</v>
      </c>
      <c r="H38" s="85">
        <v>111</v>
      </c>
      <c r="I38" s="85">
        <v>215</v>
      </c>
      <c r="J38" s="85">
        <v>2002</v>
      </c>
      <c r="K38" s="85">
        <v>1201</v>
      </c>
      <c r="L38" s="85">
        <v>822</v>
      </c>
      <c r="M38" s="85">
        <v>1480</v>
      </c>
      <c r="N38" s="85">
        <v>2711</v>
      </c>
      <c r="O38" s="85">
        <v>823</v>
      </c>
      <c r="P38" s="85">
        <v>14981</v>
      </c>
      <c r="Q38" s="88"/>
    </row>
    <row r="39" spans="1:17" ht="15" customHeight="1" x14ac:dyDescent="0.25"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8"/>
    </row>
    <row r="40" spans="1:17" s="82" customFormat="1" ht="15" customHeight="1" x14ac:dyDescent="0.25">
      <c r="A40" s="82" t="s">
        <v>47</v>
      </c>
      <c r="D40" s="83">
        <v>4997</v>
      </c>
      <c r="E40" s="83">
        <v>7191</v>
      </c>
      <c r="F40" s="83">
        <v>4750</v>
      </c>
      <c r="G40" s="83">
        <v>24691</v>
      </c>
      <c r="H40" s="83">
        <v>-18328</v>
      </c>
      <c r="I40" s="83">
        <v>-9467</v>
      </c>
      <c r="J40" s="83">
        <v>-956</v>
      </c>
      <c r="K40" s="83">
        <v>3707</v>
      </c>
      <c r="L40" s="83">
        <v>-7015</v>
      </c>
      <c r="M40" s="83">
        <v>-2075</v>
      </c>
      <c r="N40" s="83">
        <v>-7318</v>
      </c>
      <c r="O40" s="83">
        <v>-39949</v>
      </c>
      <c r="P40" s="83">
        <v>-39772</v>
      </c>
      <c r="Q40" s="88"/>
    </row>
    <row r="41" spans="1:17" x14ac:dyDescent="0.2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</row>
    <row r="44" spans="1:17" x14ac:dyDescent="0.2">
      <c r="A44" s="86" t="s">
        <v>139</v>
      </c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AMJ45"/>
  <sheetViews>
    <sheetView zoomScaleNormal="100" workbookViewId="0">
      <selection activeCell="A39" sqref="A39"/>
    </sheetView>
  </sheetViews>
  <sheetFormatPr defaultColWidth="9.140625" defaultRowHeight="14.25" x14ac:dyDescent="0.2"/>
  <cols>
    <col min="1" max="1" width="1.5703125" style="76" customWidth="1"/>
    <col min="2" max="2" width="1.140625" style="76" customWidth="1"/>
    <col min="3" max="3" width="24" style="76" customWidth="1"/>
    <col min="4" max="10" width="8" style="76" customWidth="1"/>
    <col min="11" max="13" width="8.7109375" style="76" customWidth="1"/>
    <col min="14" max="14" width="9.85546875" style="76" customWidth="1"/>
    <col min="15" max="1024" width="9.140625" style="76"/>
  </cols>
  <sheetData>
    <row r="1" spans="1:17" ht="15" x14ac:dyDescent="0.25">
      <c r="A1" s="82" t="s">
        <v>153</v>
      </c>
    </row>
    <row r="2" spans="1:17" ht="15" x14ac:dyDescent="0.25">
      <c r="A2" s="82" t="s">
        <v>159</v>
      </c>
      <c r="B2" s="82"/>
    </row>
    <row r="3" spans="1:17" x14ac:dyDescent="0.2">
      <c r="A3" s="76" t="s">
        <v>2</v>
      </c>
    </row>
    <row r="5" spans="1:17" ht="21.75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6" spans="1:17" ht="14.25" customHeight="1" x14ac:dyDescent="0.2"/>
    <row r="7" spans="1:17" s="82" customFormat="1" ht="14.25" customHeight="1" x14ac:dyDescent="0.25">
      <c r="A7" s="82" t="s">
        <v>15</v>
      </c>
      <c r="D7" s="83">
        <v>25380</v>
      </c>
      <c r="E7" s="83">
        <v>14461</v>
      </c>
      <c r="F7" s="83">
        <v>18227</v>
      </c>
      <c r="G7" s="83">
        <v>26940</v>
      </c>
      <c r="H7" s="83">
        <v>20059</v>
      </c>
      <c r="I7" s="83">
        <v>19315</v>
      </c>
      <c r="J7" s="83">
        <v>25040</v>
      </c>
      <c r="K7" s="83">
        <v>20828</v>
      </c>
      <c r="L7" s="83">
        <v>18759</v>
      </c>
      <c r="M7" s="83">
        <v>24324</v>
      </c>
      <c r="N7" s="83">
        <v>23472</v>
      </c>
      <c r="O7" s="83">
        <v>23600</v>
      </c>
      <c r="P7" s="83">
        <v>260405</v>
      </c>
      <c r="Q7" s="88"/>
    </row>
    <row r="8" spans="1:17" ht="14.25" customHeight="1" x14ac:dyDescent="0.25">
      <c r="B8" s="76" t="s">
        <v>16</v>
      </c>
      <c r="D8" s="84">
        <v>21152</v>
      </c>
      <c r="E8" s="84">
        <v>12486</v>
      </c>
      <c r="F8" s="84">
        <v>17007</v>
      </c>
      <c r="G8" s="84">
        <v>25023</v>
      </c>
      <c r="H8" s="84">
        <v>17494</v>
      </c>
      <c r="I8" s="84">
        <v>16568</v>
      </c>
      <c r="J8" s="84">
        <v>20497</v>
      </c>
      <c r="K8" s="84">
        <v>19348</v>
      </c>
      <c r="L8" s="84">
        <v>16268</v>
      </c>
      <c r="M8" s="84">
        <v>21672</v>
      </c>
      <c r="N8" s="84">
        <v>21710</v>
      </c>
      <c r="O8" s="84">
        <v>20945</v>
      </c>
      <c r="P8" s="84">
        <v>230170</v>
      </c>
      <c r="Q8" s="88"/>
    </row>
    <row r="9" spans="1:17" ht="14.25" customHeight="1" x14ac:dyDescent="0.25">
      <c r="C9" s="76" t="s">
        <v>17</v>
      </c>
      <c r="D9" s="85">
        <v>16077</v>
      </c>
      <c r="E9" s="85">
        <v>7318</v>
      </c>
      <c r="F9" s="85">
        <v>10230</v>
      </c>
      <c r="G9" s="85">
        <v>18780</v>
      </c>
      <c r="H9" s="85">
        <v>10999</v>
      </c>
      <c r="I9" s="85">
        <v>9382</v>
      </c>
      <c r="J9" s="85">
        <v>13104</v>
      </c>
      <c r="K9" s="85">
        <v>12156</v>
      </c>
      <c r="L9" s="85">
        <v>9204</v>
      </c>
      <c r="M9" s="85">
        <v>14331</v>
      </c>
      <c r="N9" s="85">
        <v>13832</v>
      </c>
      <c r="O9" s="85">
        <v>10514</v>
      </c>
      <c r="P9" s="85">
        <v>145927</v>
      </c>
      <c r="Q9" s="88"/>
    </row>
    <row r="10" spans="1:17" ht="14.25" customHeight="1" x14ac:dyDescent="0.25">
      <c r="C10" s="76" t="s">
        <v>21</v>
      </c>
      <c r="D10" s="85">
        <v>5033</v>
      </c>
      <c r="E10" s="85">
        <v>5026</v>
      </c>
      <c r="F10" s="85">
        <v>6612</v>
      </c>
      <c r="G10" s="85">
        <v>5924</v>
      </c>
      <c r="H10" s="85">
        <v>6222</v>
      </c>
      <c r="I10" s="85">
        <v>7030</v>
      </c>
      <c r="J10" s="85">
        <v>7170</v>
      </c>
      <c r="K10" s="85">
        <v>6993</v>
      </c>
      <c r="L10" s="85">
        <v>6817</v>
      </c>
      <c r="M10" s="85">
        <v>7192</v>
      </c>
      <c r="N10" s="85">
        <v>7673</v>
      </c>
      <c r="O10" s="85">
        <v>10279</v>
      </c>
      <c r="P10" s="85">
        <v>81971</v>
      </c>
      <c r="Q10" s="88"/>
    </row>
    <row r="11" spans="1:17" ht="14.25" customHeight="1" x14ac:dyDescent="0.25">
      <c r="C11" s="76" t="s">
        <v>88</v>
      </c>
      <c r="D11" s="85">
        <v>42</v>
      </c>
      <c r="E11" s="85">
        <v>142</v>
      </c>
      <c r="F11" s="85">
        <v>165</v>
      </c>
      <c r="G11" s="85">
        <v>319</v>
      </c>
      <c r="H11" s="85">
        <v>273</v>
      </c>
      <c r="I11" s="85">
        <v>156</v>
      </c>
      <c r="J11" s="85">
        <v>223</v>
      </c>
      <c r="K11" s="85">
        <v>199</v>
      </c>
      <c r="L11" s="85">
        <v>247</v>
      </c>
      <c r="M11" s="85">
        <v>149</v>
      </c>
      <c r="N11" s="85">
        <v>205</v>
      </c>
      <c r="O11" s="85">
        <v>152</v>
      </c>
      <c r="P11" s="85">
        <v>2272</v>
      </c>
      <c r="Q11" s="88"/>
    </row>
    <row r="12" spans="1:17" ht="14.25" customHeight="1" x14ac:dyDescent="0.25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8"/>
    </row>
    <row r="13" spans="1:17" ht="14.25" customHeight="1" x14ac:dyDescent="0.25">
      <c r="B13" s="76" t="s">
        <v>23</v>
      </c>
      <c r="D13" s="84">
        <v>4184</v>
      </c>
      <c r="E13" s="84">
        <v>1946</v>
      </c>
      <c r="F13" s="84">
        <v>1202</v>
      </c>
      <c r="G13" s="84">
        <v>1882</v>
      </c>
      <c r="H13" s="84">
        <v>2537</v>
      </c>
      <c r="I13" s="84">
        <v>2681</v>
      </c>
      <c r="J13" s="84">
        <v>3868</v>
      </c>
      <c r="K13" s="84">
        <v>1454</v>
      </c>
      <c r="L13" s="84">
        <v>2457</v>
      </c>
      <c r="M13" s="84">
        <v>2496</v>
      </c>
      <c r="N13" s="84">
        <v>1686</v>
      </c>
      <c r="O13" s="84">
        <v>2291</v>
      </c>
      <c r="P13" s="84">
        <v>28684</v>
      </c>
      <c r="Q13" s="88"/>
    </row>
    <row r="14" spans="1:17" ht="14.25" customHeight="1" x14ac:dyDescent="0.25">
      <c r="C14" s="76" t="s">
        <v>24</v>
      </c>
      <c r="D14" s="85">
        <v>3761</v>
      </c>
      <c r="E14" s="85">
        <v>1493</v>
      </c>
      <c r="F14" s="85">
        <v>800</v>
      </c>
      <c r="G14" s="85">
        <v>1188</v>
      </c>
      <c r="H14" s="85">
        <v>2075</v>
      </c>
      <c r="I14" s="85">
        <v>1894</v>
      </c>
      <c r="J14" s="85">
        <v>2473</v>
      </c>
      <c r="K14" s="85">
        <v>1151</v>
      </c>
      <c r="L14" s="85">
        <v>1377</v>
      </c>
      <c r="M14" s="85">
        <v>1474</v>
      </c>
      <c r="N14" s="85">
        <v>927</v>
      </c>
      <c r="O14" s="85">
        <v>771</v>
      </c>
      <c r="P14" s="85">
        <v>19384</v>
      </c>
      <c r="Q14" s="88"/>
    </row>
    <row r="15" spans="1:17" ht="14.25" customHeight="1" x14ac:dyDescent="0.25">
      <c r="C15" s="76" t="s">
        <v>150</v>
      </c>
      <c r="D15" s="85">
        <v>418</v>
      </c>
      <c r="E15" s="85">
        <v>441</v>
      </c>
      <c r="F15" s="85">
        <v>358</v>
      </c>
      <c r="G15" s="85">
        <v>498</v>
      </c>
      <c r="H15" s="85">
        <v>458</v>
      </c>
      <c r="I15" s="85">
        <v>532</v>
      </c>
      <c r="J15" s="85">
        <v>865</v>
      </c>
      <c r="K15" s="85">
        <v>200</v>
      </c>
      <c r="L15" s="85">
        <v>758</v>
      </c>
      <c r="M15" s="85">
        <v>869</v>
      </c>
      <c r="N15" s="85">
        <v>748</v>
      </c>
      <c r="O15" s="85">
        <v>772</v>
      </c>
      <c r="P15" s="85">
        <v>6917</v>
      </c>
      <c r="Q15" s="88"/>
    </row>
    <row r="16" spans="1:17" ht="14.25" customHeight="1" x14ac:dyDescent="0.25">
      <c r="C16" s="76" t="s">
        <v>26</v>
      </c>
      <c r="D16" s="85">
        <v>5</v>
      </c>
      <c r="E16" s="85">
        <v>12</v>
      </c>
      <c r="F16" s="85">
        <v>44</v>
      </c>
      <c r="G16" s="85">
        <v>196</v>
      </c>
      <c r="H16" s="85">
        <v>4</v>
      </c>
      <c r="I16" s="85">
        <v>203</v>
      </c>
      <c r="J16" s="85">
        <v>101</v>
      </c>
      <c r="K16" s="85">
        <v>103</v>
      </c>
      <c r="L16" s="85">
        <v>129</v>
      </c>
      <c r="M16" s="85">
        <v>151</v>
      </c>
      <c r="N16" s="85">
        <v>11</v>
      </c>
      <c r="O16" s="85">
        <v>748</v>
      </c>
      <c r="P16" s="85">
        <v>1707</v>
      </c>
      <c r="Q16" s="88"/>
    </row>
    <row r="17" spans="1:19" ht="14.25" customHeight="1" x14ac:dyDescent="0.25">
      <c r="C17" s="76" t="s">
        <v>160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52</v>
      </c>
      <c r="J17" s="85">
        <v>429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481</v>
      </c>
      <c r="Q17" s="88"/>
    </row>
    <row r="18" spans="1:19" ht="14.25" customHeight="1" x14ac:dyDescent="0.25">
      <c r="C18" s="76" t="s">
        <v>106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193</v>
      </c>
      <c r="M18" s="85">
        <v>2</v>
      </c>
      <c r="N18" s="85">
        <v>0</v>
      </c>
      <c r="O18" s="85">
        <v>0</v>
      </c>
      <c r="P18" s="85">
        <v>195</v>
      </c>
      <c r="Q18" s="88"/>
    </row>
    <row r="19" spans="1:19" ht="14.25" customHeight="1" x14ac:dyDescent="0.25">
      <c r="B19" s="76" t="s">
        <v>29</v>
      </c>
      <c r="D19" s="85">
        <v>44</v>
      </c>
      <c r="E19" s="85">
        <v>29</v>
      </c>
      <c r="F19" s="85">
        <v>18</v>
      </c>
      <c r="G19" s="85">
        <v>35</v>
      </c>
      <c r="H19" s="85">
        <v>28</v>
      </c>
      <c r="I19" s="85">
        <v>66</v>
      </c>
      <c r="J19" s="85">
        <v>675</v>
      </c>
      <c r="K19" s="85">
        <v>26</v>
      </c>
      <c r="L19" s="85">
        <v>34</v>
      </c>
      <c r="M19" s="85">
        <v>156</v>
      </c>
      <c r="N19" s="85">
        <v>76</v>
      </c>
      <c r="O19" s="85">
        <v>364</v>
      </c>
      <c r="P19" s="85">
        <v>1551</v>
      </c>
      <c r="Q19" s="88"/>
    </row>
    <row r="20" spans="1:19" ht="14.25" customHeight="1" x14ac:dyDescent="0.25"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8"/>
    </row>
    <row r="21" spans="1:19" s="82" customFormat="1" ht="14.25" customHeight="1" x14ac:dyDescent="0.25">
      <c r="A21" s="82" t="s">
        <v>30</v>
      </c>
      <c r="D21" s="83">
        <v>19592</v>
      </c>
      <c r="E21" s="83">
        <v>22276</v>
      </c>
      <c r="F21" s="83">
        <v>26526</v>
      </c>
      <c r="G21" s="83">
        <v>22569</v>
      </c>
      <c r="H21" s="83">
        <v>22549</v>
      </c>
      <c r="I21" s="83">
        <v>23241</v>
      </c>
      <c r="J21" s="83">
        <v>24185</v>
      </c>
      <c r="K21" s="83">
        <v>22835</v>
      </c>
      <c r="L21" s="83">
        <v>22121</v>
      </c>
      <c r="M21" s="83">
        <v>22908</v>
      </c>
      <c r="N21" s="83">
        <v>26204</v>
      </c>
      <c r="O21" s="83">
        <v>27290</v>
      </c>
      <c r="P21" s="83">
        <v>282296</v>
      </c>
      <c r="Q21" s="88"/>
      <c r="R21" s="131"/>
      <c r="S21" s="131"/>
    </row>
    <row r="22" spans="1:19" ht="14.25" customHeight="1" x14ac:dyDescent="0.25">
      <c r="B22" s="76" t="s">
        <v>18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8"/>
    </row>
    <row r="23" spans="1:19" ht="14.25" customHeight="1" x14ac:dyDescent="0.25">
      <c r="C23" s="76" t="s">
        <v>32</v>
      </c>
      <c r="D23" s="85">
        <v>6469</v>
      </c>
      <c r="E23" s="85">
        <v>9710</v>
      </c>
      <c r="F23" s="85">
        <v>7234</v>
      </c>
      <c r="G23" s="85">
        <v>6616</v>
      </c>
      <c r="H23" s="85">
        <v>5721</v>
      </c>
      <c r="I23" s="85">
        <v>5681</v>
      </c>
      <c r="J23" s="85">
        <v>4205</v>
      </c>
      <c r="K23" s="85">
        <v>7325</v>
      </c>
      <c r="L23" s="85">
        <v>5462</v>
      </c>
      <c r="M23" s="85">
        <v>3665</v>
      </c>
      <c r="N23" s="85">
        <v>8819</v>
      </c>
      <c r="O23" s="85">
        <v>5584</v>
      </c>
      <c r="P23" s="85">
        <v>76491</v>
      </c>
      <c r="Q23" s="88"/>
    </row>
    <row r="24" spans="1:19" ht="14.25" customHeight="1" x14ac:dyDescent="0.25">
      <c r="C24" s="76" t="s">
        <v>78</v>
      </c>
      <c r="D24" s="85">
        <v>199</v>
      </c>
      <c r="E24" s="85">
        <v>279</v>
      </c>
      <c r="F24" s="85">
        <v>810</v>
      </c>
      <c r="G24" s="85">
        <v>1061</v>
      </c>
      <c r="H24" s="85">
        <v>712</v>
      </c>
      <c r="I24" s="85">
        <v>32</v>
      </c>
      <c r="J24" s="85">
        <v>223</v>
      </c>
      <c r="K24" s="85">
        <v>56</v>
      </c>
      <c r="L24" s="85">
        <v>404</v>
      </c>
      <c r="M24" s="85">
        <v>361</v>
      </c>
      <c r="N24" s="85">
        <v>1597</v>
      </c>
      <c r="O24" s="85">
        <v>415</v>
      </c>
      <c r="P24" s="85">
        <v>6149</v>
      </c>
      <c r="Q24" s="88"/>
    </row>
    <row r="25" spans="1:19" ht="14.25" customHeight="1" x14ac:dyDescent="0.25">
      <c r="C25" s="76" t="s">
        <v>31</v>
      </c>
      <c r="D25" s="85">
        <v>980</v>
      </c>
      <c r="E25" s="85">
        <v>2881</v>
      </c>
      <c r="F25" s="85">
        <v>3956</v>
      </c>
      <c r="G25" s="85">
        <v>3181</v>
      </c>
      <c r="H25" s="85">
        <v>2418</v>
      </c>
      <c r="I25" s="85">
        <v>2203</v>
      </c>
      <c r="J25" s="85">
        <v>4272</v>
      </c>
      <c r="K25" s="85">
        <v>2203</v>
      </c>
      <c r="L25" s="85">
        <v>4116</v>
      </c>
      <c r="M25" s="85">
        <v>2192</v>
      </c>
      <c r="N25" s="85">
        <v>2195</v>
      </c>
      <c r="O25" s="85">
        <v>4119</v>
      </c>
      <c r="P25" s="85">
        <v>34716</v>
      </c>
      <c r="Q25" s="88"/>
    </row>
    <row r="26" spans="1:19" ht="14.25" customHeight="1" x14ac:dyDescent="0.25">
      <c r="C26" s="76" t="s">
        <v>33</v>
      </c>
      <c r="D26" s="85">
        <v>0</v>
      </c>
      <c r="E26" s="85">
        <v>30</v>
      </c>
      <c r="F26" s="85">
        <v>205</v>
      </c>
      <c r="G26" s="85">
        <v>24</v>
      </c>
      <c r="H26" s="85">
        <v>19</v>
      </c>
      <c r="I26" s="85">
        <v>484</v>
      </c>
      <c r="J26" s="85">
        <v>619</v>
      </c>
      <c r="K26" s="85">
        <v>127</v>
      </c>
      <c r="L26" s="85">
        <v>554</v>
      </c>
      <c r="M26" s="85">
        <v>574</v>
      </c>
      <c r="N26" s="85">
        <v>49</v>
      </c>
      <c r="O26" s="85">
        <v>1261</v>
      </c>
      <c r="P26" s="85">
        <v>3946</v>
      </c>
      <c r="Q26" s="88"/>
    </row>
    <row r="27" spans="1:19" ht="14.25" customHeight="1" x14ac:dyDescent="0.25">
      <c r="C27" s="76" t="s">
        <v>35</v>
      </c>
      <c r="D27" s="85">
        <v>1</v>
      </c>
      <c r="E27" s="85">
        <v>103</v>
      </c>
      <c r="F27" s="85">
        <v>1975</v>
      </c>
      <c r="G27" s="85">
        <v>1274</v>
      </c>
      <c r="H27" s="85">
        <v>216</v>
      </c>
      <c r="I27" s="85">
        <v>524</v>
      </c>
      <c r="J27" s="85">
        <v>782</v>
      </c>
      <c r="K27" s="85">
        <v>137</v>
      </c>
      <c r="L27" s="85">
        <v>127</v>
      </c>
      <c r="M27" s="85">
        <v>1008</v>
      </c>
      <c r="N27" s="85">
        <v>12</v>
      </c>
      <c r="O27" s="85">
        <v>594</v>
      </c>
      <c r="P27" s="85">
        <v>6753</v>
      </c>
      <c r="Q27" s="88"/>
    </row>
    <row r="28" spans="1:19" ht="14.25" customHeight="1" x14ac:dyDescent="0.25">
      <c r="C28" s="76" t="s">
        <v>79</v>
      </c>
      <c r="D28" s="85">
        <v>149</v>
      </c>
      <c r="E28" s="85">
        <v>49</v>
      </c>
      <c r="F28" s="85">
        <v>274</v>
      </c>
      <c r="G28" s="85">
        <v>327</v>
      </c>
      <c r="H28" s="85">
        <v>115</v>
      </c>
      <c r="I28" s="85">
        <v>479</v>
      </c>
      <c r="J28" s="85">
        <v>384</v>
      </c>
      <c r="K28" s="85">
        <v>60</v>
      </c>
      <c r="L28" s="85">
        <v>308</v>
      </c>
      <c r="M28" s="85">
        <v>321</v>
      </c>
      <c r="N28" s="85">
        <v>385</v>
      </c>
      <c r="O28" s="85">
        <v>298</v>
      </c>
      <c r="P28" s="85">
        <v>3149</v>
      </c>
      <c r="Q28" s="88"/>
    </row>
    <row r="29" spans="1:19" ht="14.25" customHeight="1" x14ac:dyDescent="0.25"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8"/>
    </row>
    <row r="30" spans="1:19" s="82" customFormat="1" ht="14.25" customHeight="1" x14ac:dyDescent="0.25">
      <c r="A30" s="82" t="s">
        <v>137</v>
      </c>
      <c r="D30" s="88">
        <v>5788</v>
      </c>
      <c r="E30" s="88">
        <v>-7815</v>
      </c>
      <c r="F30" s="88">
        <v>-8299</v>
      </c>
      <c r="G30" s="88">
        <v>4371</v>
      </c>
      <c r="H30" s="88">
        <v>-2490</v>
      </c>
      <c r="I30" s="88">
        <v>-3926</v>
      </c>
      <c r="J30" s="88">
        <v>855</v>
      </c>
      <c r="K30" s="88">
        <v>-2007</v>
      </c>
      <c r="L30" s="88">
        <v>-3362</v>
      </c>
      <c r="M30" s="88">
        <v>1416</v>
      </c>
      <c r="N30" s="88">
        <v>-2732</v>
      </c>
      <c r="O30" s="88">
        <v>-3690</v>
      </c>
      <c r="P30" s="88">
        <v>-21891</v>
      </c>
      <c r="Q30" s="88"/>
    </row>
    <row r="31" spans="1:19" ht="14.25" customHeight="1" x14ac:dyDescent="0.25"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8"/>
    </row>
    <row r="32" spans="1:19" s="82" customFormat="1" ht="14.25" customHeight="1" x14ac:dyDescent="0.25">
      <c r="A32" s="82" t="s">
        <v>39</v>
      </c>
      <c r="D32" s="83">
        <v>22362</v>
      </c>
      <c r="E32" s="83">
        <v>22206</v>
      </c>
      <c r="F32" s="83">
        <v>28028</v>
      </c>
      <c r="G32" s="83">
        <v>-5043</v>
      </c>
      <c r="H32" s="83">
        <v>-5978</v>
      </c>
      <c r="I32" s="83">
        <v>-2774</v>
      </c>
      <c r="J32" s="83">
        <v>-4925</v>
      </c>
      <c r="K32" s="83">
        <v>-11775</v>
      </c>
      <c r="L32" s="83">
        <v>-23038</v>
      </c>
      <c r="M32" s="83">
        <v>-14150</v>
      </c>
      <c r="N32" s="83">
        <v>-928</v>
      </c>
      <c r="O32" s="83">
        <v>-19641</v>
      </c>
      <c r="P32" s="83">
        <v>-15656</v>
      </c>
      <c r="Q32" s="88"/>
    </row>
    <row r="33" spans="1:17" ht="14.25" customHeight="1" x14ac:dyDescent="0.25">
      <c r="B33" s="76" t="s">
        <v>40</v>
      </c>
      <c r="D33" s="84">
        <v>-585</v>
      </c>
      <c r="E33" s="84">
        <v>4428</v>
      </c>
      <c r="F33" s="84">
        <v>2780</v>
      </c>
      <c r="G33" s="84">
        <v>2373</v>
      </c>
      <c r="H33" s="84">
        <v>-1287</v>
      </c>
      <c r="I33" s="84">
        <v>-1537</v>
      </c>
      <c r="J33" s="84">
        <v>-691</v>
      </c>
      <c r="K33" s="84">
        <v>52</v>
      </c>
      <c r="L33" s="84">
        <v>-1088</v>
      </c>
      <c r="M33" s="84">
        <v>-1414</v>
      </c>
      <c r="N33" s="84">
        <v>-2289</v>
      </c>
      <c r="O33" s="84">
        <v>12168</v>
      </c>
      <c r="P33" s="84">
        <v>12910</v>
      </c>
      <c r="Q33" s="88"/>
    </row>
    <row r="34" spans="1:17" ht="14.25" customHeight="1" x14ac:dyDescent="0.25">
      <c r="C34" s="76" t="s">
        <v>41</v>
      </c>
      <c r="D34" s="85">
        <v>364</v>
      </c>
      <c r="E34" s="85">
        <v>5015</v>
      </c>
      <c r="F34" s="85">
        <v>3950</v>
      </c>
      <c r="G34" s="85">
        <v>4996</v>
      </c>
      <c r="H34" s="85">
        <v>1444</v>
      </c>
      <c r="I34" s="85">
        <v>1342</v>
      </c>
      <c r="J34" s="85">
        <v>739</v>
      </c>
      <c r="K34" s="85">
        <v>920</v>
      </c>
      <c r="L34" s="85">
        <v>874</v>
      </c>
      <c r="M34" s="85">
        <v>1513</v>
      </c>
      <c r="N34" s="85">
        <v>869</v>
      </c>
      <c r="O34" s="85">
        <v>16197</v>
      </c>
      <c r="P34" s="85">
        <v>38223</v>
      </c>
      <c r="Q34" s="88"/>
    </row>
    <row r="35" spans="1:17" ht="14.25" customHeight="1" x14ac:dyDescent="0.25">
      <c r="C35" s="76" t="s">
        <v>42</v>
      </c>
      <c r="D35" s="85">
        <v>949</v>
      </c>
      <c r="E35" s="85">
        <v>587</v>
      </c>
      <c r="F35" s="85">
        <v>1170</v>
      </c>
      <c r="G35" s="85">
        <v>2623</v>
      </c>
      <c r="H35" s="85">
        <v>2731</v>
      </c>
      <c r="I35" s="85">
        <v>2879</v>
      </c>
      <c r="J35" s="85">
        <v>1430</v>
      </c>
      <c r="K35" s="85">
        <v>868</v>
      </c>
      <c r="L35" s="85">
        <v>1962</v>
      </c>
      <c r="M35" s="85">
        <v>2927</v>
      </c>
      <c r="N35" s="85">
        <v>3158</v>
      </c>
      <c r="O35" s="85">
        <v>4029</v>
      </c>
      <c r="P35" s="85">
        <v>25313</v>
      </c>
      <c r="Q35" s="88"/>
    </row>
    <row r="36" spans="1:17" ht="14.25" customHeight="1" x14ac:dyDescent="0.25"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8"/>
    </row>
    <row r="37" spans="1:17" ht="14.25" customHeight="1" x14ac:dyDescent="0.25">
      <c r="B37" s="76" t="s">
        <v>43</v>
      </c>
      <c r="D37" s="84">
        <v>22947</v>
      </c>
      <c r="E37" s="84">
        <v>17778</v>
      </c>
      <c r="F37" s="84">
        <v>25248</v>
      </c>
      <c r="G37" s="84">
        <v>-7416</v>
      </c>
      <c r="H37" s="84">
        <v>-4691</v>
      </c>
      <c r="I37" s="84">
        <v>-1237</v>
      </c>
      <c r="J37" s="84">
        <v>-4234</v>
      </c>
      <c r="K37" s="84">
        <v>-11827</v>
      </c>
      <c r="L37" s="84">
        <v>-21950</v>
      </c>
      <c r="M37" s="84">
        <v>-12736</v>
      </c>
      <c r="N37" s="84">
        <v>1361</v>
      </c>
      <c r="O37" s="84">
        <v>-31809</v>
      </c>
      <c r="P37" s="84">
        <v>-28566</v>
      </c>
      <c r="Q37" s="88"/>
    </row>
    <row r="38" spans="1:17" ht="14.25" customHeight="1" x14ac:dyDescent="0.25">
      <c r="C38" s="76" t="s">
        <v>44</v>
      </c>
      <c r="D38" s="85">
        <v>23129</v>
      </c>
      <c r="E38" s="85">
        <v>17924</v>
      </c>
      <c r="F38" s="85">
        <v>25454</v>
      </c>
      <c r="G38" s="85">
        <v>-7237</v>
      </c>
      <c r="H38" s="85">
        <v>-1846</v>
      </c>
      <c r="I38" s="85">
        <v>-645</v>
      </c>
      <c r="J38" s="85">
        <v>-4232</v>
      </c>
      <c r="K38" s="85">
        <v>-8031</v>
      </c>
      <c r="L38" s="85">
        <v>-21850</v>
      </c>
      <c r="M38" s="85">
        <v>-12000</v>
      </c>
      <c r="N38" s="85">
        <v>1591</v>
      </c>
      <c r="O38" s="85">
        <v>-29249</v>
      </c>
      <c r="P38" s="85">
        <v>-16992</v>
      </c>
      <c r="Q38" s="88"/>
    </row>
    <row r="39" spans="1:17" ht="14.25" customHeight="1" x14ac:dyDescent="0.25">
      <c r="C39" s="76" t="s">
        <v>42</v>
      </c>
      <c r="D39" s="85">
        <v>182</v>
      </c>
      <c r="E39" s="85">
        <v>146</v>
      </c>
      <c r="F39" s="85">
        <v>206</v>
      </c>
      <c r="G39" s="85">
        <v>179</v>
      </c>
      <c r="H39" s="85">
        <v>2845</v>
      </c>
      <c r="I39" s="85">
        <v>592</v>
      </c>
      <c r="J39" s="85">
        <v>2</v>
      </c>
      <c r="K39" s="85">
        <v>3796</v>
      </c>
      <c r="L39" s="85">
        <v>100</v>
      </c>
      <c r="M39" s="85">
        <v>736</v>
      </c>
      <c r="N39" s="85">
        <v>230</v>
      </c>
      <c r="O39" s="85">
        <v>2560</v>
      </c>
      <c r="P39" s="85">
        <v>11574</v>
      </c>
      <c r="Q39" s="88"/>
    </row>
    <row r="40" spans="1:17" ht="14.25" customHeight="1" x14ac:dyDescent="0.25"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8"/>
    </row>
    <row r="41" spans="1:17" s="82" customFormat="1" ht="14.25" customHeight="1" x14ac:dyDescent="0.25">
      <c r="A41" s="82" t="s">
        <v>161</v>
      </c>
      <c r="D41" s="83">
        <v>23445</v>
      </c>
      <c r="E41" s="83">
        <v>12957</v>
      </c>
      <c r="F41" s="83">
        <v>28095</v>
      </c>
      <c r="G41" s="83">
        <v>3855</v>
      </c>
      <c r="H41" s="83">
        <v>-8461</v>
      </c>
      <c r="I41" s="83">
        <v>3554</v>
      </c>
      <c r="J41" s="83">
        <v>-6010</v>
      </c>
      <c r="K41" s="83">
        <v>-14940</v>
      </c>
      <c r="L41" s="83">
        <v>-41800</v>
      </c>
      <c r="M41" s="83">
        <v>-7462</v>
      </c>
      <c r="N41" s="83">
        <v>-162056</v>
      </c>
      <c r="O41" s="83">
        <v>144583</v>
      </c>
      <c r="P41" s="83">
        <v>-24240</v>
      </c>
      <c r="Q41" s="88"/>
    </row>
    <row r="42" spans="1:17" x14ac:dyDescent="0.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</row>
    <row r="45" spans="1:17" x14ac:dyDescent="0.2">
      <c r="A45" s="86" t="s">
        <v>139</v>
      </c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AMJ46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9.140625" defaultRowHeight="14.25" x14ac:dyDescent="0.2"/>
  <cols>
    <col min="1" max="1" width="1.5703125" style="76" customWidth="1"/>
    <col min="2" max="2" width="1.28515625" style="76" customWidth="1"/>
    <col min="3" max="3" width="24" style="76" customWidth="1"/>
    <col min="4" max="4" width="8" style="76" customWidth="1"/>
    <col min="5" max="15" width="8.140625" style="76" customWidth="1"/>
    <col min="16" max="16" width="9.28515625" style="76" customWidth="1"/>
    <col min="17" max="1024" width="9.140625" style="76"/>
  </cols>
  <sheetData>
    <row r="1" spans="1:17" ht="15" x14ac:dyDescent="0.25">
      <c r="A1" s="82" t="s">
        <v>153</v>
      </c>
    </row>
    <row r="2" spans="1:17" ht="15" x14ac:dyDescent="0.25">
      <c r="A2" s="82" t="s">
        <v>162</v>
      </c>
      <c r="B2" s="82"/>
    </row>
    <row r="3" spans="1:17" x14ac:dyDescent="0.2">
      <c r="A3" s="76" t="s">
        <v>2</v>
      </c>
    </row>
    <row r="5" spans="1:17" ht="21.75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6" spans="1:17" ht="15" customHeight="1" x14ac:dyDescent="0.2"/>
    <row r="7" spans="1:17" s="82" customFormat="1" ht="15" customHeight="1" x14ac:dyDescent="0.25">
      <c r="A7" s="82" t="s">
        <v>15</v>
      </c>
      <c r="D7" s="83">
        <v>24629</v>
      </c>
      <c r="E7" s="83">
        <v>15953</v>
      </c>
      <c r="F7" s="83">
        <v>20930</v>
      </c>
      <c r="G7" s="83">
        <v>26630</v>
      </c>
      <c r="H7" s="83">
        <v>15539</v>
      </c>
      <c r="I7" s="83">
        <v>18116</v>
      </c>
      <c r="J7" s="83">
        <v>23079</v>
      </c>
      <c r="K7" s="83">
        <v>19227</v>
      </c>
      <c r="L7" s="83">
        <v>16068</v>
      </c>
      <c r="M7" s="83">
        <v>21892</v>
      </c>
      <c r="N7" s="83">
        <v>15073</v>
      </c>
      <c r="O7" s="83">
        <v>25578</v>
      </c>
      <c r="P7" s="83">
        <v>242714</v>
      </c>
      <c r="Q7" s="88"/>
    </row>
    <row r="8" spans="1:17" ht="15" customHeight="1" x14ac:dyDescent="0.25">
      <c r="B8" s="76" t="s">
        <v>16</v>
      </c>
      <c r="D8" s="84">
        <v>22121</v>
      </c>
      <c r="E8" s="84">
        <v>13640</v>
      </c>
      <c r="F8" s="84">
        <v>16018</v>
      </c>
      <c r="G8" s="84">
        <v>25189</v>
      </c>
      <c r="H8" s="84">
        <v>12914</v>
      </c>
      <c r="I8" s="84">
        <v>15642</v>
      </c>
      <c r="J8" s="84">
        <v>20034</v>
      </c>
      <c r="K8" s="84">
        <v>16249</v>
      </c>
      <c r="L8" s="84">
        <v>12806</v>
      </c>
      <c r="M8" s="84">
        <v>19542</v>
      </c>
      <c r="N8" s="84">
        <v>13995</v>
      </c>
      <c r="O8" s="84">
        <v>20555</v>
      </c>
      <c r="P8" s="84">
        <v>208705</v>
      </c>
      <c r="Q8" s="88"/>
    </row>
    <row r="9" spans="1:17" ht="15" customHeight="1" x14ac:dyDescent="0.25">
      <c r="C9" s="76" t="s">
        <v>17</v>
      </c>
      <c r="D9" s="85">
        <v>15661</v>
      </c>
      <c r="E9" s="85">
        <v>7731</v>
      </c>
      <c r="F9" s="85">
        <v>7975</v>
      </c>
      <c r="G9" s="85">
        <v>19322</v>
      </c>
      <c r="H9" s="85">
        <v>7625</v>
      </c>
      <c r="I9" s="85">
        <v>9624</v>
      </c>
      <c r="J9" s="85">
        <v>14245</v>
      </c>
      <c r="K9" s="85">
        <v>10541</v>
      </c>
      <c r="L9" s="85">
        <v>7592</v>
      </c>
      <c r="M9" s="85">
        <v>13651</v>
      </c>
      <c r="N9" s="85">
        <v>7868</v>
      </c>
      <c r="O9" s="85">
        <v>12069</v>
      </c>
      <c r="P9" s="85">
        <v>133904</v>
      </c>
      <c r="Q9" s="88"/>
    </row>
    <row r="10" spans="1:17" ht="15" customHeight="1" x14ac:dyDescent="0.25">
      <c r="C10" s="76" t="s">
        <v>21</v>
      </c>
      <c r="D10" s="85">
        <v>6286</v>
      </c>
      <c r="E10" s="85">
        <v>5757</v>
      </c>
      <c r="F10" s="85">
        <v>7872</v>
      </c>
      <c r="G10" s="85">
        <v>5724</v>
      </c>
      <c r="H10" s="85">
        <v>5153</v>
      </c>
      <c r="I10" s="85">
        <v>5934</v>
      </c>
      <c r="J10" s="85">
        <v>5632</v>
      </c>
      <c r="K10" s="85">
        <v>5498</v>
      </c>
      <c r="L10" s="85">
        <v>5069</v>
      </c>
      <c r="M10" s="85">
        <v>5730</v>
      </c>
      <c r="N10" s="85">
        <v>5986</v>
      </c>
      <c r="O10" s="85">
        <v>8229</v>
      </c>
      <c r="P10" s="85">
        <v>72870</v>
      </c>
      <c r="Q10" s="88"/>
    </row>
    <row r="11" spans="1:17" ht="15" customHeight="1" x14ac:dyDescent="0.25">
      <c r="C11" s="76" t="s">
        <v>88</v>
      </c>
      <c r="D11" s="85">
        <v>174</v>
      </c>
      <c r="E11" s="85">
        <v>152</v>
      </c>
      <c r="F11" s="85">
        <v>171</v>
      </c>
      <c r="G11" s="85">
        <v>143</v>
      </c>
      <c r="H11" s="85">
        <v>136</v>
      </c>
      <c r="I11" s="85">
        <v>84</v>
      </c>
      <c r="J11" s="85">
        <v>157</v>
      </c>
      <c r="K11" s="85">
        <v>210</v>
      </c>
      <c r="L11" s="85">
        <v>145</v>
      </c>
      <c r="M11" s="85">
        <v>161</v>
      </c>
      <c r="N11" s="85">
        <v>141</v>
      </c>
      <c r="O11" s="85">
        <v>257</v>
      </c>
      <c r="P11" s="85">
        <v>1931</v>
      </c>
      <c r="Q11" s="88"/>
    </row>
    <row r="12" spans="1:17" ht="15" customHeight="1" x14ac:dyDescent="0.25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8"/>
    </row>
    <row r="13" spans="1:17" ht="15" customHeight="1" x14ac:dyDescent="0.25">
      <c r="B13" s="76" t="s">
        <v>23</v>
      </c>
      <c r="D13" s="84">
        <v>2349</v>
      </c>
      <c r="E13" s="84">
        <v>2203</v>
      </c>
      <c r="F13" s="84">
        <v>4808</v>
      </c>
      <c r="G13" s="84">
        <v>1383</v>
      </c>
      <c r="H13" s="84">
        <v>2363</v>
      </c>
      <c r="I13" s="84">
        <v>2406</v>
      </c>
      <c r="J13" s="84">
        <v>2445</v>
      </c>
      <c r="K13" s="84">
        <v>2862</v>
      </c>
      <c r="L13" s="84">
        <v>3028</v>
      </c>
      <c r="M13" s="84">
        <v>2334</v>
      </c>
      <c r="N13" s="84">
        <v>907</v>
      </c>
      <c r="O13" s="84">
        <v>4777</v>
      </c>
      <c r="P13" s="84">
        <v>31865</v>
      </c>
      <c r="Q13" s="88"/>
    </row>
    <row r="14" spans="1:17" ht="15" customHeight="1" x14ac:dyDescent="0.25">
      <c r="C14" s="76" t="s">
        <v>24</v>
      </c>
      <c r="D14" s="85">
        <v>1574</v>
      </c>
      <c r="E14" s="85">
        <v>1127</v>
      </c>
      <c r="F14" s="85">
        <v>1810</v>
      </c>
      <c r="G14" s="85">
        <v>920</v>
      </c>
      <c r="H14" s="85">
        <v>1060</v>
      </c>
      <c r="I14" s="85">
        <v>1673</v>
      </c>
      <c r="J14" s="85">
        <v>1660</v>
      </c>
      <c r="K14" s="85">
        <v>2056</v>
      </c>
      <c r="L14" s="85">
        <v>2118</v>
      </c>
      <c r="M14" s="85">
        <v>1608</v>
      </c>
      <c r="N14" s="85">
        <v>507</v>
      </c>
      <c r="O14" s="85">
        <v>3956</v>
      </c>
      <c r="P14" s="85">
        <v>20069</v>
      </c>
      <c r="Q14" s="88"/>
    </row>
    <row r="15" spans="1:17" ht="15" customHeight="1" x14ac:dyDescent="0.25">
      <c r="C15" s="76" t="s">
        <v>150</v>
      </c>
      <c r="D15" s="85">
        <v>650</v>
      </c>
      <c r="E15" s="85">
        <v>668</v>
      </c>
      <c r="F15" s="85">
        <v>676</v>
      </c>
      <c r="G15" s="85">
        <v>322</v>
      </c>
      <c r="H15" s="85">
        <v>701</v>
      </c>
      <c r="I15" s="85">
        <v>367</v>
      </c>
      <c r="J15" s="85">
        <v>683</v>
      </c>
      <c r="K15" s="85">
        <v>600</v>
      </c>
      <c r="L15" s="85">
        <v>121</v>
      </c>
      <c r="M15" s="85">
        <v>465</v>
      </c>
      <c r="N15" s="85">
        <v>273</v>
      </c>
      <c r="O15" s="85">
        <v>363</v>
      </c>
      <c r="P15" s="85">
        <v>5889</v>
      </c>
      <c r="Q15" s="88"/>
    </row>
    <row r="16" spans="1:17" ht="15" customHeight="1" x14ac:dyDescent="0.25">
      <c r="C16" s="76" t="s">
        <v>160</v>
      </c>
      <c r="D16" s="85">
        <v>0</v>
      </c>
      <c r="E16" s="85">
        <v>384</v>
      </c>
      <c r="F16" s="85">
        <v>0</v>
      </c>
      <c r="G16" s="85">
        <v>0</v>
      </c>
      <c r="H16" s="85">
        <v>339</v>
      </c>
      <c r="I16" s="85">
        <v>0</v>
      </c>
      <c r="J16" s="85">
        <v>0</v>
      </c>
      <c r="K16" s="85">
        <v>0</v>
      </c>
      <c r="L16" s="85">
        <v>523</v>
      </c>
      <c r="M16" s="85">
        <v>0</v>
      </c>
      <c r="N16" s="85">
        <v>0</v>
      </c>
      <c r="O16" s="85">
        <v>458</v>
      </c>
      <c r="P16" s="85">
        <v>1704</v>
      </c>
      <c r="Q16" s="88"/>
    </row>
    <row r="17" spans="1:17" ht="15" customHeight="1" x14ac:dyDescent="0.25">
      <c r="C17" s="76" t="s">
        <v>26</v>
      </c>
      <c r="D17" s="85">
        <v>125</v>
      </c>
      <c r="E17" s="85">
        <v>24</v>
      </c>
      <c r="F17" s="85">
        <v>0</v>
      </c>
      <c r="G17" s="85">
        <v>141</v>
      </c>
      <c r="H17" s="85">
        <v>260</v>
      </c>
      <c r="I17" s="85">
        <v>366</v>
      </c>
      <c r="J17" s="85">
        <v>102</v>
      </c>
      <c r="K17" s="85">
        <v>205</v>
      </c>
      <c r="L17" s="85">
        <v>266</v>
      </c>
      <c r="M17" s="85">
        <v>261</v>
      </c>
      <c r="N17" s="85">
        <v>127</v>
      </c>
      <c r="O17" s="85">
        <v>0</v>
      </c>
      <c r="P17" s="85">
        <v>1877</v>
      </c>
      <c r="Q17" s="88"/>
    </row>
    <row r="18" spans="1:17" ht="15" customHeight="1" x14ac:dyDescent="0.25">
      <c r="C18" s="76" t="s">
        <v>106</v>
      </c>
      <c r="D18" s="85">
        <v>0</v>
      </c>
      <c r="E18" s="85">
        <v>0</v>
      </c>
      <c r="F18" s="85">
        <v>2322</v>
      </c>
      <c r="G18" s="85">
        <v>0</v>
      </c>
      <c r="H18" s="85">
        <v>3</v>
      </c>
      <c r="I18" s="85">
        <v>0</v>
      </c>
      <c r="J18" s="85">
        <v>0</v>
      </c>
      <c r="K18" s="85">
        <v>1</v>
      </c>
      <c r="L18" s="85">
        <v>0</v>
      </c>
      <c r="M18" s="85">
        <v>0</v>
      </c>
      <c r="N18" s="85">
        <v>0</v>
      </c>
      <c r="O18" s="85">
        <v>0</v>
      </c>
      <c r="P18" s="85">
        <v>2326</v>
      </c>
      <c r="Q18" s="88"/>
    </row>
    <row r="19" spans="1:17" ht="15" customHeight="1" x14ac:dyDescent="0.25"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8"/>
    </row>
    <row r="20" spans="1:17" ht="15" customHeight="1" x14ac:dyDescent="0.25">
      <c r="B20" s="76" t="s">
        <v>29</v>
      </c>
      <c r="D20" s="85">
        <v>159</v>
      </c>
      <c r="E20" s="85">
        <v>110</v>
      </c>
      <c r="F20" s="85">
        <v>104</v>
      </c>
      <c r="G20" s="85">
        <v>58</v>
      </c>
      <c r="H20" s="85">
        <v>262</v>
      </c>
      <c r="I20" s="85">
        <v>68</v>
      </c>
      <c r="J20" s="85">
        <v>600</v>
      </c>
      <c r="K20" s="85">
        <v>116</v>
      </c>
      <c r="L20" s="85">
        <v>234</v>
      </c>
      <c r="M20" s="85">
        <v>16</v>
      </c>
      <c r="N20" s="85">
        <v>171</v>
      </c>
      <c r="O20" s="85">
        <v>246</v>
      </c>
      <c r="P20" s="85">
        <v>2144</v>
      </c>
      <c r="Q20" s="88"/>
    </row>
    <row r="21" spans="1:17" ht="15" customHeight="1" x14ac:dyDescent="0.25"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8"/>
    </row>
    <row r="22" spans="1:17" s="82" customFormat="1" ht="15" customHeight="1" x14ac:dyDescent="0.25">
      <c r="A22" s="82" t="s">
        <v>30</v>
      </c>
      <c r="D22" s="83">
        <v>25134</v>
      </c>
      <c r="E22" s="83">
        <v>18752</v>
      </c>
      <c r="F22" s="83">
        <v>12600</v>
      </c>
      <c r="G22" s="83">
        <v>21690</v>
      </c>
      <c r="H22" s="83">
        <v>21277</v>
      </c>
      <c r="I22" s="83">
        <v>18451</v>
      </c>
      <c r="J22" s="83">
        <v>24871</v>
      </c>
      <c r="K22" s="83">
        <v>19654</v>
      </c>
      <c r="L22" s="83">
        <v>23304</v>
      </c>
      <c r="M22" s="83">
        <v>20362</v>
      </c>
      <c r="N22" s="83">
        <v>24130</v>
      </c>
      <c r="O22" s="83">
        <v>28455</v>
      </c>
      <c r="P22" s="83">
        <v>258680</v>
      </c>
      <c r="Q22" s="88"/>
    </row>
    <row r="23" spans="1:17" ht="15" customHeight="1" x14ac:dyDescent="0.25">
      <c r="B23" s="76" t="s">
        <v>18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8"/>
    </row>
    <row r="24" spans="1:17" ht="15" customHeight="1" x14ac:dyDescent="0.25">
      <c r="C24" s="76" t="s">
        <v>32</v>
      </c>
      <c r="D24" s="85">
        <v>9730</v>
      </c>
      <c r="E24" s="85">
        <v>7022</v>
      </c>
      <c r="F24" s="85">
        <v>5781</v>
      </c>
      <c r="G24" s="85">
        <v>7707</v>
      </c>
      <c r="H24" s="85">
        <v>4708</v>
      </c>
      <c r="I24" s="85">
        <v>5769</v>
      </c>
      <c r="J24" s="85">
        <v>8890</v>
      </c>
      <c r="K24" s="85">
        <v>5722</v>
      </c>
      <c r="L24" s="85">
        <v>6850</v>
      </c>
      <c r="M24" s="85">
        <v>6316</v>
      </c>
      <c r="N24" s="85">
        <v>5913</v>
      </c>
      <c r="O24" s="85">
        <v>5163</v>
      </c>
      <c r="P24" s="85">
        <v>79571</v>
      </c>
      <c r="Q24" s="88"/>
    </row>
    <row r="25" spans="1:17" ht="15" customHeight="1" x14ac:dyDescent="0.25">
      <c r="C25" s="76" t="s">
        <v>78</v>
      </c>
      <c r="D25" s="85">
        <v>386</v>
      </c>
      <c r="E25" s="85">
        <v>128</v>
      </c>
      <c r="F25" s="85">
        <v>282</v>
      </c>
      <c r="G25" s="85">
        <v>511</v>
      </c>
      <c r="H25" s="85">
        <v>399</v>
      </c>
      <c r="I25" s="85">
        <v>106</v>
      </c>
      <c r="J25" s="85">
        <v>164</v>
      </c>
      <c r="K25" s="85">
        <v>501</v>
      </c>
      <c r="L25" s="85">
        <v>521</v>
      </c>
      <c r="M25" s="85">
        <v>146</v>
      </c>
      <c r="N25" s="85">
        <v>658</v>
      </c>
      <c r="O25" s="85">
        <v>233</v>
      </c>
      <c r="P25" s="85">
        <v>4035</v>
      </c>
      <c r="Q25" s="88"/>
    </row>
    <row r="26" spans="1:17" ht="15" customHeight="1" x14ac:dyDescent="0.25">
      <c r="C26" s="76" t="s">
        <v>31</v>
      </c>
      <c r="D26" s="85">
        <v>982</v>
      </c>
      <c r="E26" s="85">
        <v>983</v>
      </c>
      <c r="F26" s="85">
        <v>983</v>
      </c>
      <c r="G26" s="85">
        <v>993</v>
      </c>
      <c r="H26" s="85">
        <v>1406</v>
      </c>
      <c r="I26" s="85">
        <v>2744</v>
      </c>
      <c r="J26" s="85">
        <v>1445</v>
      </c>
      <c r="K26" s="85">
        <v>1462</v>
      </c>
      <c r="L26" s="85">
        <v>3202</v>
      </c>
      <c r="M26" s="85">
        <v>1537</v>
      </c>
      <c r="N26" s="85">
        <v>2803</v>
      </c>
      <c r="O26" s="85">
        <v>1635</v>
      </c>
      <c r="P26" s="85">
        <v>20175</v>
      </c>
      <c r="Q26" s="88"/>
    </row>
    <row r="27" spans="1:17" ht="15" customHeight="1" x14ac:dyDescent="0.25">
      <c r="C27" s="76" t="s">
        <v>33</v>
      </c>
      <c r="D27" s="85">
        <v>11</v>
      </c>
      <c r="E27" s="85">
        <v>635</v>
      </c>
      <c r="F27" s="85">
        <v>238</v>
      </c>
      <c r="G27" s="85">
        <v>37</v>
      </c>
      <c r="H27" s="85">
        <v>334</v>
      </c>
      <c r="I27" s="85">
        <v>358</v>
      </c>
      <c r="J27" s="85">
        <v>675</v>
      </c>
      <c r="K27" s="85">
        <v>192</v>
      </c>
      <c r="L27" s="85">
        <v>463</v>
      </c>
      <c r="M27" s="85">
        <v>328</v>
      </c>
      <c r="N27" s="85">
        <v>1312</v>
      </c>
      <c r="O27" s="85">
        <v>3130</v>
      </c>
      <c r="P27" s="85">
        <v>7713</v>
      </c>
      <c r="Q27" s="88"/>
    </row>
    <row r="28" spans="1:17" ht="15" customHeight="1" x14ac:dyDescent="0.25">
      <c r="C28" s="76" t="s">
        <v>35</v>
      </c>
      <c r="D28" s="85">
        <v>0</v>
      </c>
      <c r="E28" s="85">
        <v>57</v>
      </c>
      <c r="F28" s="85">
        <v>-8296</v>
      </c>
      <c r="G28" s="85">
        <v>172</v>
      </c>
      <c r="H28" s="85">
        <v>50</v>
      </c>
      <c r="I28" s="85">
        <v>-1904</v>
      </c>
      <c r="J28" s="85">
        <v>10</v>
      </c>
      <c r="K28" s="85">
        <v>108</v>
      </c>
      <c r="L28" s="85">
        <v>-72</v>
      </c>
      <c r="M28" s="85">
        <v>146</v>
      </c>
      <c r="N28" s="85">
        <v>520</v>
      </c>
      <c r="O28" s="85">
        <v>59</v>
      </c>
      <c r="P28" s="85">
        <v>-9150</v>
      </c>
      <c r="Q28" s="88"/>
    </row>
    <row r="29" spans="1:17" ht="15" customHeight="1" x14ac:dyDescent="0.25">
      <c r="C29" s="76" t="s">
        <v>79</v>
      </c>
      <c r="D29" s="85">
        <v>205</v>
      </c>
      <c r="E29" s="85">
        <v>-218</v>
      </c>
      <c r="F29" s="85">
        <v>320</v>
      </c>
      <c r="G29" s="85">
        <v>278</v>
      </c>
      <c r="H29" s="85">
        <v>925</v>
      </c>
      <c r="I29" s="85">
        <v>-428</v>
      </c>
      <c r="J29" s="85">
        <v>40</v>
      </c>
      <c r="K29" s="85">
        <v>-18</v>
      </c>
      <c r="L29" s="85">
        <v>352</v>
      </c>
      <c r="M29" s="85">
        <v>155</v>
      </c>
      <c r="N29" s="85">
        <v>321</v>
      </c>
      <c r="O29" s="85">
        <v>269</v>
      </c>
      <c r="P29" s="85">
        <v>2201</v>
      </c>
      <c r="Q29" s="88"/>
    </row>
    <row r="30" spans="1:17" ht="15" customHeight="1" x14ac:dyDescent="0.25"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8"/>
    </row>
    <row r="31" spans="1:17" s="82" customFormat="1" ht="15" customHeight="1" x14ac:dyDescent="0.25">
      <c r="A31" s="82" t="s">
        <v>137</v>
      </c>
      <c r="D31" s="88">
        <v>-505</v>
      </c>
      <c r="E31" s="88">
        <v>-2799</v>
      </c>
      <c r="F31" s="88">
        <v>8330</v>
      </c>
      <c r="G31" s="88">
        <v>4940</v>
      </c>
      <c r="H31" s="88">
        <v>-5738</v>
      </c>
      <c r="I31" s="88">
        <v>-335</v>
      </c>
      <c r="J31" s="88">
        <v>-1792</v>
      </c>
      <c r="K31" s="88">
        <v>-427</v>
      </c>
      <c r="L31" s="88">
        <v>-7236</v>
      </c>
      <c r="M31" s="88">
        <v>1530</v>
      </c>
      <c r="N31" s="88">
        <v>-9057</v>
      </c>
      <c r="O31" s="88">
        <v>-2877</v>
      </c>
      <c r="P31" s="88">
        <v>-15966</v>
      </c>
      <c r="Q31" s="88"/>
    </row>
    <row r="32" spans="1:17" ht="15" customHeight="1" x14ac:dyDescent="0.25"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8"/>
    </row>
    <row r="33" spans="1:19" s="82" customFormat="1" ht="15" customHeight="1" x14ac:dyDescent="0.25">
      <c r="A33" s="82" t="s">
        <v>39</v>
      </c>
      <c r="D33" s="83">
        <v>18021</v>
      </c>
      <c r="E33" s="83">
        <v>27156</v>
      </c>
      <c r="F33" s="83">
        <v>20457</v>
      </c>
      <c r="G33" s="83">
        <v>-4019</v>
      </c>
      <c r="H33" s="83">
        <v>1266</v>
      </c>
      <c r="I33" s="83">
        <v>3896</v>
      </c>
      <c r="J33" s="83">
        <v>10783</v>
      </c>
      <c r="K33" s="83">
        <v>10133</v>
      </c>
      <c r="L33" s="83">
        <v>26072</v>
      </c>
      <c r="M33" s="83">
        <v>15180</v>
      </c>
      <c r="N33" s="83">
        <v>16008</v>
      </c>
      <c r="O33" s="83">
        <v>7685</v>
      </c>
      <c r="P33" s="83">
        <v>152638</v>
      </c>
      <c r="Q33" s="88"/>
      <c r="R33" s="131"/>
      <c r="S33" s="131"/>
    </row>
    <row r="34" spans="1:19" ht="15" customHeight="1" x14ac:dyDescent="0.25">
      <c r="B34" s="76" t="s">
        <v>40</v>
      </c>
      <c r="D34" s="84">
        <v>574</v>
      </c>
      <c r="E34" s="84">
        <v>1277</v>
      </c>
      <c r="F34" s="84">
        <v>1199</v>
      </c>
      <c r="G34" s="84">
        <v>-43</v>
      </c>
      <c r="H34" s="84">
        <v>-5966</v>
      </c>
      <c r="I34" s="84">
        <v>1011</v>
      </c>
      <c r="J34" s="84">
        <v>-986</v>
      </c>
      <c r="K34" s="84">
        <v>163</v>
      </c>
      <c r="L34" s="84">
        <v>7708</v>
      </c>
      <c r="M34" s="84">
        <v>1701</v>
      </c>
      <c r="N34" s="84">
        <v>677</v>
      </c>
      <c r="O34" s="84">
        <v>7075</v>
      </c>
      <c r="P34" s="84">
        <v>14390</v>
      </c>
      <c r="Q34" s="88"/>
    </row>
    <row r="35" spans="1:19" ht="15" customHeight="1" x14ac:dyDescent="0.25">
      <c r="C35" s="76" t="s">
        <v>41</v>
      </c>
      <c r="D35" s="85">
        <v>1266</v>
      </c>
      <c r="E35" s="85">
        <v>1769</v>
      </c>
      <c r="F35" s="85">
        <v>2141</v>
      </c>
      <c r="G35" s="85">
        <v>1214</v>
      </c>
      <c r="H35" s="85">
        <v>1294</v>
      </c>
      <c r="I35" s="85">
        <v>2337</v>
      </c>
      <c r="J35" s="85">
        <v>670</v>
      </c>
      <c r="K35" s="85">
        <v>777</v>
      </c>
      <c r="L35" s="85">
        <v>8765</v>
      </c>
      <c r="M35" s="85">
        <v>2998</v>
      </c>
      <c r="N35" s="85">
        <v>2383</v>
      </c>
      <c r="O35" s="85">
        <v>8529</v>
      </c>
      <c r="P35" s="85">
        <v>34143</v>
      </c>
      <c r="Q35" s="88"/>
    </row>
    <row r="36" spans="1:19" ht="15" customHeight="1" x14ac:dyDescent="0.25">
      <c r="C36" s="76" t="s">
        <v>42</v>
      </c>
      <c r="D36" s="85">
        <v>692</v>
      </c>
      <c r="E36" s="85">
        <v>492</v>
      </c>
      <c r="F36" s="85">
        <v>942</v>
      </c>
      <c r="G36" s="85">
        <v>1257</v>
      </c>
      <c r="H36" s="85">
        <v>7260</v>
      </c>
      <c r="I36" s="85">
        <v>1326</v>
      </c>
      <c r="J36" s="85">
        <v>1656</v>
      </c>
      <c r="K36" s="85">
        <v>614</v>
      </c>
      <c r="L36" s="85">
        <v>1057</v>
      </c>
      <c r="M36" s="85">
        <v>1297</v>
      </c>
      <c r="N36" s="85">
        <v>1706</v>
      </c>
      <c r="O36" s="85">
        <v>1454</v>
      </c>
      <c r="P36" s="85">
        <v>19753</v>
      </c>
      <c r="Q36" s="88"/>
    </row>
    <row r="37" spans="1:19" ht="15" customHeight="1" x14ac:dyDescent="0.25"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8"/>
    </row>
    <row r="38" spans="1:19" ht="15" customHeight="1" x14ac:dyDescent="0.25">
      <c r="B38" s="76" t="s">
        <v>43</v>
      </c>
      <c r="D38" s="84">
        <v>17447</v>
      </c>
      <c r="E38" s="84">
        <v>25879</v>
      </c>
      <c r="F38" s="84">
        <v>19258</v>
      </c>
      <c r="G38" s="84">
        <v>-3976</v>
      </c>
      <c r="H38" s="84">
        <v>7232</v>
      </c>
      <c r="I38" s="84">
        <v>2885</v>
      </c>
      <c r="J38" s="84">
        <v>11769</v>
      </c>
      <c r="K38" s="84">
        <v>9970</v>
      </c>
      <c r="L38" s="84">
        <v>18364</v>
      </c>
      <c r="M38" s="84">
        <v>13479</v>
      </c>
      <c r="N38" s="84">
        <v>15331</v>
      </c>
      <c r="O38" s="84">
        <v>610</v>
      </c>
      <c r="P38" s="84">
        <v>138248</v>
      </c>
      <c r="Q38" s="88"/>
    </row>
    <row r="39" spans="1:19" ht="15" customHeight="1" x14ac:dyDescent="0.25">
      <c r="C39" s="76" t="s">
        <v>44</v>
      </c>
      <c r="D39" s="85">
        <v>19565</v>
      </c>
      <c r="E39" s="85">
        <v>25890</v>
      </c>
      <c r="F39" s="85">
        <v>19467</v>
      </c>
      <c r="G39" s="85">
        <v>-626</v>
      </c>
      <c r="H39" s="85">
        <v>7296</v>
      </c>
      <c r="I39" s="85">
        <v>4058</v>
      </c>
      <c r="J39" s="85">
        <v>11982</v>
      </c>
      <c r="K39" s="85">
        <v>11084</v>
      </c>
      <c r="L39" s="85">
        <v>18906</v>
      </c>
      <c r="M39" s="85">
        <v>13579</v>
      </c>
      <c r="N39" s="85">
        <v>15455</v>
      </c>
      <c r="O39" s="85">
        <v>1490</v>
      </c>
      <c r="P39" s="85">
        <v>148146</v>
      </c>
      <c r="Q39" s="88"/>
    </row>
    <row r="40" spans="1:19" ht="15" customHeight="1" x14ac:dyDescent="0.25">
      <c r="C40" s="76" t="s">
        <v>42</v>
      </c>
      <c r="D40" s="85">
        <v>2118</v>
      </c>
      <c r="E40" s="85">
        <v>11</v>
      </c>
      <c r="F40" s="85">
        <v>209</v>
      </c>
      <c r="G40" s="85">
        <v>3350</v>
      </c>
      <c r="H40" s="85">
        <v>64</v>
      </c>
      <c r="I40" s="85">
        <v>1173</v>
      </c>
      <c r="J40" s="85">
        <v>213</v>
      </c>
      <c r="K40" s="85">
        <v>1114</v>
      </c>
      <c r="L40" s="85">
        <v>542</v>
      </c>
      <c r="M40" s="85">
        <v>100</v>
      </c>
      <c r="N40" s="85">
        <v>124</v>
      </c>
      <c r="O40" s="85">
        <v>880</v>
      </c>
      <c r="P40" s="85">
        <v>9898</v>
      </c>
      <c r="Q40" s="88"/>
    </row>
    <row r="41" spans="1:19" ht="15" customHeight="1" x14ac:dyDescent="0.25"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8"/>
    </row>
    <row r="42" spans="1:19" s="82" customFormat="1" ht="15" customHeight="1" x14ac:dyDescent="0.25">
      <c r="A42" s="82" t="s">
        <v>163</v>
      </c>
      <c r="D42" s="83">
        <v>12768</v>
      </c>
      <c r="E42" s="83">
        <v>24013</v>
      </c>
      <c r="F42" s="83">
        <v>30127</v>
      </c>
      <c r="G42" s="83">
        <v>764</v>
      </c>
      <c r="H42" s="83">
        <v>-6222</v>
      </c>
      <c r="I42" s="83">
        <v>8054</v>
      </c>
      <c r="J42" s="83">
        <v>4745</v>
      </c>
      <c r="K42" s="83">
        <v>4356</v>
      </c>
      <c r="L42" s="83">
        <v>13393</v>
      </c>
      <c r="M42" s="83">
        <v>6814</v>
      </c>
      <c r="N42" s="83">
        <v>-4156</v>
      </c>
      <c r="O42" s="83">
        <v>-3997</v>
      </c>
      <c r="P42" s="83">
        <v>90659</v>
      </c>
      <c r="Q42" s="88"/>
    </row>
    <row r="43" spans="1:19" x14ac:dyDescent="0.2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</row>
    <row r="46" spans="1:19" x14ac:dyDescent="0.2">
      <c r="A46" s="86" t="s">
        <v>139</v>
      </c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AMJ46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9.140625" defaultRowHeight="14.25" x14ac:dyDescent="0.2"/>
  <cols>
    <col min="1" max="1" width="1.5703125" style="76" customWidth="1"/>
    <col min="2" max="2" width="1.28515625" style="76" customWidth="1"/>
    <col min="3" max="3" width="24" style="76" customWidth="1"/>
    <col min="4" max="15" width="8" style="76" customWidth="1"/>
    <col min="16" max="1024" width="9.140625" style="76"/>
  </cols>
  <sheetData>
    <row r="1" spans="1:16" ht="15" x14ac:dyDescent="0.25">
      <c r="A1" s="82" t="s">
        <v>153</v>
      </c>
    </row>
    <row r="2" spans="1:16" ht="15" x14ac:dyDescent="0.25">
      <c r="A2" s="82" t="s">
        <v>164</v>
      </c>
      <c r="B2" s="82"/>
    </row>
    <row r="3" spans="1:16" x14ac:dyDescent="0.2">
      <c r="A3" s="76" t="s">
        <v>2</v>
      </c>
    </row>
    <row r="5" spans="1:16" ht="22.5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6" spans="1:16" ht="15.75" customHeight="1" x14ac:dyDescent="0.2"/>
    <row r="7" spans="1:16" s="82" customFormat="1" ht="15.75" customHeight="1" x14ac:dyDescent="0.25">
      <c r="A7" s="82" t="s">
        <v>15</v>
      </c>
      <c r="D7" s="83">
        <v>23105</v>
      </c>
      <c r="E7" s="83">
        <v>12947</v>
      </c>
      <c r="F7" s="83">
        <v>12394</v>
      </c>
      <c r="G7" s="83">
        <v>26293</v>
      </c>
      <c r="H7" s="83">
        <v>16943</v>
      </c>
      <c r="I7" s="83">
        <v>12599</v>
      </c>
      <c r="J7" s="83">
        <v>23537</v>
      </c>
      <c r="K7" s="83">
        <v>16140</v>
      </c>
      <c r="L7" s="83">
        <v>13929</v>
      </c>
      <c r="M7" s="83">
        <v>20536</v>
      </c>
      <c r="N7" s="83">
        <v>17299</v>
      </c>
      <c r="O7" s="83">
        <v>25065</v>
      </c>
      <c r="P7" s="83">
        <v>220787</v>
      </c>
    </row>
    <row r="8" spans="1:16" ht="15.75" customHeight="1" x14ac:dyDescent="0.2">
      <c r="B8" s="76" t="s">
        <v>16</v>
      </c>
      <c r="D8" s="84">
        <v>17580</v>
      </c>
      <c r="E8" s="84">
        <v>11800</v>
      </c>
      <c r="F8" s="84">
        <v>11127</v>
      </c>
      <c r="G8" s="84">
        <v>22874</v>
      </c>
      <c r="H8" s="84">
        <v>14685</v>
      </c>
      <c r="I8" s="84">
        <v>10730</v>
      </c>
      <c r="J8" s="84">
        <v>19547</v>
      </c>
      <c r="K8" s="84">
        <v>14599</v>
      </c>
      <c r="L8" s="84">
        <v>11524</v>
      </c>
      <c r="M8" s="84">
        <v>18407</v>
      </c>
      <c r="N8" s="84">
        <v>14607</v>
      </c>
      <c r="O8" s="84">
        <v>14795</v>
      </c>
      <c r="P8" s="84">
        <v>182275</v>
      </c>
    </row>
    <row r="9" spans="1:16" ht="15.75" customHeight="1" x14ac:dyDescent="0.2">
      <c r="C9" s="76" t="s">
        <v>17</v>
      </c>
      <c r="D9" s="85">
        <v>12816</v>
      </c>
      <c r="E9" s="85">
        <v>5988</v>
      </c>
      <c r="F9" s="85">
        <v>5924</v>
      </c>
      <c r="G9" s="85">
        <v>17489</v>
      </c>
      <c r="H9" s="85">
        <v>9806</v>
      </c>
      <c r="I9" s="85">
        <v>6225</v>
      </c>
      <c r="J9" s="85">
        <v>12702</v>
      </c>
      <c r="K9" s="85">
        <v>9227</v>
      </c>
      <c r="L9" s="85">
        <v>5919</v>
      </c>
      <c r="M9" s="85">
        <v>12564</v>
      </c>
      <c r="N9" s="85">
        <v>9238</v>
      </c>
      <c r="O9" s="85">
        <v>8358</v>
      </c>
      <c r="P9" s="85">
        <v>116256</v>
      </c>
    </row>
    <row r="10" spans="1:16" ht="15.75" customHeight="1" x14ac:dyDescent="0.2">
      <c r="C10" s="76" t="s">
        <v>21</v>
      </c>
      <c r="D10" s="85">
        <v>4642</v>
      </c>
      <c r="E10" s="85">
        <v>5673</v>
      </c>
      <c r="F10" s="85">
        <v>5072</v>
      </c>
      <c r="G10" s="85">
        <v>5213</v>
      </c>
      <c r="H10" s="85">
        <v>4703</v>
      </c>
      <c r="I10" s="85">
        <v>4376</v>
      </c>
      <c r="J10" s="85">
        <v>6680</v>
      </c>
      <c r="K10" s="85">
        <v>5240</v>
      </c>
      <c r="L10" s="85">
        <v>5463</v>
      </c>
      <c r="M10" s="85">
        <v>5678</v>
      </c>
      <c r="N10" s="85">
        <v>5282</v>
      </c>
      <c r="O10" s="85">
        <v>6369</v>
      </c>
      <c r="P10" s="85">
        <v>64391</v>
      </c>
    </row>
    <row r="11" spans="1:16" ht="15.75" customHeight="1" x14ac:dyDescent="0.2">
      <c r="C11" s="76" t="s">
        <v>88</v>
      </c>
      <c r="D11" s="85">
        <v>122</v>
      </c>
      <c r="E11" s="85">
        <v>139</v>
      </c>
      <c r="F11" s="85">
        <v>131</v>
      </c>
      <c r="G11" s="85">
        <v>172</v>
      </c>
      <c r="H11" s="85">
        <v>176</v>
      </c>
      <c r="I11" s="85">
        <v>129</v>
      </c>
      <c r="J11" s="85">
        <v>165</v>
      </c>
      <c r="K11" s="85">
        <v>132</v>
      </c>
      <c r="L11" s="85">
        <v>142</v>
      </c>
      <c r="M11" s="85">
        <v>165</v>
      </c>
      <c r="N11" s="85">
        <v>87</v>
      </c>
      <c r="O11" s="85">
        <v>68</v>
      </c>
      <c r="P11" s="85">
        <v>1628</v>
      </c>
    </row>
    <row r="12" spans="1:16" ht="15.75" customHeight="1" x14ac:dyDescent="0.2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1:16" ht="15.75" customHeight="1" x14ac:dyDescent="0.2">
      <c r="B13" s="76" t="s">
        <v>23</v>
      </c>
      <c r="D13" s="84">
        <v>5480</v>
      </c>
      <c r="E13" s="84">
        <v>1109</v>
      </c>
      <c r="F13" s="84">
        <v>1236</v>
      </c>
      <c r="G13" s="84">
        <v>3374</v>
      </c>
      <c r="H13" s="84">
        <v>1540</v>
      </c>
      <c r="I13" s="84">
        <v>1546</v>
      </c>
      <c r="J13" s="84">
        <v>3951</v>
      </c>
      <c r="K13" s="84">
        <v>1476</v>
      </c>
      <c r="L13" s="84">
        <v>2389</v>
      </c>
      <c r="M13" s="84">
        <v>2059</v>
      </c>
      <c r="N13" s="84">
        <v>2560</v>
      </c>
      <c r="O13" s="84">
        <v>8720</v>
      </c>
      <c r="P13" s="84">
        <v>35440</v>
      </c>
    </row>
    <row r="14" spans="1:16" ht="15.75" customHeight="1" x14ac:dyDescent="0.2">
      <c r="C14" s="76" t="s">
        <v>24</v>
      </c>
      <c r="D14" s="85">
        <v>4269</v>
      </c>
      <c r="E14" s="85">
        <v>614</v>
      </c>
      <c r="F14" s="85">
        <v>540</v>
      </c>
      <c r="G14" s="85">
        <v>2456</v>
      </c>
      <c r="H14" s="85">
        <v>663</v>
      </c>
      <c r="I14" s="85">
        <v>532</v>
      </c>
      <c r="J14" s="85">
        <v>2951</v>
      </c>
      <c r="K14" s="85">
        <v>904</v>
      </c>
      <c r="L14" s="85">
        <v>1216</v>
      </c>
      <c r="M14" s="85">
        <v>1079</v>
      </c>
      <c r="N14" s="85">
        <v>1081</v>
      </c>
      <c r="O14" s="85">
        <v>5741</v>
      </c>
      <c r="P14" s="85">
        <v>22046</v>
      </c>
    </row>
    <row r="15" spans="1:16" ht="15.75" customHeight="1" x14ac:dyDescent="0.2">
      <c r="C15" s="76" t="s">
        <v>150</v>
      </c>
      <c r="D15" s="85">
        <v>717</v>
      </c>
      <c r="E15" s="85">
        <v>395</v>
      </c>
      <c r="F15" s="85">
        <v>592</v>
      </c>
      <c r="G15" s="85">
        <v>759</v>
      </c>
      <c r="H15" s="85">
        <v>589</v>
      </c>
      <c r="I15" s="85">
        <v>690</v>
      </c>
      <c r="J15" s="85">
        <v>833</v>
      </c>
      <c r="K15" s="85">
        <v>516</v>
      </c>
      <c r="L15" s="85">
        <v>507</v>
      </c>
      <c r="M15" s="85">
        <v>379</v>
      </c>
      <c r="N15" s="85">
        <v>868</v>
      </c>
      <c r="O15" s="85">
        <v>369</v>
      </c>
      <c r="P15" s="85">
        <v>7214</v>
      </c>
    </row>
    <row r="16" spans="1:16" ht="15.75" customHeight="1" x14ac:dyDescent="0.2">
      <c r="C16" s="76" t="s">
        <v>160</v>
      </c>
      <c r="D16" s="85">
        <v>0</v>
      </c>
      <c r="E16" s="85">
        <v>0</v>
      </c>
      <c r="F16" s="85">
        <v>0</v>
      </c>
      <c r="G16" s="85">
        <v>0</v>
      </c>
      <c r="H16" s="85">
        <v>143</v>
      </c>
      <c r="I16" s="85">
        <v>0</v>
      </c>
      <c r="J16" s="85">
        <v>0</v>
      </c>
      <c r="K16" s="85">
        <v>0</v>
      </c>
      <c r="L16" s="85">
        <v>309</v>
      </c>
      <c r="M16" s="85">
        <v>0</v>
      </c>
      <c r="N16" s="85">
        <v>240</v>
      </c>
      <c r="O16" s="85">
        <v>967</v>
      </c>
      <c r="P16" s="85">
        <v>1659</v>
      </c>
    </row>
    <row r="17" spans="1:17" ht="15.75" customHeight="1" x14ac:dyDescent="0.2">
      <c r="C17" s="76" t="s">
        <v>26</v>
      </c>
      <c r="D17" s="85">
        <v>461</v>
      </c>
      <c r="E17" s="85">
        <v>98</v>
      </c>
      <c r="F17" s="85">
        <v>82</v>
      </c>
      <c r="G17" s="85">
        <v>157</v>
      </c>
      <c r="H17" s="85">
        <v>42</v>
      </c>
      <c r="I17" s="85">
        <v>322</v>
      </c>
      <c r="J17" s="85">
        <v>156</v>
      </c>
      <c r="K17" s="85">
        <v>52</v>
      </c>
      <c r="L17" s="85">
        <v>138</v>
      </c>
      <c r="M17" s="85">
        <v>600</v>
      </c>
      <c r="N17" s="85">
        <v>371</v>
      </c>
      <c r="O17" s="85">
        <v>1643</v>
      </c>
      <c r="P17" s="85">
        <v>4122</v>
      </c>
    </row>
    <row r="18" spans="1:17" ht="15.75" customHeight="1" x14ac:dyDescent="0.2">
      <c r="C18" s="76" t="s">
        <v>106</v>
      </c>
      <c r="D18" s="85">
        <v>33</v>
      </c>
      <c r="E18" s="85">
        <v>2</v>
      </c>
      <c r="F18" s="85">
        <v>22</v>
      </c>
      <c r="G18" s="85">
        <v>2</v>
      </c>
      <c r="H18" s="85">
        <v>103</v>
      </c>
      <c r="I18" s="85">
        <v>2</v>
      </c>
      <c r="J18" s="85">
        <v>11</v>
      </c>
      <c r="K18" s="85">
        <v>4</v>
      </c>
      <c r="L18" s="85">
        <v>219</v>
      </c>
      <c r="M18" s="85">
        <v>1</v>
      </c>
      <c r="N18" s="85">
        <v>0</v>
      </c>
      <c r="O18" s="85">
        <v>0</v>
      </c>
      <c r="P18" s="85">
        <v>399</v>
      </c>
    </row>
    <row r="19" spans="1:17" ht="15.75" customHeight="1" x14ac:dyDescent="0.2"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</row>
    <row r="20" spans="1:17" ht="15.75" customHeight="1" x14ac:dyDescent="0.2">
      <c r="B20" s="76" t="s">
        <v>29</v>
      </c>
      <c r="D20" s="85">
        <v>45</v>
      </c>
      <c r="E20" s="85">
        <v>38</v>
      </c>
      <c r="F20" s="85">
        <v>31</v>
      </c>
      <c r="G20" s="85">
        <v>45</v>
      </c>
      <c r="H20" s="85">
        <v>718</v>
      </c>
      <c r="I20" s="85">
        <v>323</v>
      </c>
      <c r="J20" s="85">
        <v>39</v>
      </c>
      <c r="K20" s="85">
        <v>65</v>
      </c>
      <c r="L20" s="85">
        <v>16</v>
      </c>
      <c r="M20" s="85">
        <v>70</v>
      </c>
      <c r="N20" s="85">
        <v>132</v>
      </c>
      <c r="O20" s="85">
        <v>1550</v>
      </c>
      <c r="P20" s="85">
        <v>3072</v>
      </c>
    </row>
    <row r="21" spans="1:17" ht="15.75" customHeight="1" x14ac:dyDescent="0.2"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1:17" s="82" customFormat="1" ht="15.75" customHeight="1" x14ac:dyDescent="0.25">
      <c r="A22" s="82" t="s">
        <v>30</v>
      </c>
      <c r="D22" s="83">
        <v>18179</v>
      </c>
      <c r="E22" s="83">
        <v>13780</v>
      </c>
      <c r="F22" s="83">
        <v>13959</v>
      </c>
      <c r="G22" s="83">
        <v>24393</v>
      </c>
      <c r="H22" s="83">
        <v>21588</v>
      </c>
      <c r="I22" s="83">
        <v>16883</v>
      </c>
      <c r="J22" s="83">
        <v>26337</v>
      </c>
      <c r="K22" s="83">
        <v>17512</v>
      </c>
      <c r="L22" s="83">
        <v>17565</v>
      </c>
      <c r="M22" s="83">
        <v>25316</v>
      </c>
      <c r="N22" s="83">
        <v>24778</v>
      </c>
      <c r="O22" s="83">
        <v>26846</v>
      </c>
      <c r="P22" s="83">
        <v>247136</v>
      </c>
      <c r="Q22" s="85"/>
    </row>
    <row r="23" spans="1:17" ht="15.75" customHeight="1" x14ac:dyDescent="0.2">
      <c r="B23" s="76" t="s">
        <v>18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5"/>
    </row>
    <row r="24" spans="1:17" ht="15.75" customHeight="1" x14ac:dyDescent="0.2">
      <c r="C24" s="76" t="s">
        <v>32</v>
      </c>
      <c r="D24" s="85">
        <v>4640</v>
      </c>
      <c r="E24" s="85">
        <v>4655</v>
      </c>
      <c r="F24" s="85">
        <v>4062</v>
      </c>
      <c r="G24" s="85">
        <v>11686</v>
      </c>
      <c r="H24" s="85">
        <v>6844</v>
      </c>
      <c r="I24" s="85">
        <v>5596</v>
      </c>
      <c r="J24" s="85">
        <v>8243</v>
      </c>
      <c r="K24" s="85">
        <v>4085</v>
      </c>
      <c r="L24" s="85">
        <v>3566</v>
      </c>
      <c r="M24" s="85">
        <v>9185</v>
      </c>
      <c r="N24" s="85">
        <v>5465</v>
      </c>
      <c r="O24" s="85">
        <v>6895</v>
      </c>
      <c r="P24" s="85">
        <v>74922</v>
      </c>
      <c r="Q24" s="85"/>
    </row>
    <row r="25" spans="1:17" ht="15.75" customHeight="1" x14ac:dyDescent="0.2">
      <c r="C25" s="76" t="s">
        <v>78</v>
      </c>
      <c r="D25" s="85">
        <v>164</v>
      </c>
      <c r="E25" s="85">
        <v>41</v>
      </c>
      <c r="F25" s="85">
        <v>164</v>
      </c>
      <c r="G25" s="85">
        <v>2579</v>
      </c>
      <c r="H25" s="85">
        <v>282</v>
      </c>
      <c r="I25" s="85">
        <v>1205</v>
      </c>
      <c r="J25" s="85">
        <v>145</v>
      </c>
      <c r="K25" s="85">
        <v>102</v>
      </c>
      <c r="L25" s="85">
        <v>76</v>
      </c>
      <c r="M25" s="85">
        <v>972</v>
      </c>
      <c r="N25" s="85">
        <v>1055</v>
      </c>
      <c r="O25" s="85">
        <v>1181</v>
      </c>
      <c r="P25" s="85">
        <v>7966</v>
      </c>
      <c r="Q25" s="85"/>
    </row>
    <row r="26" spans="1:17" ht="15.75" customHeight="1" x14ac:dyDescent="0.2">
      <c r="C26" s="76" t="s">
        <v>31</v>
      </c>
      <c r="D26" s="85">
        <v>592</v>
      </c>
      <c r="E26" s="85">
        <v>592</v>
      </c>
      <c r="F26" s="85">
        <v>592</v>
      </c>
      <c r="G26" s="85">
        <v>592</v>
      </c>
      <c r="H26" s="85">
        <v>592</v>
      </c>
      <c r="I26" s="85">
        <v>592</v>
      </c>
      <c r="J26" s="85">
        <v>592</v>
      </c>
      <c r="K26" s="85">
        <v>722</v>
      </c>
      <c r="L26" s="85">
        <v>669</v>
      </c>
      <c r="M26" s="85">
        <v>1317</v>
      </c>
      <c r="N26" s="85">
        <v>1291</v>
      </c>
      <c r="O26" s="85">
        <v>1638</v>
      </c>
      <c r="P26" s="85">
        <v>9781</v>
      </c>
      <c r="Q26" s="85"/>
    </row>
    <row r="27" spans="1:17" ht="15.75" customHeight="1" x14ac:dyDescent="0.2">
      <c r="C27" s="76" t="s">
        <v>33</v>
      </c>
      <c r="D27" s="85">
        <v>0</v>
      </c>
      <c r="E27" s="85">
        <v>0</v>
      </c>
      <c r="F27" s="85">
        <v>0</v>
      </c>
      <c r="G27" s="85">
        <v>127</v>
      </c>
      <c r="H27" s="85">
        <v>109</v>
      </c>
      <c r="I27" s="85">
        <v>2</v>
      </c>
      <c r="J27" s="85">
        <v>283</v>
      </c>
      <c r="K27" s="85">
        <v>639</v>
      </c>
      <c r="L27" s="85">
        <v>111</v>
      </c>
      <c r="M27" s="85">
        <v>14</v>
      </c>
      <c r="N27" s="85">
        <v>163</v>
      </c>
      <c r="O27" s="85">
        <v>541</v>
      </c>
      <c r="P27" s="85">
        <v>1989</v>
      </c>
      <c r="Q27" s="85"/>
    </row>
    <row r="28" spans="1:17" ht="15.75" customHeight="1" x14ac:dyDescent="0.2">
      <c r="C28" s="76" t="s">
        <v>35</v>
      </c>
      <c r="D28" s="85">
        <v>-4</v>
      </c>
      <c r="E28" s="85">
        <v>-23</v>
      </c>
      <c r="F28" s="85">
        <v>111</v>
      </c>
      <c r="G28" s="85">
        <v>607</v>
      </c>
      <c r="H28" s="85">
        <v>37</v>
      </c>
      <c r="I28" s="85">
        <v>115</v>
      </c>
      <c r="J28" s="85">
        <v>62</v>
      </c>
      <c r="K28" s="85">
        <v>59</v>
      </c>
      <c r="L28" s="85">
        <v>169</v>
      </c>
      <c r="M28" s="85">
        <v>361</v>
      </c>
      <c r="N28" s="85">
        <v>2753</v>
      </c>
      <c r="O28" s="85">
        <v>149</v>
      </c>
      <c r="P28" s="85">
        <v>4396</v>
      </c>
      <c r="Q28" s="85"/>
    </row>
    <row r="29" spans="1:17" ht="15.75" customHeight="1" x14ac:dyDescent="0.2">
      <c r="C29" s="76" t="s">
        <v>79</v>
      </c>
      <c r="D29" s="85">
        <v>125</v>
      </c>
      <c r="E29" s="85">
        <v>192</v>
      </c>
      <c r="F29" s="85">
        <v>466</v>
      </c>
      <c r="G29" s="85">
        <v>-1990</v>
      </c>
      <c r="H29" s="85">
        <v>80</v>
      </c>
      <c r="I29" s="85">
        <v>-932</v>
      </c>
      <c r="J29" s="85">
        <v>2276</v>
      </c>
      <c r="K29" s="85">
        <v>655</v>
      </c>
      <c r="L29" s="85">
        <v>810</v>
      </c>
      <c r="M29" s="85">
        <v>1226</v>
      </c>
      <c r="N29" s="85">
        <v>-1371</v>
      </c>
      <c r="O29" s="85">
        <v>31</v>
      </c>
      <c r="P29" s="85">
        <v>1568</v>
      </c>
      <c r="Q29" s="85"/>
    </row>
    <row r="30" spans="1:17" ht="15.75" customHeight="1" x14ac:dyDescent="0.2"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</row>
    <row r="31" spans="1:17" s="82" customFormat="1" ht="15.75" customHeight="1" x14ac:dyDescent="0.25">
      <c r="A31" s="82" t="s">
        <v>137</v>
      </c>
      <c r="D31" s="88">
        <v>4926</v>
      </c>
      <c r="E31" s="88">
        <v>-833</v>
      </c>
      <c r="F31" s="88">
        <v>-1565</v>
      </c>
      <c r="G31" s="88">
        <v>1900</v>
      </c>
      <c r="H31" s="88">
        <v>-4645</v>
      </c>
      <c r="I31" s="88">
        <v>-4284</v>
      </c>
      <c r="J31" s="88">
        <v>-2800</v>
      </c>
      <c r="K31" s="88">
        <v>-1372</v>
      </c>
      <c r="L31" s="88">
        <v>-3636</v>
      </c>
      <c r="M31" s="88">
        <v>-4780</v>
      </c>
      <c r="N31" s="88">
        <v>-7479</v>
      </c>
      <c r="O31" s="88">
        <v>-1781</v>
      </c>
      <c r="P31" s="88">
        <v>-26349</v>
      </c>
      <c r="Q31" s="85"/>
    </row>
    <row r="32" spans="1:17" ht="15.75" customHeight="1" x14ac:dyDescent="0.2"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</row>
    <row r="33" spans="1:19" s="82" customFormat="1" ht="15.75" customHeight="1" x14ac:dyDescent="0.25">
      <c r="A33" s="82" t="s">
        <v>39</v>
      </c>
      <c r="D33" s="83">
        <v>-5284</v>
      </c>
      <c r="E33" s="83">
        <v>10114</v>
      </c>
      <c r="F33" s="83">
        <v>2468</v>
      </c>
      <c r="G33" s="83">
        <v>2865</v>
      </c>
      <c r="H33" s="83">
        <v>9355</v>
      </c>
      <c r="I33" s="83">
        <v>6999</v>
      </c>
      <c r="J33" s="83">
        <v>9255</v>
      </c>
      <c r="K33" s="83">
        <v>-8598</v>
      </c>
      <c r="L33" s="83">
        <v>110</v>
      </c>
      <c r="M33" s="83">
        <v>-2596</v>
      </c>
      <c r="N33" s="83">
        <v>9286</v>
      </c>
      <c r="O33" s="83">
        <v>7274</v>
      </c>
      <c r="P33" s="83">
        <v>41248</v>
      </c>
      <c r="Q33" s="85"/>
      <c r="R33" s="131"/>
      <c r="S33" s="131"/>
    </row>
    <row r="34" spans="1:19" ht="15.75" customHeight="1" x14ac:dyDescent="0.2">
      <c r="B34" s="76" t="s">
        <v>40</v>
      </c>
      <c r="D34" s="84">
        <v>-1282</v>
      </c>
      <c r="E34" s="84">
        <v>5633</v>
      </c>
      <c r="F34" s="84">
        <v>-829</v>
      </c>
      <c r="G34" s="84">
        <v>2184</v>
      </c>
      <c r="H34" s="84">
        <v>-585</v>
      </c>
      <c r="I34" s="84">
        <v>-1672</v>
      </c>
      <c r="J34" s="84">
        <v>-645</v>
      </c>
      <c r="K34" s="84">
        <v>289</v>
      </c>
      <c r="L34" s="84">
        <v>1137</v>
      </c>
      <c r="M34" s="84">
        <v>191</v>
      </c>
      <c r="N34" s="84">
        <v>2965</v>
      </c>
      <c r="O34" s="84">
        <v>-506</v>
      </c>
      <c r="P34" s="84">
        <v>6880</v>
      </c>
      <c r="Q34" s="85"/>
    </row>
    <row r="35" spans="1:19" ht="15.75" customHeight="1" x14ac:dyDescent="0.2">
      <c r="C35" s="76" t="s">
        <v>41</v>
      </c>
      <c r="D35" s="85">
        <v>315</v>
      </c>
      <c r="E35" s="85">
        <v>6166</v>
      </c>
      <c r="F35" s="85">
        <v>533</v>
      </c>
      <c r="G35" s="85">
        <v>3286</v>
      </c>
      <c r="H35" s="85">
        <v>450</v>
      </c>
      <c r="I35" s="85">
        <v>878</v>
      </c>
      <c r="J35" s="85">
        <v>761</v>
      </c>
      <c r="K35" s="85">
        <v>829</v>
      </c>
      <c r="L35" s="85">
        <v>1787</v>
      </c>
      <c r="M35" s="85">
        <v>1557</v>
      </c>
      <c r="N35" s="85">
        <v>3999</v>
      </c>
      <c r="O35" s="85">
        <v>2525</v>
      </c>
      <c r="P35" s="85">
        <v>23086</v>
      </c>
      <c r="Q35" s="85"/>
    </row>
    <row r="36" spans="1:19" ht="15.75" customHeight="1" x14ac:dyDescent="0.2">
      <c r="C36" s="76" t="s">
        <v>42</v>
      </c>
      <c r="D36" s="85">
        <v>1597</v>
      </c>
      <c r="E36" s="85">
        <v>533</v>
      </c>
      <c r="F36" s="85">
        <v>1362</v>
      </c>
      <c r="G36" s="85">
        <v>1102</v>
      </c>
      <c r="H36" s="85">
        <v>1035</v>
      </c>
      <c r="I36" s="85">
        <v>2550</v>
      </c>
      <c r="J36" s="85">
        <v>1406</v>
      </c>
      <c r="K36" s="85">
        <v>540</v>
      </c>
      <c r="L36" s="85">
        <v>650</v>
      </c>
      <c r="M36" s="85">
        <v>1366</v>
      </c>
      <c r="N36" s="85">
        <v>1034</v>
      </c>
      <c r="O36" s="85">
        <v>3031</v>
      </c>
      <c r="P36" s="85">
        <v>16206</v>
      </c>
      <c r="Q36" s="85"/>
    </row>
    <row r="37" spans="1:19" ht="15.75" customHeight="1" x14ac:dyDescent="0.2"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</row>
    <row r="38" spans="1:19" ht="15.75" customHeight="1" x14ac:dyDescent="0.2">
      <c r="B38" s="76" t="s">
        <v>43</v>
      </c>
      <c r="D38" s="84">
        <v>-4002</v>
      </c>
      <c r="E38" s="84">
        <v>4481</v>
      </c>
      <c r="F38" s="84">
        <v>3297</v>
      </c>
      <c r="G38" s="84">
        <v>681</v>
      </c>
      <c r="H38" s="84">
        <v>9940</v>
      </c>
      <c r="I38" s="84">
        <v>8671</v>
      </c>
      <c r="J38" s="84">
        <v>9900</v>
      </c>
      <c r="K38" s="84">
        <v>-8887</v>
      </c>
      <c r="L38" s="84">
        <v>-1027</v>
      </c>
      <c r="M38" s="84">
        <v>-2787</v>
      </c>
      <c r="N38" s="84">
        <v>6321</v>
      </c>
      <c r="O38" s="84">
        <v>7780</v>
      </c>
      <c r="P38" s="84">
        <v>34368</v>
      </c>
      <c r="Q38" s="85"/>
    </row>
    <row r="39" spans="1:19" ht="15.75" customHeight="1" x14ac:dyDescent="0.2">
      <c r="C39" s="76" t="s">
        <v>44</v>
      </c>
      <c r="D39" s="85">
        <v>-3756</v>
      </c>
      <c r="E39" s="85">
        <v>10390</v>
      </c>
      <c r="F39" s="85">
        <v>4191</v>
      </c>
      <c r="G39" s="85">
        <v>14740</v>
      </c>
      <c r="H39" s="85">
        <v>10043</v>
      </c>
      <c r="I39" s="85">
        <v>9249</v>
      </c>
      <c r="J39" s="85">
        <v>10516</v>
      </c>
      <c r="K39" s="85">
        <v>-3772</v>
      </c>
      <c r="L39" s="85">
        <v>1243</v>
      </c>
      <c r="M39" s="85">
        <v>-2467</v>
      </c>
      <c r="N39" s="85">
        <v>6353</v>
      </c>
      <c r="O39" s="85">
        <v>7992</v>
      </c>
      <c r="P39" s="85">
        <v>64722</v>
      </c>
      <c r="Q39" s="85"/>
    </row>
    <row r="40" spans="1:19" ht="15.75" customHeight="1" x14ac:dyDescent="0.2">
      <c r="C40" s="76" t="s">
        <v>42</v>
      </c>
      <c r="D40" s="85">
        <v>246</v>
      </c>
      <c r="E40" s="85">
        <v>5909</v>
      </c>
      <c r="F40" s="85">
        <v>894</v>
      </c>
      <c r="G40" s="85">
        <v>14059</v>
      </c>
      <c r="H40" s="85">
        <v>103</v>
      </c>
      <c r="I40" s="85">
        <v>578</v>
      </c>
      <c r="J40" s="85">
        <v>616</v>
      </c>
      <c r="K40" s="85">
        <v>5115</v>
      </c>
      <c r="L40" s="85">
        <v>2270</v>
      </c>
      <c r="M40" s="85">
        <v>320</v>
      </c>
      <c r="N40" s="85">
        <v>32</v>
      </c>
      <c r="O40" s="85">
        <v>212</v>
      </c>
      <c r="P40" s="85">
        <v>30354</v>
      </c>
      <c r="Q40" s="85"/>
    </row>
    <row r="41" spans="1:19" ht="15.75" customHeight="1" x14ac:dyDescent="0.2"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</row>
    <row r="42" spans="1:19" s="82" customFormat="1" ht="15.75" customHeight="1" x14ac:dyDescent="0.25">
      <c r="A42" s="82" t="s">
        <v>163</v>
      </c>
      <c r="D42" s="83">
        <v>404</v>
      </c>
      <c r="E42" s="83">
        <v>9308</v>
      </c>
      <c r="F42" s="83">
        <v>3323</v>
      </c>
      <c r="G42" s="83">
        <v>2618</v>
      </c>
      <c r="H42" s="83">
        <v>5009</v>
      </c>
      <c r="I42" s="83">
        <v>3212</v>
      </c>
      <c r="J42" s="83">
        <v>4901</v>
      </c>
      <c r="K42" s="83">
        <v>-9743</v>
      </c>
      <c r="L42" s="83">
        <v>415</v>
      </c>
      <c r="M42" s="83">
        <v>-7774</v>
      </c>
      <c r="N42" s="83">
        <v>4409</v>
      </c>
      <c r="O42" s="83">
        <v>2060</v>
      </c>
      <c r="P42" s="83">
        <v>18142</v>
      </c>
      <c r="Q42" s="88"/>
    </row>
    <row r="43" spans="1:19" x14ac:dyDescent="0.2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</row>
    <row r="46" spans="1:19" x14ac:dyDescent="0.2">
      <c r="A46" s="86" t="s">
        <v>139</v>
      </c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TREASUR&amp;"Arial,Regular"Y
&amp;"Arial,Italic"Statistical Data Analysis Division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AMJ48"/>
  <sheetViews>
    <sheetView zoomScaleNormal="100" workbookViewId="0">
      <selection activeCell="P14" sqref="P14"/>
    </sheetView>
  </sheetViews>
  <sheetFormatPr defaultColWidth="9.140625" defaultRowHeight="14.25" x14ac:dyDescent="0.2"/>
  <cols>
    <col min="1" max="1" width="1.5703125" style="76" customWidth="1"/>
    <col min="2" max="2" width="1.28515625" style="76" customWidth="1"/>
    <col min="3" max="3" width="24" style="76" customWidth="1"/>
    <col min="4" max="11" width="8" style="76" customWidth="1"/>
    <col min="12" max="12" width="8.7109375" style="76" customWidth="1"/>
    <col min="13" max="15" width="8" style="76" customWidth="1"/>
    <col min="16" max="1024" width="9.140625" style="76"/>
  </cols>
  <sheetData>
    <row r="1" spans="1:16" ht="15" x14ac:dyDescent="0.25">
      <c r="A1" s="82" t="s">
        <v>153</v>
      </c>
    </row>
    <row r="2" spans="1:16" ht="15" x14ac:dyDescent="0.25">
      <c r="A2" s="82" t="s">
        <v>165</v>
      </c>
      <c r="B2" s="82"/>
    </row>
    <row r="3" spans="1:16" x14ac:dyDescent="0.2">
      <c r="A3" s="76" t="s">
        <v>2</v>
      </c>
    </row>
    <row r="5" spans="1:16" ht="21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6" spans="1:16" ht="15" customHeight="1" x14ac:dyDescent="0.2"/>
    <row r="7" spans="1:16" s="82" customFormat="1" ht="15" customHeight="1" x14ac:dyDescent="0.25">
      <c r="A7" s="82" t="s">
        <v>15</v>
      </c>
      <c r="D7" s="83">
        <v>15985</v>
      </c>
      <c r="E7" s="83">
        <v>10592</v>
      </c>
      <c r="F7" s="83">
        <v>12962</v>
      </c>
      <c r="G7" s="83">
        <v>19310</v>
      </c>
      <c r="H7" s="83">
        <v>14316</v>
      </c>
      <c r="I7" s="83">
        <v>12720</v>
      </c>
      <c r="J7" s="83">
        <v>16647</v>
      </c>
      <c r="K7" s="83">
        <v>14397</v>
      </c>
      <c r="L7" s="83">
        <v>13181</v>
      </c>
      <c r="M7" s="83">
        <v>19648</v>
      </c>
      <c r="N7" s="83">
        <v>14605</v>
      </c>
      <c r="O7" s="83">
        <v>16539</v>
      </c>
      <c r="P7" s="83">
        <v>180902</v>
      </c>
    </row>
    <row r="8" spans="1:16" ht="15" customHeight="1" x14ac:dyDescent="0.2">
      <c r="B8" s="76" t="s">
        <v>16</v>
      </c>
      <c r="D8" s="84">
        <v>13575</v>
      </c>
      <c r="E8" s="84">
        <v>9230</v>
      </c>
      <c r="F8" s="84">
        <v>11400</v>
      </c>
      <c r="G8" s="84">
        <v>16765</v>
      </c>
      <c r="H8" s="84">
        <v>12930</v>
      </c>
      <c r="I8" s="84">
        <v>10777</v>
      </c>
      <c r="J8" s="84">
        <v>14880</v>
      </c>
      <c r="K8" s="84">
        <v>12302</v>
      </c>
      <c r="L8" s="84">
        <v>9613</v>
      </c>
      <c r="M8" s="84">
        <v>15668</v>
      </c>
      <c r="N8" s="84">
        <v>13184</v>
      </c>
      <c r="O8" s="84">
        <v>11376</v>
      </c>
      <c r="P8" s="84">
        <v>151700</v>
      </c>
    </row>
    <row r="9" spans="1:16" ht="15" customHeight="1" x14ac:dyDescent="0.2">
      <c r="C9" s="76" t="s">
        <v>17</v>
      </c>
      <c r="D9" s="85">
        <v>10265</v>
      </c>
      <c r="E9" s="85">
        <v>5906</v>
      </c>
      <c r="F9" s="85">
        <v>6756</v>
      </c>
      <c r="G9" s="85">
        <v>13239</v>
      </c>
      <c r="H9" s="85">
        <v>8993</v>
      </c>
      <c r="I9" s="85">
        <v>6272</v>
      </c>
      <c r="J9" s="85">
        <v>11132</v>
      </c>
      <c r="K9" s="85">
        <v>8299</v>
      </c>
      <c r="L9" s="85">
        <v>5763</v>
      </c>
      <c r="M9" s="85">
        <v>11721</v>
      </c>
      <c r="N9" s="85">
        <v>8928</v>
      </c>
      <c r="O9" s="85">
        <v>6711</v>
      </c>
      <c r="P9" s="85">
        <v>103985</v>
      </c>
    </row>
    <row r="10" spans="1:16" ht="15" customHeight="1" x14ac:dyDescent="0.2">
      <c r="C10" s="76" t="s">
        <v>21</v>
      </c>
      <c r="D10" s="85">
        <v>3153</v>
      </c>
      <c r="E10" s="85">
        <v>3164</v>
      </c>
      <c r="F10" s="85">
        <v>4471</v>
      </c>
      <c r="G10" s="85">
        <v>3366</v>
      </c>
      <c r="H10" s="85">
        <v>3787</v>
      </c>
      <c r="I10" s="85">
        <v>4352</v>
      </c>
      <c r="J10" s="85">
        <v>3596</v>
      </c>
      <c r="K10" s="85">
        <v>3846</v>
      </c>
      <c r="L10" s="85">
        <v>3707</v>
      </c>
      <c r="M10" s="85">
        <v>3739</v>
      </c>
      <c r="N10" s="85">
        <v>4155</v>
      </c>
      <c r="O10" s="85">
        <v>4612</v>
      </c>
      <c r="P10" s="85">
        <v>45948</v>
      </c>
    </row>
    <row r="11" spans="1:16" ht="15" customHeight="1" x14ac:dyDescent="0.2">
      <c r="C11" s="76" t="s">
        <v>88</v>
      </c>
      <c r="D11" s="85">
        <v>157</v>
      </c>
      <c r="E11" s="85">
        <v>160</v>
      </c>
      <c r="F11" s="85">
        <v>173</v>
      </c>
      <c r="G11" s="85">
        <v>160</v>
      </c>
      <c r="H11" s="85">
        <v>150</v>
      </c>
      <c r="I11" s="85">
        <v>153</v>
      </c>
      <c r="J11" s="85">
        <v>152</v>
      </c>
      <c r="K11" s="85">
        <v>157</v>
      </c>
      <c r="L11" s="85">
        <v>143</v>
      </c>
      <c r="M11" s="85">
        <v>208</v>
      </c>
      <c r="N11" s="85">
        <v>101</v>
      </c>
      <c r="O11" s="85">
        <v>53</v>
      </c>
      <c r="P11" s="85">
        <v>1767</v>
      </c>
    </row>
    <row r="12" spans="1:16" ht="15" customHeight="1" x14ac:dyDescent="0.2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1:16" ht="15" customHeight="1" x14ac:dyDescent="0.2">
      <c r="B13" s="76" t="s">
        <v>23</v>
      </c>
      <c r="D13" s="84">
        <f t="shared" ref="D13:P13" si="0">SUM(D14:D18)</f>
        <v>2397</v>
      </c>
      <c r="E13" s="84">
        <f t="shared" si="0"/>
        <v>1257</v>
      </c>
      <c r="F13" s="84">
        <f t="shared" si="0"/>
        <v>1285</v>
      </c>
      <c r="G13" s="84">
        <f t="shared" si="0"/>
        <v>2268</v>
      </c>
      <c r="H13" s="84">
        <f t="shared" si="0"/>
        <v>1167</v>
      </c>
      <c r="I13" s="84">
        <f t="shared" si="0"/>
        <v>1700</v>
      </c>
      <c r="J13" s="84">
        <f t="shared" si="0"/>
        <v>1699</v>
      </c>
      <c r="K13" s="84">
        <f t="shared" si="0"/>
        <v>2053</v>
      </c>
      <c r="L13" s="84">
        <f t="shared" si="0"/>
        <v>3528</v>
      </c>
      <c r="M13" s="84">
        <f t="shared" si="0"/>
        <v>3961</v>
      </c>
      <c r="N13" s="84">
        <f t="shared" si="0"/>
        <v>1412</v>
      </c>
      <c r="O13" s="84">
        <f t="shared" si="0"/>
        <v>4095</v>
      </c>
      <c r="P13" s="84">
        <f t="shared" si="0"/>
        <v>26822</v>
      </c>
    </row>
    <row r="14" spans="1:16" ht="15" customHeight="1" x14ac:dyDescent="0.2">
      <c r="C14" s="76" t="s">
        <v>24</v>
      </c>
      <c r="D14" s="85">
        <v>1534</v>
      </c>
      <c r="E14" s="85">
        <v>775</v>
      </c>
      <c r="F14" s="85">
        <v>607</v>
      </c>
      <c r="G14" s="85">
        <v>1277</v>
      </c>
      <c r="H14" s="85">
        <v>536</v>
      </c>
      <c r="I14" s="85">
        <v>806</v>
      </c>
      <c r="J14" s="85">
        <v>1166</v>
      </c>
      <c r="K14" s="85">
        <v>928</v>
      </c>
      <c r="L14" s="85">
        <v>1505</v>
      </c>
      <c r="M14" s="85">
        <v>1761</v>
      </c>
      <c r="N14" s="85">
        <v>661</v>
      </c>
      <c r="O14" s="85">
        <v>2658</v>
      </c>
      <c r="P14" s="85">
        <f>SUM(D14:O14)</f>
        <v>14214</v>
      </c>
    </row>
    <row r="15" spans="1:16" ht="15" customHeight="1" x14ac:dyDescent="0.2">
      <c r="C15" s="76" t="s">
        <v>150</v>
      </c>
      <c r="D15" s="85">
        <v>681</v>
      </c>
      <c r="E15" s="85">
        <v>236</v>
      </c>
      <c r="F15" s="85">
        <v>489</v>
      </c>
      <c r="G15" s="85">
        <v>505</v>
      </c>
      <c r="H15" s="85">
        <v>418</v>
      </c>
      <c r="I15" s="85">
        <v>764</v>
      </c>
      <c r="J15" s="85">
        <v>305</v>
      </c>
      <c r="K15" s="85">
        <v>348</v>
      </c>
      <c r="L15" s="85">
        <v>295</v>
      </c>
      <c r="M15" s="85">
        <v>572</v>
      </c>
      <c r="N15" s="85">
        <v>573</v>
      </c>
      <c r="O15" s="85">
        <v>540</v>
      </c>
      <c r="P15" s="85">
        <f>SUM(D15:O15)</f>
        <v>5726</v>
      </c>
    </row>
    <row r="16" spans="1:16" ht="15" customHeight="1" x14ac:dyDescent="0.2">
      <c r="C16" s="76" t="s">
        <v>160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373</v>
      </c>
      <c r="M16" s="85">
        <v>1391</v>
      </c>
      <c r="N16" s="85">
        <v>0</v>
      </c>
      <c r="O16" s="85">
        <v>280</v>
      </c>
      <c r="P16" s="85">
        <f>SUM(D16:O16)</f>
        <v>2044</v>
      </c>
    </row>
    <row r="17" spans="1:16" ht="15" customHeight="1" x14ac:dyDescent="0.2">
      <c r="C17" s="76" t="s">
        <v>26</v>
      </c>
      <c r="D17" s="85">
        <v>112</v>
      </c>
      <c r="E17" s="85">
        <v>208</v>
      </c>
      <c r="F17" s="85">
        <v>178</v>
      </c>
      <c r="G17" s="85">
        <v>469</v>
      </c>
      <c r="H17" s="85">
        <v>207</v>
      </c>
      <c r="I17" s="85">
        <v>128</v>
      </c>
      <c r="J17" s="85">
        <v>228</v>
      </c>
      <c r="K17" s="85">
        <v>771</v>
      </c>
      <c r="L17" s="85">
        <v>877</v>
      </c>
      <c r="M17" s="85">
        <v>236</v>
      </c>
      <c r="N17" s="85">
        <v>155</v>
      </c>
      <c r="O17" s="85">
        <v>616</v>
      </c>
      <c r="P17" s="85">
        <f>SUM(D17:O17)</f>
        <v>4185</v>
      </c>
    </row>
    <row r="18" spans="1:16" ht="15" customHeight="1" x14ac:dyDescent="0.2">
      <c r="C18" s="76" t="s">
        <v>106</v>
      </c>
      <c r="D18" s="85">
        <v>70</v>
      </c>
      <c r="E18" s="85">
        <v>38</v>
      </c>
      <c r="F18" s="85">
        <v>11</v>
      </c>
      <c r="G18" s="85">
        <v>17</v>
      </c>
      <c r="H18" s="85">
        <v>6</v>
      </c>
      <c r="I18" s="85">
        <v>2</v>
      </c>
      <c r="J18" s="85">
        <v>0</v>
      </c>
      <c r="K18" s="85">
        <v>6</v>
      </c>
      <c r="L18" s="85">
        <v>478</v>
      </c>
      <c r="M18" s="85">
        <v>1</v>
      </c>
      <c r="N18" s="85">
        <v>23</v>
      </c>
      <c r="O18" s="85">
        <v>1</v>
      </c>
      <c r="P18" s="85">
        <f>SUM(D18:O18)</f>
        <v>653</v>
      </c>
    </row>
    <row r="19" spans="1:16" ht="15" customHeight="1" x14ac:dyDescent="0.2"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</row>
    <row r="20" spans="1:16" ht="15" customHeight="1" x14ac:dyDescent="0.2">
      <c r="B20" s="76" t="s">
        <v>29</v>
      </c>
      <c r="D20" s="85">
        <v>13</v>
      </c>
      <c r="E20" s="85">
        <v>105</v>
      </c>
      <c r="F20" s="85">
        <v>277</v>
      </c>
      <c r="G20" s="85">
        <v>277</v>
      </c>
      <c r="H20" s="85">
        <v>219</v>
      </c>
      <c r="I20" s="85">
        <v>243</v>
      </c>
      <c r="J20" s="85">
        <v>68</v>
      </c>
      <c r="K20" s="85">
        <v>42</v>
      </c>
      <c r="L20" s="85">
        <v>40</v>
      </c>
      <c r="M20" s="85">
        <v>19</v>
      </c>
      <c r="N20" s="85">
        <v>9</v>
      </c>
      <c r="O20" s="85">
        <v>1068</v>
      </c>
      <c r="P20" s="85">
        <v>2380</v>
      </c>
    </row>
    <row r="21" spans="1:16" ht="15" customHeight="1" x14ac:dyDescent="0.2"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1:16" s="82" customFormat="1" ht="15" customHeight="1" x14ac:dyDescent="0.25">
      <c r="A22" s="82" t="s">
        <v>30</v>
      </c>
      <c r="D22" s="83">
        <v>20681</v>
      </c>
      <c r="E22" s="83">
        <v>15082</v>
      </c>
      <c r="F22" s="83">
        <v>13638</v>
      </c>
      <c r="G22" s="83">
        <v>15973</v>
      </c>
      <c r="H22" s="83">
        <v>19951</v>
      </c>
      <c r="I22" s="83">
        <v>19554</v>
      </c>
      <c r="J22" s="83">
        <v>21785</v>
      </c>
      <c r="K22" s="83">
        <v>18141</v>
      </c>
      <c r="L22" s="83">
        <v>15444</v>
      </c>
      <c r="M22" s="83">
        <v>21343</v>
      </c>
      <c r="N22" s="83">
        <v>17509</v>
      </c>
      <c r="O22" s="83">
        <v>18995</v>
      </c>
      <c r="P22" s="83">
        <v>218096</v>
      </c>
    </row>
    <row r="23" spans="1:16" ht="15" customHeight="1" x14ac:dyDescent="0.2">
      <c r="B23" s="76" t="s">
        <v>18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</row>
    <row r="24" spans="1:16" ht="15" customHeight="1" x14ac:dyDescent="0.2">
      <c r="C24" s="76" t="s">
        <v>32</v>
      </c>
      <c r="D24" s="85">
        <v>6506</v>
      </c>
      <c r="E24" s="85">
        <v>4073</v>
      </c>
      <c r="F24" s="85">
        <v>4920</v>
      </c>
      <c r="G24" s="85">
        <v>7708</v>
      </c>
      <c r="H24" s="85">
        <v>5447</v>
      </c>
      <c r="I24" s="85">
        <v>5696</v>
      </c>
      <c r="J24" s="85">
        <v>5923</v>
      </c>
      <c r="K24" s="85">
        <v>5911</v>
      </c>
      <c r="L24" s="85">
        <v>5167</v>
      </c>
      <c r="M24" s="85">
        <v>8187</v>
      </c>
      <c r="N24" s="85">
        <v>6469</v>
      </c>
      <c r="O24" s="85">
        <v>5107</v>
      </c>
      <c r="P24" s="85">
        <v>71114</v>
      </c>
    </row>
    <row r="25" spans="1:16" ht="15" customHeight="1" x14ac:dyDescent="0.2">
      <c r="C25" s="76" t="s">
        <v>78</v>
      </c>
      <c r="D25" s="85">
        <v>297</v>
      </c>
      <c r="E25" s="85">
        <v>83</v>
      </c>
      <c r="F25" s="85">
        <v>58</v>
      </c>
      <c r="G25" s="85">
        <v>917</v>
      </c>
      <c r="H25" s="85">
        <v>998</v>
      </c>
      <c r="I25" s="85">
        <v>5202</v>
      </c>
      <c r="J25" s="85">
        <v>3696</v>
      </c>
      <c r="K25" s="85">
        <v>27</v>
      </c>
      <c r="L25" s="85">
        <v>512</v>
      </c>
      <c r="M25" s="85">
        <v>191</v>
      </c>
      <c r="N25" s="85">
        <v>160</v>
      </c>
      <c r="O25" s="85">
        <v>1108</v>
      </c>
      <c r="P25" s="85">
        <v>13249</v>
      </c>
    </row>
    <row r="26" spans="1:16" ht="15" customHeight="1" x14ac:dyDescent="0.2">
      <c r="C26" s="76" t="s">
        <v>31</v>
      </c>
      <c r="D26" s="85">
        <v>39</v>
      </c>
      <c r="E26" s="85">
        <v>1186</v>
      </c>
      <c r="F26" s="85">
        <v>593</v>
      </c>
      <c r="G26" s="85">
        <v>591</v>
      </c>
      <c r="H26" s="85">
        <v>592</v>
      </c>
      <c r="I26" s="85">
        <v>592</v>
      </c>
      <c r="J26" s="85">
        <v>592</v>
      </c>
      <c r="K26" s="85">
        <v>592</v>
      </c>
      <c r="L26" s="85">
        <v>591</v>
      </c>
      <c r="M26" s="85">
        <v>592</v>
      </c>
      <c r="N26" s="85">
        <v>592</v>
      </c>
      <c r="O26" s="85">
        <v>1037</v>
      </c>
      <c r="P26" s="85">
        <v>7589</v>
      </c>
    </row>
    <row r="27" spans="1:16" ht="15" customHeight="1" x14ac:dyDescent="0.2">
      <c r="C27" s="76" t="s">
        <v>33</v>
      </c>
      <c r="D27" s="85">
        <v>0</v>
      </c>
      <c r="E27" s="85">
        <v>65</v>
      </c>
      <c r="F27" s="85">
        <v>355</v>
      </c>
      <c r="G27" s="85">
        <v>0</v>
      </c>
      <c r="H27" s="85">
        <v>20</v>
      </c>
      <c r="I27" s="85">
        <v>520</v>
      </c>
      <c r="J27" s="85">
        <v>1</v>
      </c>
      <c r="K27" s="85">
        <v>-1</v>
      </c>
      <c r="L27" s="85">
        <v>42</v>
      </c>
      <c r="M27" s="85">
        <v>266</v>
      </c>
      <c r="N27" s="85">
        <v>9</v>
      </c>
      <c r="O27" s="85">
        <v>886</v>
      </c>
      <c r="P27" s="85">
        <v>2163</v>
      </c>
    </row>
    <row r="28" spans="1:16" ht="15" customHeight="1" x14ac:dyDescent="0.2">
      <c r="C28" s="76" t="s">
        <v>35</v>
      </c>
      <c r="D28" s="85">
        <v>491</v>
      </c>
      <c r="E28" s="85">
        <v>0</v>
      </c>
      <c r="F28" s="85">
        <v>553</v>
      </c>
      <c r="G28" s="85">
        <v>414</v>
      </c>
      <c r="H28" s="85">
        <v>85</v>
      </c>
      <c r="I28" s="85">
        <v>1065</v>
      </c>
      <c r="J28" s="85">
        <v>52</v>
      </c>
      <c r="K28" s="85">
        <v>3</v>
      </c>
      <c r="L28" s="85">
        <v>13</v>
      </c>
      <c r="M28" s="85">
        <v>102</v>
      </c>
      <c r="N28" s="85">
        <v>593</v>
      </c>
      <c r="O28" s="85">
        <v>1043</v>
      </c>
      <c r="P28" s="85">
        <v>4414</v>
      </c>
    </row>
    <row r="29" spans="1:16" ht="15" customHeight="1" x14ac:dyDescent="0.2">
      <c r="C29" s="76" t="s">
        <v>79</v>
      </c>
      <c r="D29" s="85">
        <v>2325</v>
      </c>
      <c r="E29" s="85">
        <v>-179</v>
      </c>
      <c r="F29" s="85">
        <v>65</v>
      </c>
      <c r="G29" s="85">
        <v>231</v>
      </c>
      <c r="H29" s="85">
        <v>210</v>
      </c>
      <c r="I29" s="85">
        <v>-4757</v>
      </c>
      <c r="J29" s="85">
        <v>312</v>
      </c>
      <c r="K29" s="85">
        <v>212</v>
      </c>
      <c r="L29" s="85">
        <v>299</v>
      </c>
      <c r="M29" s="85">
        <v>267</v>
      </c>
      <c r="N29" s="85">
        <v>-533</v>
      </c>
      <c r="O29" s="85">
        <v>-98</v>
      </c>
      <c r="P29" s="85">
        <v>-1646</v>
      </c>
    </row>
    <row r="30" spans="1:16" ht="15" customHeight="1" x14ac:dyDescent="0.2"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</row>
    <row r="31" spans="1:16" s="82" customFormat="1" ht="15" customHeight="1" x14ac:dyDescent="0.25">
      <c r="A31" s="82" t="s">
        <v>137</v>
      </c>
      <c r="D31" s="88">
        <v>-4696</v>
      </c>
      <c r="E31" s="88">
        <v>-4490</v>
      </c>
      <c r="F31" s="88">
        <v>-676</v>
      </c>
      <c r="G31" s="88">
        <v>3337</v>
      </c>
      <c r="H31" s="88">
        <v>-5635</v>
      </c>
      <c r="I31" s="88">
        <v>-6834</v>
      </c>
      <c r="J31" s="88">
        <v>-5138</v>
      </c>
      <c r="K31" s="88">
        <v>-3744</v>
      </c>
      <c r="L31" s="88">
        <v>-2263</v>
      </c>
      <c r="M31" s="88">
        <v>-1695</v>
      </c>
      <c r="N31" s="88">
        <v>-2904</v>
      </c>
      <c r="O31" s="88">
        <v>-2456</v>
      </c>
      <c r="P31" s="88">
        <v>-37194</v>
      </c>
    </row>
    <row r="32" spans="1:16" ht="15" customHeight="1" x14ac:dyDescent="0.2"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</row>
    <row r="33" spans="1:19" s="82" customFormat="1" ht="15" customHeight="1" x14ac:dyDescent="0.25">
      <c r="A33" s="82" t="s">
        <v>39</v>
      </c>
      <c r="D33" s="83">
        <v>12006</v>
      </c>
      <c r="E33" s="83">
        <v>-4113</v>
      </c>
      <c r="F33" s="83">
        <v>3009</v>
      </c>
      <c r="G33" s="83">
        <v>3471</v>
      </c>
      <c r="H33" s="83">
        <v>-1618</v>
      </c>
      <c r="I33" s="83">
        <v>164</v>
      </c>
      <c r="J33" s="83">
        <v>7789</v>
      </c>
      <c r="K33" s="83">
        <v>5194</v>
      </c>
      <c r="L33" s="83">
        <v>-9019</v>
      </c>
      <c r="M33" s="83">
        <v>209</v>
      </c>
      <c r="N33" s="83">
        <v>3380</v>
      </c>
      <c r="O33" s="83">
        <v>-1202</v>
      </c>
      <c r="P33" s="83">
        <v>19270</v>
      </c>
      <c r="Q33" s="131"/>
      <c r="R33" s="131"/>
      <c r="S33" s="131"/>
    </row>
    <row r="34" spans="1:19" ht="15" customHeight="1" x14ac:dyDescent="0.2">
      <c r="B34" s="76" t="s">
        <v>40</v>
      </c>
      <c r="D34" s="84">
        <v>184</v>
      </c>
      <c r="E34" s="84">
        <v>-346</v>
      </c>
      <c r="F34" s="84">
        <v>48</v>
      </c>
      <c r="G34" s="84">
        <v>-1655</v>
      </c>
      <c r="H34" s="84">
        <v>-146</v>
      </c>
      <c r="I34" s="84">
        <v>-1912</v>
      </c>
      <c r="J34" s="84">
        <v>3319</v>
      </c>
      <c r="K34" s="84">
        <v>-419</v>
      </c>
      <c r="L34" s="84">
        <v>-600</v>
      </c>
      <c r="M34" s="84">
        <v>736</v>
      </c>
      <c r="N34" s="84">
        <v>-1183</v>
      </c>
      <c r="O34" s="84">
        <v>6100</v>
      </c>
      <c r="P34" s="84">
        <v>4126</v>
      </c>
    </row>
    <row r="35" spans="1:19" ht="15" customHeight="1" x14ac:dyDescent="0.2">
      <c r="C35" s="76" t="s">
        <v>41</v>
      </c>
      <c r="D35" s="85">
        <v>4069</v>
      </c>
      <c r="E35" s="85">
        <v>133</v>
      </c>
      <c r="F35" s="85">
        <v>654</v>
      </c>
      <c r="G35" s="85">
        <v>351</v>
      </c>
      <c r="H35" s="85">
        <v>457</v>
      </c>
      <c r="I35" s="85">
        <v>221</v>
      </c>
      <c r="J35" s="85">
        <v>4142</v>
      </c>
      <c r="K35" s="85">
        <v>427</v>
      </c>
      <c r="L35" s="85">
        <v>2016</v>
      </c>
      <c r="M35" s="85">
        <v>1530</v>
      </c>
      <c r="N35" s="85">
        <v>295</v>
      </c>
      <c r="O35" s="85">
        <v>10111</v>
      </c>
      <c r="P35" s="85">
        <v>24406</v>
      </c>
    </row>
    <row r="36" spans="1:19" ht="15" customHeight="1" x14ac:dyDescent="0.2">
      <c r="C36" s="76" t="s">
        <v>42</v>
      </c>
      <c r="D36" s="85">
        <v>3885</v>
      </c>
      <c r="E36" s="85">
        <v>479</v>
      </c>
      <c r="F36" s="85">
        <v>606</v>
      </c>
      <c r="G36" s="85">
        <v>2006</v>
      </c>
      <c r="H36" s="85">
        <v>603</v>
      </c>
      <c r="I36" s="85">
        <v>2133</v>
      </c>
      <c r="J36" s="85">
        <v>823</v>
      </c>
      <c r="K36" s="85">
        <v>846</v>
      </c>
      <c r="L36" s="85">
        <v>2616</v>
      </c>
      <c r="M36" s="85">
        <v>794</v>
      </c>
      <c r="N36" s="85">
        <v>1478</v>
      </c>
      <c r="O36" s="85">
        <v>4011</v>
      </c>
      <c r="P36" s="85">
        <v>20280</v>
      </c>
    </row>
    <row r="37" spans="1:19" ht="15" customHeight="1" x14ac:dyDescent="0.2"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</row>
    <row r="38" spans="1:19" ht="15" customHeight="1" x14ac:dyDescent="0.2">
      <c r="B38" s="76" t="s">
        <v>43</v>
      </c>
      <c r="D38" s="84">
        <v>11822</v>
      </c>
      <c r="E38" s="84">
        <v>-3767</v>
      </c>
      <c r="F38" s="84">
        <v>2961</v>
      </c>
      <c r="G38" s="84">
        <v>5126</v>
      </c>
      <c r="H38" s="84">
        <v>-1472</v>
      </c>
      <c r="I38" s="84">
        <v>2076</v>
      </c>
      <c r="J38" s="84">
        <v>4470</v>
      </c>
      <c r="K38" s="84">
        <v>5613</v>
      </c>
      <c r="L38" s="84">
        <v>-8419</v>
      </c>
      <c r="M38" s="84">
        <v>-527</v>
      </c>
      <c r="N38" s="84">
        <v>4563</v>
      </c>
      <c r="O38" s="84">
        <v>-7302</v>
      </c>
      <c r="P38" s="84">
        <v>15144</v>
      </c>
    </row>
    <row r="39" spans="1:19" ht="15" customHeight="1" x14ac:dyDescent="0.2">
      <c r="C39" s="76" t="s">
        <v>44</v>
      </c>
      <c r="D39" s="85">
        <v>12378</v>
      </c>
      <c r="E39" s="85">
        <v>1482</v>
      </c>
      <c r="F39" s="85">
        <v>3057</v>
      </c>
      <c r="G39" s="85">
        <v>5243</v>
      </c>
      <c r="H39" s="85">
        <v>384</v>
      </c>
      <c r="I39" s="85">
        <v>2811</v>
      </c>
      <c r="J39" s="85">
        <v>6869</v>
      </c>
      <c r="K39" s="85">
        <v>5800</v>
      </c>
      <c r="L39" s="85">
        <v>-7955</v>
      </c>
      <c r="M39" s="85">
        <v>1657</v>
      </c>
      <c r="N39" s="85">
        <v>4589</v>
      </c>
      <c r="O39" s="85">
        <v>-6219</v>
      </c>
      <c r="P39" s="85">
        <v>30096</v>
      </c>
    </row>
    <row r="40" spans="1:19" ht="15" customHeight="1" x14ac:dyDescent="0.2">
      <c r="C40" s="76" t="s">
        <v>42</v>
      </c>
      <c r="D40" s="85">
        <v>556</v>
      </c>
      <c r="E40" s="85">
        <v>5249</v>
      </c>
      <c r="F40" s="85">
        <v>96</v>
      </c>
      <c r="G40" s="85">
        <v>117</v>
      </c>
      <c r="H40" s="85">
        <v>1856</v>
      </c>
      <c r="I40" s="85">
        <v>735</v>
      </c>
      <c r="J40" s="85">
        <v>2399</v>
      </c>
      <c r="K40" s="85">
        <v>187</v>
      </c>
      <c r="L40" s="85">
        <v>464</v>
      </c>
      <c r="M40" s="85">
        <v>2184</v>
      </c>
      <c r="N40" s="85">
        <v>26</v>
      </c>
      <c r="O40" s="85">
        <v>1083</v>
      </c>
      <c r="P40" s="85">
        <v>14952</v>
      </c>
    </row>
    <row r="41" spans="1:19" ht="15" customHeight="1" x14ac:dyDescent="0.2"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</row>
    <row r="42" spans="1:19" s="82" customFormat="1" ht="15" customHeight="1" x14ac:dyDescent="0.25">
      <c r="A42" s="82" t="s">
        <v>163</v>
      </c>
      <c r="D42" s="83">
        <v>7431</v>
      </c>
      <c r="E42" s="83">
        <v>-7666</v>
      </c>
      <c r="F42" s="83">
        <v>5459</v>
      </c>
      <c r="G42" s="83">
        <v>6284</v>
      </c>
      <c r="H42" s="83">
        <v>-8315</v>
      </c>
      <c r="I42" s="83">
        <v>-5990</v>
      </c>
      <c r="J42" s="83">
        <v>3622</v>
      </c>
      <c r="K42" s="83">
        <v>2056</v>
      </c>
      <c r="L42" s="83">
        <v>-10613</v>
      </c>
      <c r="M42" s="83">
        <v>-2485</v>
      </c>
      <c r="N42" s="83">
        <v>493</v>
      </c>
      <c r="O42" s="83">
        <v>-3341</v>
      </c>
      <c r="P42" s="83">
        <v>-13065</v>
      </c>
      <c r="Q42" s="88"/>
    </row>
    <row r="43" spans="1:19" x14ac:dyDescent="0.2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</row>
    <row r="47" spans="1:19" x14ac:dyDescent="0.2">
      <c r="A47" s="86" t="s">
        <v>139</v>
      </c>
    </row>
    <row r="48" spans="1:19" x14ac:dyDescent="0.2">
      <c r="A48" s="86" t="s">
        <v>151</v>
      </c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AMJ47"/>
  <sheetViews>
    <sheetView zoomScaleNormal="100" workbookViewId="0">
      <selection activeCell="R17" sqref="R17"/>
    </sheetView>
  </sheetViews>
  <sheetFormatPr defaultColWidth="9.140625" defaultRowHeight="14.25" x14ac:dyDescent="0.2"/>
  <cols>
    <col min="1" max="1" width="1.5703125" style="76" customWidth="1"/>
    <col min="2" max="2" width="1.28515625" style="76" customWidth="1"/>
    <col min="3" max="3" width="24" style="76" customWidth="1"/>
    <col min="4" max="15" width="8" style="76" customWidth="1"/>
    <col min="16" max="1024" width="9.140625" style="76"/>
  </cols>
  <sheetData>
    <row r="1" spans="1:17" ht="15" x14ac:dyDescent="0.25">
      <c r="A1" s="82" t="s">
        <v>153</v>
      </c>
    </row>
    <row r="2" spans="1:17" ht="15" x14ac:dyDescent="0.25">
      <c r="A2" s="82" t="s">
        <v>166</v>
      </c>
      <c r="B2" s="82"/>
    </row>
    <row r="3" spans="1:17" x14ac:dyDescent="0.2">
      <c r="A3" s="76" t="s">
        <v>2</v>
      </c>
    </row>
    <row r="5" spans="1:17" ht="19.5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6" spans="1:17" ht="15" customHeight="1" x14ac:dyDescent="0.2"/>
    <row r="7" spans="1:17" s="82" customFormat="1" ht="15" customHeight="1" x14ac:dyDescent="0.25">
      <c r="A7" s="82" t="s">
        <v>15</v>
      </c>
      <c r="D7" s="83">
        <v>11036</v>
      </c>
      <c r="E7" s="83">
        <v>8225</v>
      </c>
      <c r="F7" s="83">
        <v>8845</v>
      </c>
      <c r="G7" s="83">
        <v>16873</v>
      </c>
      <c r="H7" s="83">
        <v>11428</v>
      </c>
      <c r="I7" s="83">
        <v>10831</v>
      </c>
      <c r="J7" s="83">
        <v>15033</v>
      </c>
      <c r="K7" s="83">
        <v>14987</v>
      </c>
      <c r="L7" s="83">
        <v>13076</v>
      </c>
      <c r="M7" s="83">
        <v>15666</v>
      </c>
      <c r="N7" s="83">
        <v>12200</v>
      </c>
      <c r="O7" s="83">
        <v>14210</v>
      </c>
      <c r="P7" s="83">
        <v>152410</v>
      </c>
      <c r="Q7" s="88"/>
    </row>
    <row r="8" spans="1:17" ht="15" customHeight="1" x14ac:dyDescent="0.25">
      <c r="B8" s="76" t="s">
        <v>16</v>
      </c>
      <c r="D8" s="84">
        <v>9564</v>
      </c>
      <c r="E8" s="84">
        <v>6827</v>
      </c>
      <c r="F8" s="84">
        <v>7510</v>
      </c>
      <c r="G8" s="84">
        <v>13922</v>
      </c>
      <c r="H8" s="84">
        <v>10588</v>
      </c>
      <c r="I8" s="84">
        <v>8806</v>
      </c>
      <c r="J8" s="84">
        <v>12598</v>
      </c>
      <c r="K8" s="84">
        <v>11018</v>
      </c>
      <c r="L8" s="84">
        <v>9029</v>
      </c>
      <c r="M8" s="84">
        <v>12264</v>
      </c>
      <c r="N8" s="84">
        <v>10228</v>
      </c>
      <c r="O8" s="84">
        <v>10108</v>
      </c>
      <c r="P8" s="84">
        <v>122462</v>
      </c>
      <c r="Q8" s="88"/>
    </row>
    <row r="9" spans="1:17" ht="15" customHeight="1" x14ac:dyDescent="0.25">
      <c r="C9" s="76" t="s">
        <v>17</v>
      </c>
      <c r="D9" s="85">
        <v>7182</v>
      </c>
      <c r="E9" s="85">
        <v>4404</v>
      </c>
      <c r="F9" s="85">
        <v>4527</v>
      </c>
      <c r="G9" s="85">
        <v>10623</v>
      </c>
      <c r="H9" s="85">
        <v>7244</v>
      </c>
      <c r="I9" s="85">
        <v>5237</v>
      </c>
      <c r="J9" s="85">
        <v>8720</v>
      </c>
      <c r="K9" s="85">
        <v>7226</v>
      </c>
      <c r="L9" s="85">
        <v>4743</v>
      </c>
      <c r="M9" s="85">
        <v>8865</v>
      </c>
      <c r="N9" s="85">
        <v>7305</v>
      </c>
      <c r="O9" s="85">
        <v>5925</v>
      </c>
      <c r="P9" s="85">
        <v>82001</v>
      </c>
      <c r="Q9" s="88"/>
    </row>
    <row r="10" spans="1:17" ht="15" customHeight="1" x14ac:dyDescent="0.25">
      <c r="C10" s="76" t="s">
        <v>21</v>
      </c>
      <c r="D10" s="85">
        <v>2243</v>
      </c>
      <c r="E10" s="85">
        <v>2281</v>
      </c>
      <c r="F10" s="85">
        <v>2839</v>
      </c>
      <c r="G10" s="85">
        <v>3121</v>
      </c>
      <c r="H10" s="85">
        <v>3103</v>
      </c>
      <c r="I10" s="85">
        <v>3367</v>
      </c>
      <c r="J10" s="85">
        <v>3597</v>
      </c>
      <c r="K10" s="85">
        <v>3605</v>
      </c>
      <c r="L10" s="85">
        <v>4114</v>
      </c>
      <c r="M10" s="85">
        <v>3221</v>
      </c>
      <c r="N10" s="85">
        <v>2787</v>
      </c>
      <c r="O10" s="85">
        <v>4097</v>
      </c>
      <c r="P10" s="85">
        <v>38375</v>
      </c>
      <c r="Q10" s="88"/>
    </row>
    <row r="11" spans="1:17" ht="15" customHeight="1" x14ac:dyDescent="0.25">
      <c r="C11" s="76" t="s">
        <v>88</v>
      </c>
      <c r="D11" s="85">
        <v>139</v>
      </c>
      <c r="E11" s="85">
        <v>142</v>
      </c>
      <c r="F11" s="85">
        <v>144</v>
      </c>
      <c r="G11" s="85">
        <v>178</v>
      </c>
      <c r="H11" s="85">
        <v>241</v>
      </c>
      <c r="I11" s="85">
        <v>202</v>
      </c>
      <c r="J11" s="85">
        <v>281</v>
      </c>
      <c r="K11" s="85">
        <v>187</v>
      </c>
      <c r="L11" s="85">
        <v>172</v>
      </c>
      <c r="M11" s="85">
        <v>178</v>
      </c>
      <c r="N11" s="85">
        <v>136</v>
      </c>
      <c r="O11" s="85">
        <v>86</v>
      </c>
      <c r="P11" s="85">
        <v>2086</v>
      </c>
      <c r="Q11" s="88"/>
    </row>
    <row r="12" spans="1:17" ht="15" customHeight="1" x14ac:dyDescent="0.25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8"/>
    </row>
    <row r="13" spans="1:17" ht="15" customHeight="1" x14ac:dyDescent="0.25">
      <c r="B13" s="76" t="s">
        <v>23</v>
      </c>
      <c r="D13" s="84">
        <v>1310</v>
      </c>
      <c r="E13" s="84">
        <v>1140</v>
      </c>
      <c r="F13" s="84">
        <v>1290</v>
      </c>
      <c r="G13" s="84">
        <v>2766</v>
      </c>
      <c r="H13" s="84">
        <v>815</v>
      </c>
      <c r="I13" s="84">
        <v>1765</v>
      </c>
      <c r="J13" s="84">
        <v>2395</v>
      </c>
      <c r="K13" s="84">
        <v>3852</v>
      </c>
      <c r="L13" s="84">
        <v>3931</v>
      </c>
      <c r="M13" s="84">
        <v>3329</v>
      </c>
      <c r="N13" s="84">
        <v>1847</v>
      </c>
      <c r="O13" s="84">
        <v>3807</v>
      </c>
      <c r="P13" s="84">
        <v>28247</v>
      </c>
      <c r="Q13" s="88"/>
    </row>
    <row r="14" spans="1:17" ht="15" customHeight="1" x14ac:dyDescent="0.25">
      <c r="C14" s="76" t="s">
        <v>24</v>
      </c>
      <c r="D14" s="85">
        <v>846</v>
      </c>
      <c r="E14" s="85">
        <v>267</v>
      </c>
      <c r="F14" s="85">
        <v>475</v>
      </c>
      <c r="G14" s="85">
        <v>1570</v>
      </c>
      <c r="H14" s="85">
        <v>479</v>
      </c>
      <c r="I14" s="85">
        <v>1295</v>
      </c>
      <c r="J14" s="85">
        <v>1841</v>
      </c>
      <c r="K14" s="85">
        <v>665</v>
      </c>
      <c r="L14" s="85">
        <v>2470</v>
      </c>
      <c r="M14" s="85">
        <v>1919</v>
      </c>
      <c r="N14" s="85">
        <v>1187</v>
      </c>
      <c r="O14" s="85">
        <v>1176</v>
      </c>
      <c r="P14" s="85">
        <v>14190</v>
      </c>
      <c r="Q14" s="88"/>
    </row>
    <row r="15" spans="1:17" ht="15" customHeight="1" x14ac:dyDescent="0.25">
      <c r="C15" s="76" t="s">
        <v>150</v>
      </c>
      <c r="D15" s="85">
        <v>369</v>
      </c>
      <c r="E15" s="85">
        <v>573</v>
      </c>
      <c r="F15" s="85">
        <v>496</v>
      </c>
      <c r="G15" s="85">
        <v>769</v>
      </c>
      <c r="H15" s="85">
        <v>229</v>
      </c>
      <c r="I15" s="85">
        <v>314</v>
      </c>
      <c r="J15" s="85">
        <v>530</v>
      </c>
      <c r="K15" s="85">
        <v>509</v>
      </c>
      <c r="L15" s="85">
        <v>482</v>
      </c>
      <c r="M15" s="85">
        <v>375</v>
      </c>
      <c r="N15" s="85">
        <v>468</v>
      </c>
      <c r="O15" s="85">
        <v>0</v>
      </c>
      <c r="P15" s="85">
        <v>5114</v>
      </c>
      <c r="Q15" s="88"/>
    </row>
    <row r="16" spans="1:17" ht="15" customHeight="1" x14ac:dyDescent="0.25">
      <c r="C16" s="76" t="s">
        <v>160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19</v>
      </c>
      <c r="J16" s="85">
        <v>0</v>
      </c>
      <c r="K16" s="85">
        <v>2353</v>
      </c>
      <c r="L16" s="85">
        <v>470</v>
      </c>
      <c r="M16" s="85">
        <v>0</v>
      </c>
      <c r="N16" s="85">
        <v>0</v>
      </c>
      <c r="O16" s="85">
        <v>1925</v>
      </c>
      <c r="P16" s="85">
        <v>4767</v>
      </c>
      <c r="Q16" s="88"/>
    </row>
    <row r="17" spans="1:19" ht="15" customHeight="1" x14ac:dyDescent="0.25">
      <c r="C17" s="76" t="s">
        <v>167</v>
      </c>
      <c r="D17" s="85">
        <v>95</v>
      </c>
      <c r="E17" s="85">
        <v>300</v>
      </c>
      <c r="F17" s="85">
        <v>319</v>
      </c>
      <c r="G17" s="85">
        <v>427</v>
      </c>
      <c r="H17" s="85">
        <v>107</v>
      </c>
      <c r="I17" s="85">
        <v>137</v>
      </c>
      <c r="J17" s="85">
        <v>24</v>
      </c>
      <c r="K17" s="85">
        <v>325</v>
      </c>
      <c r="L17" s="85">
        <v>509</v>
      </c>
      <c r="M17" s="85">
        <v>1035</v>
      </c>
      <c r="N17" s="85">
        <v>192</v>
      </c>
      <c r="O17" s="85">
        <v>706</v>
      </c>
      <c r="P17" s="85">
        <v>4176</v>
      </c>
      <c r="Q17" s="88"/>
    </row>
    <row r="18" spans="1:19" ht="15" customHeight="1" x14ac:dyDescent="0.25"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8"/>
    </row>
    <row r="19" spans="1:19" ht="15" customHeight="1" x14ac:dyDescent="0.25">
      <c r="B19" s="76" t="s">
        <v>29</v>
      </c>
      <c r="D19" s="85">
        <v>162</v>
      </c>
      <c r="E19" s="85">
        <v>258</v>
      </c>
      <c r="F19" s="85">
        <v>45</v>
      </c>
      <c r="G19" s="85">
        <v>185</v>
      </c>
      <c r="H19" s="85">
        <v>25</v>
      </c>
      <c r="I19" s="85">
        <v>260</v>
      </c>
      <c r="J19" s="85">
        <v>40</v>
      </c>
      <c r="K19" s="85">
        <v>117</v>
      </c>
      <c r="L19" s="85">
        <v>116</v>
      </c>
      <c r="M19" s="85">
        <v>73</v>
      </c>
      <c r="N19" s="85">
        <v>125</v>
      </c>
      <c r="O19" s="85">
        <v>295</v>
      </c>
      <c r="P19" s="85">
        <v>1701</v>
      </c>
      <c r="Q19" s="88"/>
    </row>
    <row r="20" spans="1:19" ht="15" customHeight="1" x14ac:dyDescent="0.25"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8"/>
    </row>
    <row r="21" spans="1:19" s="82" customFormat="1" ht="15" customHeight="1" x14ac:dyDescent="0.25">
      <c r="A21" s="82" t="s">
        <v>30</v>
      </c>
      <c r="D21" s="83">
        <v>13384</v>
      </c>
      <c r="E21" s="83">
        <v>11855</v>
      </c>
      <c r="F21" s="83">
        <v>12526</v>
      </c>
      <c r="G21" s="83">
        <v>15600</v>
      </c>
      <c r="H21" s="83">
        <v>13394</v>
      </c>
      <c r="I21" s="83">
        <v>12074</v>
      </c>
      <c r="J21" s="83">
        <v>13991</v>
      </c>
      <c r="K21" s="83">
        <v>12457</v>
      </c>
      <c r="L21" s="83">
        <v>11766</v>
      </c>
      <c r="M21" s="83">
        <v>15471</v>
      </c>
      <c r="N21" s="83">
        <v>17250</v>
      </c>
      <c r="O21" s="83">
        <v>22210</v>
      </c>
      <c r="P21" s="83">
        <v>171978</v>
      </c>
      <c r="Q21" s="88"/>
    </row>
    <row r="22" spans="1:19" ht="15" customHeight="1" x14ac:dyDescent="0.25">
      <c r="B22" s="76" t="s">
        <v>18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8"/>
    </row>
    <row r="23" spans="1:19" ht="15" customHeight="1" x14ac:dyDescent="0.25">
      <c r="C23" s="76" t="s">
        <v>32</v>
      </c>
      <c r="D23" s="85">
        <v>4247</v>
      </c>
      <c r="E23" s="85">
        <v>3843</v>
      </c>
      <c r="F23" s="85">
        <v>4522</v>
      </c>
      <c r="G23" s="85">
        <v>4857</v>
      </c>
      <c r="H23" s="85">
        <v>4683</v>
      </c>
      <c r="I23" s="85">
        <v>2788</v>
      </c>
      <c r="J23" s="85">
        <v>4234</v>
      </c>
      <c r="K23" s="85">
        <v>4937</v>
      </c>
      <c r="L23" s="85">
        <v>4071</v>
      </c>
      <c r="M23" s="85">
        <v>5473</v>
      </c>
      <c r="N23" s="85">
        <v>5064</v>
      </c>
      <c r="O23" s="85">
        <v>5995</v>
      </c>
      <c r="P23" s="85">
        <v>54714</v>
      </c>
      <c r="Q23" s="88"/>
    </row>
    <row r="24" spans="1:19" ht="15" customHeight="1" x14ac:dyDescent="0.25">
      <c r="C24" s="76" t="s">
        <v>78</v>
      </c>
      <c r="D24" s="85">
        <v>129</v>
      </c>
      <c r="E24" s="85">
        <v>0</v>
      </c>
      <c r="F24" s="85">
        <v>138</v>
      </c>
      <c r="G24" s="85">
        <v>150</v>
      </c>
      <c r="H24" s="85">
        <v>417</v>
      </c>
      <c r="I24" s="85">
        <v>828</v>
      </c>
      <c r="J24" s="85">
        <v>1365</v>
      </c>
      <c r="K24" s="85">
        <v>77</v>
      </c>
      <c r="L24" s="85">
        <v>666</v>
      </c>
      <c r="M24" s="85">
        <v>41</v>
      </c>
      <c r="N24" s="85">
        <v>887</v>
      </c>
      <c r="O24" s="85">
        <v>877</v>
      </c>
      <c r="P24" s="85">
        <v>5575</v>
      </c>
      <c r="Q24" s="88"/>
    </row>
    <row r="25" spans="1:19" ht="15" customHeight="1" x14ac:dyDescent="0.25">
      <c r="C25" s="76" t="s">
        <v>31</v>
      </c>
      <c r="D25" s="85">
        <v>458</v>
      </c>
      <c r="E25" s="85">
        <v>319</v>
      </c>
      <c r="F25" s="85">
        <v>449</v>
      </c>
      <c r="G25" s="85">
        <v>844</v>
      </c>
      <c r="H25" s="85">
        <v>429</v>
      </c>
      <c r="I25" s="85">
        <v>441</v>
      </c>
      <c r="J25" s="85">
        <v>465</v>
      </c>
      <c r="K25" s="85">
        <v>432</v>
      </c>
      <c r="L25" s="85">
        <v>0</v>
      </c>
      <c r="M25" s="85">
        <v>467</v>
      </c>
      <c r="N25" s="85">
        <v>443</v>
      </c>
      <c r="O25" s="85">
        <v>487</v>
      </c>
      <c r="P25" s="85">
        <v>5234</v>
      </c>
      <c r="Q25" s="88"/>
    </row>
    <row r="26" spans="1:19" ht="15" customHeight="1" x14ac:dyDescent="0.25">
      <c r="C26" s="76" t="s">
        <v>33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263</v>
      </c>
      <c r="K26" s="85">
        <v>68</v>
      </c>
      <c r="L26" s="85">
        <v>0</v>
      </c>
      <c r="M26" s="85">
        <v>0</v>
      </c>
      <c r="N26" s="85">
        <v>21</v>
      </c>
      <c r="O26" s="85">
        <v>583</v>
      </c>
      <c r="P26" s="85">
        <v>935</v>
      </c>
      <c r="Q26" s="88"/>
    </row>
    <row r="27" spans="1:19" ht="15" customHeight="1" x14ac:dyDescent="0.25">
      <c r="C27" s="76" t="s">
        <v>35</v>
      </c>
      <c r="D27" s="85">
        <v>345</v>
      </c>
      <c r="E27" s="85">
        <v>0</v>
      </c>
      <c r="F27" s="85">
        <v>140</v>
      </c>
      <c r="G27" s="85">
        <v>8</v>
      </c>
      <c r="H27" s="85">
        <v>510</v>
      </c>
      <c r="I27" s="85">
        <v>-507</v>
      </c>
      <c r="J27" s="85">
        <v>319</v>
      </c>
      <c r="K27" s="85">
        <v>372</v>
      </c>
      <c r="L27" s="85">
        <v>415</v>
      </c>
      <c r="M27" s="85">
        <v>80</v>
      </c>
      <c r="N27" s="85">
        <v>282</v>
      </c>
      <c r="O27" s="85">
        <v>143</v>
      </c>
      <c r="P27" s="85">
        <v>2107</v>
      </c>
      <c r="Q27" s="88"/>
    </row>
    <row r="28" spans="1:19" ht="15" customHeight="1" x14ac:dyDescent="0.25">
      <c r="C28" s="76" t="s">
        <v>79</v>
      </c>
      <c r="D28" s="85">
        <v>186</v>
      </c>
      <c r="E28" s="85">
        <v>633</v>
      </c>
      <c r="F28" s="85">
        <v>-89</v>
      </c>
      <c r="G28" s="85">
        <v>601</v>
      </c>
      <c r="H28" s="85">
        <v>122</v>
      </c>
      <c r="I28" s="85">
        <v>512</v>
      </c>
      <c r="J28" s="85">
        <v>413</v>
      </c>
      <c r="K28" s="85">
        <v>41</v>
      </c>
      <c r="L28" s="85">
        <v>-152</v>
      </c>
      <c r="M28" s="85">
        <v>1079</v>
      </c>
      <c r="N28" s="85">
        <v>29</v>
      </c>
      <c r="O28" s="85">
        <v>707</v>
      </c>
      <c r="P28" s="85">
        <v>4082</v>
      </c>
      <c r="Q28" s="88"/>
    </row>
    <row r="29" spans="1:19" ht="15" customHeight="1" x14ac:dyDescent="0.25"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8"/>
    </row>
    <row r="30" spans="1:19" s="82" customFormat="1" ht="15" customHeight="1" x14ac:dyDescent="0.25">
      <c r="A30" s="82" t="s">
        <v>137</v>
      </c>
      <c r="D30" s="88">
        <v>-2348</v>
      </c>
      <c r="E30" s="88">
        <v>-3630</v>
      </c>
      <c r="F30" s="88">
        <v>-3681</v>
      </c>
      <c r="G30" s="88">
        <v>1273</v>
      </c>
      <c r="H30" s="88">
        <v>-1966</v>
      </c>
      <c r="I30" s="88">
        <v>-1243</v>
      </c>
      <c r="J30" s="88">
        <v>1042</v>
      </c>
      <c r="K30" s="88">
        <v>2530</v>
      </c>
      <c r="L30" s="88">
        <v>1310</v>
      </c>
      <c r="M30" s="88">
        <v>195</v>
      </c>
      <c r="N30" s="88">
        <v>-5050</v>
      </c>
      <c r="O30" s="88">
        <v>-8000</v>
      </c>
      <c r="P30" s="88">
        <v>-19568</v>
      </c>
      <c r="Q30" s="88"/>
    </row>
    <row r="31" spans="1:19" ht="15" customHeight="1" x14ac:dyDescent="0.25"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8"/>
    </row>
    <row r="32" spans="1:19" s="82" customFormat="1" ht="15" customHeight="1" x14ac:dyDescent="0.25">
      <c r="A32" s="82" t="s">
        <v>39</v>
      </c>
      <c r="D32" s="83">
        <v>4540</v>
      </c>
      <c r="E32" s="83">
        <v>2011</v>
      </c>
      <c r="F32" s="83">
        <v>6829</v>
      </c>
      <c r="G32" s="83">
        <v>8724</v>
      </c>
      <c r="H32" s="83">
        <v>695</v>
      </c>
      <c r="I32" s="83">
        <v>-4882</v>
      </c>
      <c r="J32" s="83">
        <v>-5872</v>
      </c>
      <c r="K32" s="83">
        <v>1378</v>
      </c>
      <c r="L32" s="83">
        <v>4058</v>
      </c>
      <c r="M32" s="83">
        <v>3868</v>
      </c>
      <c r="N32" s="83">
        <v>-3775</v>
      </c>
      <c r="O32" s="83">
        <v>11086</v>
      </c>
      <c r="P32" s="83">
        <v>28660</v>
      </c>
      <c r="Q32" s="88"/>
      <c r="R32" s="131"/>
      <c r="S32" s="131"/>
    </row>
    <row r="33" spans="1:17" ht="15" customHeight="1" x14ac:dyDescent="0.25">
      <c r="B33" s="76" t="s">
        <v>40</v>
      </c>
      <c r="D33" s="84">
        <v>89</v>
      </c>
      <c r="E33" s="84">
        <v>292</v>
      </c>
      <c r="F33" s="84">
        <v>-312</v>
      </c>
      <c r="G33" s="84">
        <v>374</v>
      </c>
      <c r="H33" s="84">
        <v>-561</v>
      </c>
      <c r="I33" s="84">
        <v>-520</v>
      </c>
      <c r="J33" s="84">
        <v>-218</v>
      </c>
      <c r="K33" s="84">
        <v>1223</v>
      </c>
      <c r="L33" s="84">
        <v>-25</v>
      </c>
      <c r="M33" s="84">
        <v>1277</v>
      </c>
      <c r="N33" s="84">
        <v>-53</v>
      </c>
      <c r="O33" s="84">
        <v>6644</v>
      </c>
      <c r="P33" s="84">
        <v>8210</v>
      </c>
      <c r="Q33" s="88"/>
    </row>
    <row r="34" spans="1:17" ht="15" customHeight="1" x14ac:dyDescent="0.25">
      <c r="C34" s="76" t="s">
        <v>41</v>
      </c>
      <c r="D34" s="85">
        <v>232</v>
      </c>
      <c r="E34" s="85">
        <v>523</v>
      </c>
      <c r="F34" s="85">
        <v>551</v>
      </c>
      <c r="G34" s="85">
        <v>1025</v>
      </c>
      <c r="H34" s="85">
        <v>116</v>
      </c>
      <c r="I34" s="85">
        <v>1177</v>
      </c>
      <c r="J34" s="85">
        <v>233</v>
      </c>
      <c r="K34" s="85">
        <v>1840</v>
      </c>
      <c r="L34" s="85">
        <v>843</v>
      </c>
      <c r="M34" s="85">
        <v>2921</v>
      </c>
      <c r="N34" s="85">
        <v>875</v>
      </c>
      <c r="O34" s="85">
        <v>9617</v>
      </c>
      <c r="P34" s="85">
        <v>19953</v>
      </c>
      <c r="Q34" s="88"/>
    </row>
    <row r="35" spans="1:17" ht="15" customHeight="1" x14ac:dyDescent="0.25">
      <c r="C35" s="76" t="s">
        <v>42</v>
      </c>
      <c r="D35" s="85">
        <v>143</v>
      </c>
      <c r="E35" s="85">
        <v>231</v>
      </c>
      <c r="F35" s="85">
        <v>863</v>
      </c>
      <c r="G35" s="85">
        <v>651</v>
      </c>
      <c r="H35" s="85">
        <v>677</v>
      </c>
      <c r="I35" s="85">
        <v>1697</v>
      </c>
      <c r="J35" s="85">
        <v>451</v>
      </c>
      <c r="K35" s="85">
        <v>617</v>
      </c>
      <c r="L35" s="85">
        <v>868</v>
      </c>
      <c r="M35" s="85">
        <v>1644</v>
      </c>
      <c r="N35" s="85">
        <v>928</v>
      </c>
      <c r="O35" s="85">
        <v>2973</v>
      </c>
      <c r="P35" s="85">
        <v>11743</v>
      </c>
      <c r="Q35" s="88"/>
    </row>
    <row r="36" spans="1:17" ht="15" customHeight="1" x14ac:dyDescent="0.25"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8"/>
    </row>
    <row r="37" spans="1:17" ht="15" customHeight="1" x14ac:dyDescent="0.25">
      <c r="B37" s="76" t="s">
        <v>43</v>
      </c>
      <c r="D37" s="84">
        <v>4451</v>
      </c>
      <c r="E37" s="84">
        <v>1719</v>
      </c>
      <c r="F37" s="84">
        <v>7141</v>
      </c>
      <c r="G37" s="84">
        <v>8350</v>
      </c>
      <c r="H37" s="84">
        <v>1256</v>
      </c>
      <c r="I37" s="84">
        <v>-4362</v>
      </c>
      <c r="J37" s="84">
        <v>-5654</v>
      </c>
      <c r="K37" s="84">
        <v>155</v>
      </c>
      <c r="L37" s="84">
        <v>4083</v>
      </c>
      <c r="M37" s="84">
        <v>2591</v>
      </c>
      <c r="N37" s="84">
        <v>-3722</v>
      </c>
      <c r="O37" s="84">
        <v>4442</v>
      </c>
      <c r="P37" s="84">
        <v>20450</v>
      </c>
      <c r="Q37" s="88"/>
    </row>
    <row r="38" spans="1:17" ht="15" customHeight="1" x14ac:dyDescent="0.25">
      <c r="C38" s="76" t="s">
        <v>44</v>
      </c>
      <c r="D38" s="85">
        <v>5748</v>
      </c>
      <c r="E38" s="85">
        <v>3109</v>
      </c>
      <c r="F38" s="85">
        <v>8193</v>
      </c>
      <c r="G38" s="85">
        <v>9717</v>
      </c>
      <c r="H38" s="85">
        <v>1548</v>
      </c>
      <c r="I38" s="85">
        <v>-3783</v>
      </c>
      <c r="J38" s="85">
        <v>-4233</v>
      </c>
      <c r="K38" s="85">
        <v>2342</v>
      </c>
      <c r="L38" s="85">
        <v>6292</v>
      </c>
      <c r="M38" s="85">
        <v>3325</v>
      </c>
      <c r="N38" s="85">
        <v>-1039</v>
      </c>
      <c r="O38" s="85">
        <v>5991</v>
      </c>
      <c r="P38" s="85">
        <v>37210</v>
      </c>
      <c r="Q38" s="88"/>
    </row>
    <row r="39" spans="1:17" ht="15" customHeight="1" x14ac:dyDescent="0.25">
      <c r="C39" s="76" t="s">
        <v>42</v>
      </c>
      <c r="D39" s="85">
        <v>1297</v>
      </c>
      <c r="E39" s="85">
        <v>1390</v>
      </c>
      <c r="F39" s="85">
        <v>1052</v>
      </c>
      <c r="G39" s="85">
        <v>1367</v>
      </c>
      <c r="H39" s="85">
        <v>292</v>
      </c>
      <c r="I39" s="85">
        <v>579</v>
      </c>
      <c r="J39" s="85">
        <v>1421</v>
      </c>
      <c r="K39" s="85">
        <v>2187</v>
      </c>
      <c r="L39" s="85">
        <v>2209</v>
      </c>
      <c r="M39" s="85">
        <v>734</v>
      </c>
      <c r="N39" s="85">
        <v>2683</v>
      </c>
      <c r="O39" s="85">
        <v>1549</v>
      </c>
      <c r="P39" s="85">
        <v>16760</v>
      </c>
      <c r="Q39" s="88"/>
    </row>
    <row r="40" spans="1:17" ht="15" customHeight="1" x14ac:dyDescent="0.25"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8"/>
    </row>
    <row r="41" spans="1:17" s="82" customFormat="1" ht="15" customHeight="1" x14ac:dyDescent="0.25">
      <c r="A41" s="82" t="s">
        <v>163</v>
      </c>
      <c r="D41" s="83">
        <v>2880</v>
      </c>
      <c r="E41" s="83">
        <v>-2115</v>
      </c>
      <c r="F41" s="83">
        <v>3772</v>
      </c>
      <c r="G41" s="83">
        <v>10376</v>
      </c>
      <c r="H41" s="83">
        <v>-1121</v>
      </c>
      <c r="I41" s="83">
        <v>-5866</v>
      </c>
      <c r="J41" s="83">
        <v>-4617</v>
      </c>
      <c r="K41" s="83">
        <v>4127</v>
      </c>
      <c r="L41" s="83">
        <v>8241</v>
      </c>
      <c r="M41" s="83">
        <v>2101</v>
      </c>
      <c r="N41" s="83">
        <v>-8675</v>
      </c>
      <c r="O41" s="83">
        <v>4079</v>
      </c>
      <c r="P41" s="83">
        <v>13182</v>
      </c>
      <c r="Q41" s="88"/>
    </row>
    <row r="42" spans="1:17" ht="15" x14ac:dyDescent="0.25">
      <c r="A42" s="89"/>
      <c r="B42" s="89"/>
      <c r="C42" s="89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88"/>
    </row>
    <row r="43" spans="1:17" s="85" customFormat="1" ht="15" x14ac:dyDescent="0.25">
      <c r="B43" s="76"/>
      <c r="C43" s="76"/>
      <c r="Q43" s="88"/>
    </row>
    <row r="45" spans="1:17" x14ac:dyDescent="0.2"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</row>
    <row r="47" spans="1:17" x14ac:dyDescent="0.2">
      <c r="A47" s="86" t="s">
        <v>139</v>
      </c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AMJ45"/>
  <sheetViews>
    <sheetView zoomScaleNormal="100" workbookViewId="0">
      <selection activeCell="T26" sqref="T26"/>
    </sheetView>
  </sheetViews>
  <sheetFormatPr defaultColWidth="9.140625" defaultRowHeight="14.25" x14ac:dyDescent="0.2"/>
  <cols>
    <col min="1" max="1" width="1.5703125" style="76" customWidth="1"/>
    <col min="2" max="2" width="1.28515625" style="76" customWidth="1"/>
    <col min="3" max="3" width="24" style="76" customWidth="1"/>
    <col min="4" max="15" width="8" style="76" customWidth="1"/>
    <col min="16" max="1024" width="9.140625" style="76"/>
  </cols>
  <sheetData>
    <row r="1" spans="1:16" ht="15" x14ac:dyDescent="0.25">
      <c r="A1" s="82" t="s">
        <v>153</v>
      </c>
    </row>
    <row r="2" spans="1:16" ht="15" x14ac:dyDescent="0.25">
      <c r="A2" s="82" t="s">
        <v>168</v>
      </c>
      <c r="B2" s="82"/>
    </row>
    <row r="3" spans="1:16" x14ac:dyDescent="0.2">
      <c r="A3" s="76" t="s">
        <v>2</v>
      </c>
    </row>
    <row r="5" spans="1:16" ht="21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7" spans="1:16" s="82" customFormat="1" ht="15" customHeight="1" x14ac:dyDescent="0.25">
      <c r="A7" s="82" t="s">
        <v>15</v>
      </c>
      <c r="D7" s="83">
        <v>9208</v>
      </c>
      <c r="E7" s="83">
        <v>7496</v>
      </c>
      <c r="F7" s="83">
        <v>7265</v>
      </c>
      <c r="G7" s="83">
        <v>12668</v>
      </c>
      <c r="H7" s="83">
        <v>9373</v>
      </c>
      <c r="I7" s="83">
        <v>8323</v>
      </c>
      <c r="J7" s="83">
        <v>10011</v>
      </c>
      <c r="K7" s="83">
        <v>9184</v>
      </c>
      <c r="L7" s="83">
        <v>8153</v>
      </c>
      <c r="M7" s="83">
        <v>10007</v>
      </c>
      <c r="N7" s="83">
        <v>10736</v>
      </c>
      <c r="O7" s="83">
        <v>10437</v>
      </c>
      <c r="P7" s="83">
        <v>112861</v>
      </c>
    </row>
    <row r="8" spans="1:16" ht="15" customHeight="1" x14ac:dyDescent="0.2">
      <c r="B8" s="76" t="s">
        <v>16</v>
      </c>
      <c r="D8" s="84">
        <v>7685</v>
      </c>
      <c r="E8" s="84">
        <v>6083</v>
      </c>
      <c r="F8" s="84">
        <v>5971</v>
      </c>
      <c r="G8" s="84">
        <v>10671</v>
      </c>
      <c r="H8" s="84">
        <v>7818</v>
      </c>
      <c r="I8" s="84">
        <v>6060</v>
      </c>
      <c r="J8" s="84">
        <v>8470</v>
      </c>
      <c r="K8" s="84">
        <v>7849</v>
      </c>
      <c r="L8" s="84">
        <v>5955</v>
      </c>
      <c r="M8" s="84">
        <v>8276</v>
      </c>
      <c r="N8" s="84">
        <v>7930</v>
      </c>
      <c r="O8" s="84">
        <v>7584</v>
      </c>
      <c r="P8" s="84">
        <v>90352</v>
      </c>
    </row>
    <row r="9" spans="1:16" ht="15" customHeight="1" x14ac:dyDescent="0.2">
      <c r="C9" s="76" t="s">
        <v>17</v>
      </c>
      <c r="D9" s="85">
        <v>6005</v>
      </c>
      <c r="E9" s="85">
        <v>3961</v>
      </c>
      <c r="F9" s="85">
        <v>3558</v>
      </c>
      <c r="G9" s="85">
        <v>8629</v>
      </c>
      <c r="H9" s="85">
        <v>5659</v>
      </c>
      <c r="I9" s="85">
        <v>3808</v>
      </c>
      <c r="J9" s="85">
        <v>6344</v>
      </c>
      <c r="K9" s="85">
        <v>5644</v>
      </c>
      <c r="L9" s="85">
        <v>3645</v>
      </c>
      <c r="M9" s="85">
        <v>6099</v>
      </c>
      <c r="N9" s="85">
        <v>5524</v>
      </c>
      <c r="O9" s="85">
        <v>4845</v>
      </c>
      <c r="P9" s="85">
        <v>63721</v>
      </c>
    </row>
    <row r="10" spans="1:16" ht="15" customHeight="1" x14ac:dyDescent="0.2">
      <c r="C10" s="76" t="s">
        <v>21</v>
      </c>
      <c r="D10" s="85">
        <v>1590</v>
      </c>
      <c r="E10" s="85">
        <v>1990</v>
      </c>
      <c r="F10" s="85">
        <v>2263</v>
      </c>
      <c r="G10" s="85">
        <v>1890</v>
      </c>
      <c r="H10" s="85">
        <v>2014</v>
      </c>
      <c r="I10" s="85">
        <v>2054</v>
      </c>
      <c r="J10" s="85">
        <v>1992</v>
      </c>
      <c r="K10" s="85">
        <v>2089</v>
      </c>
      <c r="L10" s="85">
        <v>2201</v>
      </c>
      <c r="M10" s="85">
        <v>2017</v>
      </c>
      <c r="N10" s="85">
        <v>2306</v>
      </c>
      <c r="O10" s="85">
        <v>2608</v>
      </c>
      <c r="P10" s="85">
        <v>25014</v>
      </c>
    </row>
    <row r="11" spans="1:16" ht="15" customHeight="1" x14ac:dyDescent="0.2">
      <c r="C11" s="76" t="s">
        <v>88</v>
      </c>
      <c r="D11" s="85">
        <v>90</v>
      </c>
      <c r="E11" s="85">
        <v>132</v>
      </c>
      <c r="F11" s="85">
        <v>150</v>
      </c>
      <c r="G11" s="85">
        <v>152</v>
      </c>
      <c r="H11" s="85">
        <v>145</v>
      </c>
      <c r="I11" s="85">
        <v>198</v>
      </c>
      <c r="J11" s="85">
        <v>134</v>
      </c>
      <c r="K11" s="85">
        <v>116</v>
      </c>
      <c r="L11" s="85">
        <v>109</v>
      </c>
      <c r="M11" s="85">
        <v>160</v>
      </c>
      <c r="N11" s="85">
        <v>100</v>
      </c>
      <c r="O11" s="85">
        <v>131</v>
      </c>
      <c r="P11" s="85">
        <v>1617</v>
      </c>
    </row>
    <row r="12" spans="1:16" ht="15" customHeight="1" x14ac:dyDescent="0.2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1:16" ht="15" customHeight="1" x14ac:dyDescent="0.2">
      <c r="B13" s="76" t="s">
        <v>23</v>
      </c>
      <c r="D13" s="84">
        <v>1236</v>
      </c>
      <c r="E13" s="84">
        <v>1167</v>
      </c>
      <c r="F13" s="84">
        <v>1264</v>
      </c>
      <c r="G13" s="84">
        <v>1873</v>
      </c>
      <c r="H13" s="84">
        <v>1458</v>
      </c>
      <c r="I13" s="84">
        <v>2097</v>
      </c>
      <c r="J13" s="84">
        <v>1442</v>
      </c>
      <c r="K13" s="84">
        <v>1278</v>
      </c>
      <c r="L13" s="84">
        <v>2149</v>
      </c>
      <c r="M13" s="84">
        <v>1690</v>
      </c>
      <c r="N13" s="84">
        <v>2472</v>
      </c>
      <c r="O13" s="84">
        <v>2608</v>
      </c>
      <c r="P13" s="84">
        <v>20734</v>
      </c>
    </row>
    <row r="14" spans="1:16" ht="15" customHeight="1" x14ac:dyDescent="0.2">
      <c r="C14" s="76" t="s">
        <v>24</v>
      </c>
      <c r="D14" s="85">
        <v>504</v>
      </c>
      <c r="E14" s="85">
        <v>42</v>
      </c>
      <c r="F14" s="85">
        <v>514</v>
      </c>
      <c r="G14" s="85">
        <v>1085</v>
      </c>
      <c r="H14" s="85">
        <v>507</v>
      </c>
      <c r="I14" s="85">
        <v>670</v>
      </c>
      <c r="J14" s="85">
        <v>486</v>
      </c>
      <c r="K14" s="85">
        <v>671</v>
      </c>
      <c r="L14" s="85">
        <v>1152</v>
      </c>
      <c r="M14" s="85">
        <v>1104</v>
      </c>
      <c r="N14" s="85">
        <v>1047</v>
      </c>
      <c r="O14" s="85">
        <v>1429</v>
      </c>
      <c r="P14" s="85">
        <v>9211</v>
      </c>
    </row>
    <row r="15" spans="1:16" ht="15" customHeight="1" x14ac:dyDescent="0.2">
      <c r="C15" s="76" t="s">
        <v>150</v>
      </c>
      <c r="D15" s="85">
        <v>510</v>
      </c>
      <c r="E15" s="85">
        <v>511</v>
      </c>
      <c r="F15" s="85">
        <v>211</v>
      </c>
      <c r="G15" s="85">
        <v>704</v>
      </c>
      <c r="H15" s="85">
        <v>697</v>
      </c>
      <c r="I15" s="85">
        <v>402</v>
      </c>
      <c r="J15" s="85">
        <v>528</v>
      </c>
      <c r="K15" s="85">
        <v>522</v>
      </c>
      <c r="L15" s="85">
        <v>151</v>
      </c>
      <c r="M15" s="85">
        <v>150</v>
      </c>
      <c r="N15" s="85">
        <v>473</v>
      </c>
      <c r="O15" s="85">
        <v>463</v>
      </c>
      <c r="P15" s="85">
        <v>5322</v>
      </c>
    </row>
    <row r="16" spans="1:16" ht="15" customHeight="1" x14ac:dyDescent="0.2">
      <c r="C16" s="76" t="s">
        <v>160</v>
      </c>
      <c r="D16" s="85">
        <v>58</v>
      </c>
      <c r="E16" s="85">
        <v>0</v>
      </c>
      <c r="F16" s="85">
        <v>36</v>
      </c>
      <c r="G16" s="85">
        <v>0</v>
      </c>
      <c r="H16" s="85">
        <v>0</v>
      </c>
      <c r="I16" s="85">
        <v>50</v>
      </c>
      <c r="J16" s="85">
        <v>0</v>
      </c>
      <c r="K16" s="85">
        <v>0</v>
      </c>
      <c r="L16" s="85">
        <v>0</v>
      </c>
      <c r="M16" s="85">
        <v>0</v>
      </c>
      <c r="N16" s="85">
        <v>51</v>
      </c>
      <c r="O16" s="85">
        <v>0</v>
      </c>
      <c r="P16" s="85">
        <v>195</v>
      </c>
    </row>
    <row r="17" spans="1:18" ht="15" customHeight="1" x14ac:dyDescent="0.2">
      <c r="C17" s="76" t="s">
        <v>167</v>
      </c>
      <c r="D17" s="85">
        <v>164</v>
      </c>
      <c r="E17" s="85">
        <v>614</v>
      </c>
      <c r="F17" s="85">
        <v>503</v>
      </c>
      <c r="G17" s="85">
        <v>84</v>
      </c>
      <c r="H17" s="85">
        <v>254</v>
      </c>
      <c r="I17" s="85">
        <v>975</v>
      </c>
      <c r="J17" s="85">
        <v>428</v>
      </c>
      <c r="K17" s="85">
        <v>85</v>
      </c>
      <c r="L17" s="85">
        <v>846</v>
      </c>
      <c r="M17" s="85">
        <v>436</v>
      </c>
      <c r="N17" s="85">
        <v>901</v>
      </c>
      <c r="O17" s="85">
        <v>716</v>
      </c>
      <c r="P17" s="85">
        <v>6006</v>
      </c>
    </row>
    <row r="18" spans="1:18" ht="15" customHeight="1" x14ac:dyDescent="0.2"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1:18" ht="15" customHeight="1" x14ac:dyDescent="0.2">
      <c r="B19" s="76" t="s">
        <v>29</v>
      </c>
      <c r="D19" s="85">
        <v>287</v>
      </c>
      <c r="E19" s="85">
        <v>246</v>
      </c>
      <c r="F19" s="85">
        <v>30</v>
      </c>
      <c r="G19" s="85">
        <v>124</v>
      </c>
      <c r="H19" s="85">
        <v>97</v>
      </c>
      <c r="I19" s="85">
        <v>166</v>
      </c>
      <c r="J19" s="85">
        <v>99</v>
      </c>
      <c r="K19" s="85">
        <v>57</v>
      </c>
      <c r="L19" s="85">
        <v>49</v>
      </c>
      <c r="M19" s="85">
        <v>41</v>
      </c>
      <c r="N19" s="85">
        <v>334</v>
      </c>
      <c r="O19" s="85">
        <v>245</v>
      </c>
      <c r="P19" s="85">
        <v>1775</v>
      </c>
    </row>
    <row r="20" spans="1:18" ht="15" customHeight="1" x14ac:dyDescent="0.2"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1:18" s="82" customFormat="1" ht="15" customHeight="1" x14ac:dyDescent="0.25">
      <c r="A21" s="82" t="s">
        <v>30</v>
      </c>
      <c r="D21" s="83">
        <v>10725</v>
      </c>
      <c r="E21" s="83">
        <v>9123</v>
      </c>
      <c r="F21" s="83">
        <v>12284</v>
      </c>
      <c r="G21" s="83">
        <v>9698</v>
      </c>
      <c r="H21" s="83">
        <v>10314</v>
      </c>
      <c r="I21" s="83">
        <v>11165</v>
      </c>
      <c r="J21" s="83">
        <v>9775</v>
      </c>
      <c r="K21" s="83">
        <v>12900</v>
      </c>
      <c r="L21" s="83">
        <v>11338</v>
      </c>
      <c r="M21" s="83">
        <v>10126</v>
      </c>
      <c r="N21" s="83">
        <v>10751</v>
      </c>
      <c r="O21" s="83">
        <v>17868</v>
      </c>
      <c r="P21" s="83">
        <v>136067</v>
      </c>
    </row>
    <row r="22" spans="1:18" ht="15" customHeight="1" x14ac:dyDescent="0.2">
      <c r="B22" s="76" t="s">
        <v>18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</row>
    <row r="23" spans="1:18" ht="15" customHeight="1" x14ac:dyDescent="0.2">
      <c r="C23" s="76" t="s">
        <v>32</v>
      </c>
      <c r="D23" s="85">
        <v>3295</v>
      </c>
      <c r="E23" s="85">
        <v>3500</v>
      </c>
      <c r="F23" s="85">
        <v>5005</v>
      </c>
      <c r="G23" s="85">
        <v>3852</v>
      </c>
      <c r="H23" s="85">
        <v>4190</v>
      </c>
      <c r="I23" s="85">
        <v>4169</v>
      </c>
      <c r="J23" s="85">
        <v>3496</v>
      </c>
      <c r="K23" s="85">
        <v>3884</v>
      </c>
      <c r="L23" s="85">
        <v>3323</v>
      </c>
      <c r="M23" s="85">
        <v>3533</v>
      </c>
      <c r="N23" s="85">
        <v>2342</v>
      </c>
      <c r="O23" s="85">
        <v>5276</v>
      </c>
      <c r="P23" s="85">
        <v>45865</v>
      </c>
    </row>
    <row r="24" spans="1:18" ht="15" customHeight="1" x14ac:dyDescent="0.2">
      <c r="C24" s="76" t="s">
        <v>78</v>
      </c>
      <c r="D24" s="85">
        <v>0</v>
      </c>
      <c r="E24" s="85">
        <v>23</v>
      </c>
      <c r="F24" s="85">
        <v>16</v>
      </c>
      <c r="G24" s="85">
        <v>50</v>
      </c>
      <c r="H24" s="85">
        <v>135</v>
      </c>
      <c r="I24" s="85">
        <v>219</v>
      </c>
      <c r="J24" s="85">
        <v>178</v>
      </c>
      <c r="K24" s="85">
        <v>41</v>
      </c>
      <c r="L24" s="85">
        <v>217</v>
      </c>
      <c r="M24" s="85">
        <v>160</v>
      </c>
      <c r="N24" s="85">
        <v>166</v>
      </c>
      <c r="O24" s="85">
        <v>827</v>
      </c>
      <c r="P24" s="85">
        <v>2032</v>
      </c>
    </row>
    <row r="25" spans="1:18" ht="15" customHeight="1" x14ac:dyDescent="0.2">
      <c r="C25" s="76" t="s">
        <v>31</v>
      </c>
      <c r="D25" s="85">
        <v>326</v>
      </c>
      <c r="E25" s="85">
        <v>321</v>
      </c>
      <c r="F25" s="85">
        <v>643</v>
      </c>
      <c r="G25" s="85">
        <v>322</v>
      </c>
      <c r="H25" s="85">
        <v>320</v>
      </c>
      <c r="I25" s="85">
        <v>211</v>
      </c>
      <c r="J25" s="85">
        <v>711</v>
      </c>
      <c r="K25" s="85">
        <v>356</v>
      </c>
      <c r="L25" s="85">
        <v>400</v>
      </c>
      <c r="M25" s="85">
        <v>356</v>
      </c>
      <c r="N25" s="85">
        <v>356</v>
      </c>
      <c r="O25" s="85">
        <v>38</v>
      </c>
      <c r="P25" s="85">
        <v>4360</v>
      </c>
    </row>
    <row r="26" spans="1:18" ht="15" customHeight="1" x14ac:dyDescent="0.2">
      <c r="C26" s="76" t="s">
        <v>33</v>
      </c>
      <c r="D26" s="85">
        <v>0</v>
      </c>
      <c r="E26" s="85">
        <v>398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598</v>
      </c>
      <c r="P26" s="85">
        <v>996</v>
      </c>
    </row>
    <row r="27" spans="1:18" ht="15" customHeight="1" x14ac:dyDescent="0.2">
      <c r="C27" s="76" t="s">
        <v>35</v>
      </c>
      <c r="D27" s="85">
        <v>0</v>
      </c>
      <c r="E27" s="85">
        <v>0</v>
      </c>
      <c r="F27" s="85">
        <v>0</v>
      </c>
      <c r="G27" s="85">
        <v>77</v>
      </c>
      <c r="H27" s="85">
        <v>165</v>
      </c>
      <c r="I27" s="85">
        <v>1</v>
      </c>
      <c r="J27" s="85">
        <v>0</v>
      </c>
      <c r="K27" s="85">
        <v>523</v>
      </c>
      <c r="L27" s="85">
        <v>221</v>
      </c>
      <c r="M27" s="85">
        <v>193</v>
      </c>
      <c r="N27" s="85">
        <v>206</v>
      </c>
      <c r="O27" s="85">
        <v>437</v>
      </c>
      <c r="P27" s="85">
        <v>1823</v>
      </c>
    </row>
    <row r="28" spans="1:18" ht="15" customHeight="1" x14ac:dyDescent="0.2">
      <c r="C28" s="76" t="s">
        <v>79</v>
      </c>
      <c r="D28" s="85">
        <v>856</v>
      </c>
      <c r="E28" s="85">
        <v>672</v>
      </c>
      <c r="F28" s="85">
        <v>812</v>
      </c>
      <c r="G28" s="85">
        <v>188</v>
      </c>
      <c r="H28" s="85">
        <v>453</v>
      </c>
      <c r="I28" s="85">
        <v>456</v>
      </c>
      <c r="J28" s="85">
        <v>468</v>
      </c>
      <c r="K28" s="85">
        <v>712</v>
      </c>
      <c r="L28" s="85">
        <v>274</v>
      </c>
      <c r="M28" s="85">
        <v>375</v>
      </c>
      <c r="N28" s="85">
        <v>665</v>
      </c>
      <c r="O28" s="85">
        <v>-516</v>
      </c>
      <c r="P28" s="85">
        <v>5415</v>
      </c>
    </row>
    <row r="29" spans="1:18" ht="15" customHeight="1" x14ac:dyDescent="0.2"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</row>
    <row r="30" spans="1:18" s="82" customFormat="1" ht="15" customHeight="1" x14ac:dyDescent="0.25">
      <c r="A30" s="82" t="s">
        <v>137</v>
      </c>
      <c r="D30" s="88">
        <v>-1517</v>
      </c>
      <c r="E30" s="88">
        <v>-1627</v>
      </c>
      <c r="F30" s="88">
        <v>-5019</v>
      </c>
      <c r="G30" s="88">
        <v>2970</v>
      </c>
      <c r="H30" s="88">
        <v>-941</v>
      </c>
      <c r="I30" s="88">
        <v>-2842</v>
      </c>
      <c r="J30" s="88">
        <v>236</v>
      </c>
      <c r="K30" s="88">
        <v>-3716</v>
      </c>
      <c r="L30" s="88">
        <v>-3185</v>
      </c>
      <c r="M30" s="88">
        <v>-119</v>
      </c>
      <c r="N30" s="88">
        <v>-15</v>
      </c>
      <c r="O30" s="88">
        <v>-7431</v>
      </c>
      <c r="P30" s="88">
        <v>-23206</v>
      </c>
    </row>
    <row r="31" spans="1:18" ht="15" customHeight="1" x14ac:dyDescent="0.2"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</row>
    <row r="32" spans="1:18" s="82" customFormat="1" ht="15" customHeight="1" x14ac:dyDescent="0.25">
      <c r="A32" s="82" t="s">
        <v>39</v>
      </c>
      <c r="D32" s="83">
        <v>2351</v>
      </c>
      <c r="E32" s="83">
        <v>8797</v>
      </c>
      <c r="F32" s="83">
        <v>15994</v>
      </c>
      <c r="G32" s="83">
        <v>2725</v>
      </c>
      <c r="H32" s="83">
        <v>-2204</v>
      </c>
      <c r="I32" s="83">
        <v>2169</v>
      </c>
      <c r="J32" s="83">
        <v>806</v>
      </c>
      <c r="K32" s="83">
        <v>2449</v>
      </c>
      <c r="L32" s="83">
        <v>2686</v>
      </c>
      <c r="M32" s="83">
        <v>-669</v>
      </c>
      <c r="N32" s="83">
        <v>-1016</v>
      </c>
      <c r="O32" s="83">
        <v>5242</v>
      </c>
      <c r="P32" s="83">
        <v>39330</v>
      </c>
      <c r="Q32" s="131"/>
      <c r="R32" s="131"/>
    </row>
    <row r="33" spans="1:18" ht="15" customHeight="1" x14ac:dyDescent="0.2">
      <c r="B33" s="76" t="s">
        <v>40</v>
      </c>
      <c r="D33" s="84">
        <v>-246</v>
      </c>
      <c r="E33" s="84">
        <v>-415</v>
      </c>
      <c r="F33" s="84">
        <v>2917</v>
      </c>
      <c r="G33" s="84">
        <v>-542</v>
      </c>
      <c r="H33" s="84">
        <v>-119</v>
      </c>
      <c r="I33" s="84">
        <v>-1195</v>
      </c>
      <c r="J33" s="84">
        <v>-40</v>
      </c>
      <c r="K33" s="84">
        <v>1</v>
      </c>
      <c r="L33" s="84">
        <v>473</v>
      </c>
      <c r="M33" s="84">
        <v>-500</v>
      </c>
      <c r="N33" s="84">
        <v>-1424</v>
      </c>
      <c r="O33" s="84">
        <v>5332</v>
      </c>
      <c r="P33" s="84">
        <v>4242</v>
      </c>
    </row>
    <row r="34" spans="1:18" ht="15" customHeight="1" x14ac:dyDescent="0.2">
      <c r="C34" s="76" t="s">
        <v>41</v>
      </c>
      <c r="D34" s="85">
        <v>78</v>
      </c>
      <c r="E34" s="85">
        <v>29</v>
      </c>
      <c r="F34" s="85">
        <v>5076</v>
      </c>
      <c r="G34" s="85">
        <v>198</v>
      </c>
      <c r="H34" s="85">
        <v>44</v>
      </c>
      <c r="I34" s="85">
        <v>103</v>
      </c>
      <c r="J34" s="85">
        <v>125</v>
      </c>
      <c r="K34" s="85">
        <v>177</v>
      </c>
      <c r="L34" s="85">
        <v>1444</v>
      </c>
      <c r="M34" s="85">
        <v>81</v>
      </c>
      <c r="N34" s="85">
        <v>187</v>
      </c>
      <c r="O34" s="85">
        <v>9748</v>
      </c>
      <c r="P34" s="85">
        <v>17290</v>
      </c>
    </row>
    <row r="35" spans="1:18" ht="15" customHeight="1" x14ac:dyDescent="0.2">
      <c r="C35" s="76" t="s">
        <v>42</v>
      </c>
      <c r="D35" s="85">
        <v>324</v>
      </c>
      <c r="E35" s="85">
        <v>444</v>
      </c>
      <c r="F35" s="85">
        <v>2159</v>
      </c>
      <c r="G35" s="85">
        <v>740</v>
      </c>
      <c r="H35" s="85">
        <v>163</v>
      </c>
      <c r="I35" s="85">
        <v>1298</v>
      </c>
      <c r="J35" s="85">
        <v>165</v>
      </c>
      <c r="K35" s="85">
        <v>176</v>
      </c>
      <c r="L35" s="85">
        <v>971</v>
      </c>
      <c r="M35" s="85">
        <v>581</v>
      </c>
      <c r="N35" s="85">
        <v>1611</v>
      </c>
      <c r="O35" s="85">
        <v>4416</v>
      </c>
      <c r="P35" s="85">
        <v>13048</v>
      </c>
    </row>
    <row r="36" spans="1:18" ht="15" customHeight="1" x14ac:dyDescent="0.2"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</row>
    <row r="37" spans="1:18" ht="15" customHeight="1" x14ac:dyDescent="0.2">
      <c r="B37" s="76" t="s">
        <v>43</v>
      </c>
      <c r="D37" s="84">
        <v>2597</v>
      </c>
      <c r="E37" s="84">
        <v>9212</v>
      </c>
      <c r="F37" s="84">
        <v>13077</v>
      </c>
      <c r="G37" s="84">
        <v>3267</v>
      </c>
      <c r="H37" s="84">
        <v>-2085</v>
      </c>
      <c r="I37" s="84">
        <v>3364</v>
      </c>
      <c r="J37" s="84">
        <v>846</v>
      </c>
      <c r="K37" s="84">
        <v>2448</v>
      </c>
      <c r="L37" s="84">
        <v>2213</v>
      </c>
      <c r="M37" s="84">
        <v>-169</v>
      </c>
      <c r="N37" s="84">
        <v>408</v>
      </c>
      <c r="O37" s="84">
        <v>-90</v>
      </c>
      <c r="P37" s="84">
        <v>35088</v>
      </c>
    </row>
    <row r="38" spans="1:18" ht="15" customHeight="1" x14ac:dyDescent="0.2">
      <c r="C38" s="76" t="s">
        <v>44</v>
      </c>
      <c r="D38" s="85">
        <v>2971</v>
      </c>
      <c r="E38" s="85">
        <v>10235</v>
      </c>
      <c r="F38" s="85">
        <v>14002</v>
      </c>
      <c r="G38" s="85">
        <v>3622</v>
      </c>
      <c r="H38" s="85">
        <v>-243</v>
      </c>
      <c r="I38" s="85">
        <v>4795</v>
      </c>
      <c r="J38" s="85">
        <v>1816</v>
      </c>
      <c r="K38" s="85">
        <v>3050</v>
      </c>
      <c r="L38" s="85">
        <v>3130</v>
      </c>
      <c r="M38" s="85">
        <v>690</v>
      </c>
      <c r="N38" s="85">
        <v>813</v>
      </c>
      <c r="O38" s="85">
        <v>2458</v>
      </c>
      <c r="P38" s="85">
        <v>47339</v>
      </c>
    </row>
    <row r="39" spans="1:18" ht="15" customHeight="1" x14ac:dyDescent="0.2">
      <c r="C39" s="76" t="s">
        <v>42</v>
      </c>
      <c r="D39" s="85">
        <v>374</v>
      </c>
      <c r="E39" s="85">
        <v>1023</v>
      </c>
      <c r="F39" s="85">
        <v>925</v>
      </c>
      <c r="G39" s="85">
        <v>355</v>
      </c>
      <c r="H39" s="85">
        <v>1842</v>
      </c>
      <c r="I39" s="85">
        <v>1431</v>
      </c>
      <c r="J39" s="85">
        <v>970</v>
      </c>
      <c r="K39" s="85">
        <v>602</v>
      </c>
      <c r="L39" s="85">
        <v>917</v>
      </c>
      <c r="M39" s="85">
        <v>859</v>
      </c>
      <c r="N39" s="85">
        <v>405</v>
      </c>
      <c r="O39" s="85">
        <v>2548</v>
      </c>
      <c r="P39" s="85">
        <v>12251</v>
      </c>
    </row>
    <row r="40" spans="1:18" ht="15" customHeight="1" x14ac:dyDescent="0.2"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</row>
    <row r="41" spans="1:18" s="82" customFormat="1" ht="15" customHeight="1" x14ac:dyDescent="0.25">
      <c r="A41" s="82" t="s">
        <v>163</v>
      </c>
      <c r="D41" s="83">
        <v>840</v>
      </c>
      <c r="E41" s="83">
        <v>6984</v>
      </c>
      <c r="F41" s="83">
        <v>10893</v>
      </c>
      <c r="G41" s="83">
        <v>5540</v>
      </c>
      <c r="H41" s="83">
        <v>-2709</v>
      </c>
      <c r="I41" s="83">
        <v>-688</v>
      </c>
      <c r="J41" s="83">
        <v>1128</v>
      </c>
      <c r="K41" s="83">
        <v>-908</v>
      </c>
      <c r="L41" s="83">
        <v>113</v>
      </c>
      <c r="M41" s="83">
        <v>-682</v>
      </c>
      <c r="N41" s="83">
        <v>-847</v>
      </c>
      <c r="O41" s="83">
        <v>-1605</v>
      </c>
      <c r="P41" s="83">
        <v>18059</v>
      </c>
    </row>
    <row r="42" spans="1:18" x14ac:dyDescent="0.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</row>
    <row r="43" spans="1:18" x14ac:dyDescent="0.2"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</row>
    <row r="45" spans="1:18" x14ac:dyDescent="0.2">
      <c r="A45" s="86" t="s">
        <v>139</v>
      </c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AMJ46"/>
  <sheetViews>
    <sheetView zoomScaleNormal="100" workbookViewId="0">
      <selection activeCell="U36" sqref="U36"/>
    </sheetView>
  </sheetViews>
  <sheetFormatPr defaultColWidth="9.140625" defaultRowHeight="14.25" x14ac:dyDescent="0.2"/>
  <cols>
    <col min="1" max="1" width="1.5703125" style="76" customWidth="1"/>
    <col min="2" max="2" width="1.28515625" style="76" customWidth="1"/>
    <col min="3" max="3" width="24.42578125" style="76" customWidth="1"/>
    <col min="4" max="15" width="8.28515625" style="76" customWidth="1"/>
    <col min="16" max="16" width="9" style="76" customWidth="1"/>
    <col min="17" max="1024" width="9.140625" style="76"/>
  </cols>
  <sheetData>
    <row r="1" spans="1:16" ht="15" x14ac:dyDescent="0.25">
      <c r="A1" s="82" t="s">
        <v>153</v>
      </c>
    </row>
    <row r="2" spans="1:16" ht="15" x14ac:dyDescent="0.25">
      <c r="A2" s="82" t="s">
        <v>169</v>
      </c>
      <c r="B2" s="82"/>
    </row>
    <row r="3" spans="1:16" x14ac:dyDescent="0.2">
      <c r="A3" s="76" t="s">
        <v>2</v>
      </c>
    </row>
    <row r="5" spans="1:16" ht="21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7" spans="1:16" s="82" customFormat="1" ht="15" x14ac:dyDescent="0.25">
      <c r="A7" s="82" t="s">
        <v>15</v>
      </c>
      <c r="D7" s="83">
        <v>8097</v>
      </c>
      <c r="E7" s="83">
        <v>5521</v>
      </c>
      <c r="F7" s="83">
        <v>7582</v>
      </c>
      <c r="G7" s="83">
        <v>10930</v>
      </c>
      <c r="H7" s="83">
        <v>6282</v>
      </c>
      <c r="I7" s="83">
        <v>9978</v>
      </c>
      <c r="J7" s="83">
        <v>9747</v>
      </c>
      <c r="K7" s="83">
        <v>7751</v>
      </c>
      <c r="L7" s="83">
        <v>7807</v>
      </c>
      <c r="M7" s="83">
        <v>11475</v>
      </c>
      <c r="N7" s="83">
        <v>6649</v>
      </c>
      <c r="O7" s="83">
        <v>11395</v>
      </c>
      <c r="P7" s="83">
        <v>103214</v>
      </c>
    </row>
    <row r="8" spans="1:16" ht="15.75" customHeight="1" x14ac:dyDescent="0.2">
      <c r="B8" s="76" t="s">
        <v>16</v>
      </c>
      <c r="D8" s="84">
        <v>7310</v>
      </c>
      <c r="E8" s="84">
        <v>4995</v>
      </c>
      <c r="F8" s="84">
        <v>6066</v>
      </c>
      <c r="G8" s="84">
        <v>9737</v>
      </c>
      <c r="H8" s="84">
        <v>5814</v>
      </c>
      <c r="I8" s="84">
        <v>7673</v>
      </c>
      <c r="J8" s="84">
        <v>8902</v>
      </c>
      <c r="K8" s="84">
        <v>7176</v>
      </c>
      <c r="L8" s="84">
        <v>6165</v>
      </c>
      <c r="M8" s="84">
        <v>8345</v>
      </c>
      <c r="N8" s="84">
        <v>5515</v>
      </c>
      <c r="O8" s="84">
        <v>8225</v>
      </c>
      <c r="P8" s="84">
        <v>85923</v>
      </c>
    </row>
    <row r="9" spans="1:16" x14ac:dyDescent="0.2">
      <c r="C9" s="76" t="s">
        <v>17</v>
      </c>
      <c r="D9" s="85">
        <v>5743</v>
      </c>
      <c r="E9" s="85">
        <v>2969</v>
      </c>
      <c r="F9" s="85">
        <v>3771</v>
      </c>
      <c r="G9" s="85">
        <v>7524</v>
      </c>
      <c r="H9" s="85">
        <v>4074</v>
      </c>
      <c r="I9" s="85">
        <v>5184</v>
      </c>
      <c r="J9" s="85">
        <v>6334</v>
      </c>
      <c r="K9" s="85">
        <v>4980</v>
      </c>
      <c r="L9" s="85">
        <v>3498</v>
      </c>
      <c r="M9" s="85">
        <v>5840</v>
      </c>
      <c r="N9" s="85">
        <v>3437</v>
      </c>
      <c r="O9" s="85">
        <v>5246</v>
      </c>
      <c r="P9" s="85">
        <v>58600</v>
      </c>
    </row>
    <row r="10" spans="1:16" x14ac:dyDescent="0.2">
      <c r="C10" s="76" t="s">
        <v>21</v>
      </c>
      <c r="D10" s="85">
        <v>1467</v>
      </c>
      <c r="E10" s="85">
        <v>1925</v>
      </c>
      <c r="F10" s="85">
        <v>2174</v>
      </c>
      <c r="G10" s="85">
        <v>2080</v>
      </c>
      <c r="H10" s="85">
        <v>1638</v>
      </c>
      <c r="I10" s="85">
        <v>2340</v>
      </c>
      <c r="J10" s="85">
        <v>2429</v>
      </c>
      <c r="K10" s="85">
        <v>2062</v>
      </c>
      <c r="L10" s="85">
        <v>2549</v>
      </c>
      <c r="M10" s="85">
        <v>2392</v>
      </c>
      <c r="N10" s="85">
        <v>1998</v>
      </c>
      <c r="O10" s="85">
        <v>2938</v>
      </c>
      <c r="P10" s="85">
        <v>25992</v>
      </c>
    </row>
    <row r="11" spans="1:16" x14ac:dyDescent="0.2">
      <c r="C11" s="76" t="s">
        <v>88</v>
      </c>
      <c r="D11" s="85">
        <v>100</v>
      </c>
      <c r="E11" s="85">
        <v>101</v>
      </c>
      <c r="F11" s="85">
        <v>121</v>
      </c>
      <c r="G11" s="85">
        <v>133</v>
      </c>
      <c r="H11" s="85">
        <v>102</v>
      </c>
      <c r="I11" s="85">
        <v>149</v>
      </c>
      <c r="J11" s="85">
        <v>139</v>
      </c>
      <c r="K11" s="85">
        <v>134</v>
      </c>
      <c r="L11" s="85">
        <v>118</v>
      </c>
      <c r="M11" s="85">
        <v>113</v>
      </c>
      <c r="N11" s="85">
        <v>80</v>
      </c>
      <c r="O11" s="85">
        <v>41</v>
      </c>
      <c r="P11" s="85">
        <v>1331</v>
      </c>
    </row>
    <row r="12" spans="1:16" x14ac:dyDescent="0.2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1:16" x14ac:dyDescent="0.2">
      <c r="B13" s="76" t="s">
        <v>23</v>
      </c>
      <c r="D13" s="84">
        <v>771</v>
      </c>
      <c r="E13" s="84">
        <v>524</v>
      </c>
      <c r="F13" s="84">
        <v>1356</v>
      </c>
      <c r="G13" s="84">
        <v>1105</v>
      </c>
      <c r="H13" s="84">
        <v>464</v>
      </c>
      <c r="I13" s="84">
        <v>2100</v>
      </c>
      <c r="J13" s="84">
        <v>844</v>
      </c>
      <c r="K13" s="84">
        <v>575</v>
      </c>
      <c r="L13" s="84">
        <v>1514</v>
      </c>
      <c r="M13" s="84">
        <v>2877</v>
      </c>
      <c r="N13" s="84">
        <v>780</v>
      </c>
      <c r="O13" s="84">
        <v>2988</v>
      </c>
      <c r="P13" s="84">
        <v>15898</v>
      </c>
    </row>
    <row r="14" spans="1:16" x14ac:dyDescent="0.2">
      <c r="C14" s="76" t="s">
        <v>24</v>
      </c>
      <c r="D14" s="85">
        <v>235</v>
      </c>
      <c r="E14" s="85">
        <v>188</v>
      </c>
      <c r="F14" s="85">
        <v>243</v>
      </c>
      <c r="G14" s="85">
        <v>567</v>
      </c>
      <c r="H14" s="85">
        <v>134</v>
      </c>
      <c r="I14" s="85">
        <v>246</v>
      </c>
      <c r="J14" s="85">
        <v>322</v>
      </c>
      <c r="K14" s="85">
        <v>146</v>
      </c>
      <c r="L14" s="85">
        <v>452</v>
      </c>
      <c r="M14" s="85">
        <v>658</v>
      </c>
      <c r="N14" s="85">
        <v>310</v>
      </c>
      <c r="O14" s="85">
        <v>2251</v>
      </c>
      <c r="P14" s="85">
        <v>5752</v>
      </c>
    </row>
    <row r="15" spans="1:16" x14ac:dyDescent="0.2">
      <c r="C15" s="76" t="s">
        <v>150</v>
      </c>
      <c r="D15" s="85">
        <v>516</v>
      </c>
      <c r="E15" s="85">
        <v>329</v>
      </c>
      <c r="F15" s="85">
        <v>1040</v>
      </c>
      <c r="G15" s="85">
        <v>165</v>
      </c>
      <c r="H15" s="85">
        <v>323</v>
      </c>
      <c r="I15" s="85">
        <v>312</v>
      </c>
      <c r="J15" s="85">
        <v>500</v>
      </c>
      <c r="K15" s="85">
        <v>307</v>
      </c>
      <c r="L15" s="85">
        <v>547</v>
      </c>
      <c r="M15" s="85">
        <v>357</v>
      </c>
      <c r="N15" s="85">
        <v>371</v>
      </c>
      <c r="O15" s="85">
        <v>601</v>
      </c>
      <c r="P15" s="85">
        <v>5368</v>
      </c>
    </row>
    <row r="16" spans="1:16" x14ac:dyDescent="0.2">
      <c r="C16" s="76" t="s">
        <v>160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1535</v>
      </c>
      <c r="J16" s="85">
        <v>0</v>
      </c>
      <c r="K16" s="85">
        <v>27</v>
      </c>
      <c r="L16" s="85">
        <v>0</v>
      </c>
      <c r="M16" s="85">
        <v>1554</v>
      </c>
      <c r="N16" s="85">
        <v>0</v>
      </c>
      <c r="O16" s="85">
        <v>0</v>
      </c>
      <c r="P16" s="85">
        <v>3116</v>
      </c>
    </row>
    <row r="17" spans="1:17" x14ac:dyDescent="0.2">
      <c r="C17" s="76" t="s">
        <v>26</v>
      </c>
      <c r="D17" s="85">
        <v>20</v>
      </c>
      <c r="E17" s="85">
        <v>7</v>
      </c>
      <c r="F17" s="85">
        <v>73</v>
      </c>
      <c r="G17" s="85">
        <v>1</v>
      </c>
      <c r="H17" s="85">
        <v>7</v>
      </c>
      <c r="I17" s="85">
        <v>7</v>
      </c>
      <c r="J17" s="85">
        <v>22</v>
      </c>
      <c r="K17" s="85">
        <v>95</v>
      </c>
      <c r="L17" s="85">
        <v>493</v>
      </c>
      <c r="M17" s="85">
        <v>308</v>
      </c>
      <c r="N17" s="85">
        <v>94</v>
      </c>
      <c r="O17" s="85">
        <v>126</v>
      </c>
      <c r="P17" s="85">
        <v>1253</v>
      </c>
    </row>
    <row r="18" spans="1:17" x14ac:dyDescent="0.2">
      <c r="C18" s="76" t="s">
        <v>106</v>
      </c>
      <c r="D18" s="85">
        <v>0</v>
      </c>
      <c r="E18" s="85">
        <v>0</v>
      </c>
      <c r="F18" s="85">
        <v>0</v>
      </c>
      <c r="G18" s="85">
        <v>372</v>
      </c>
      <c r="H18" s="85">
        <v>0</v>
      </c>
      <c r="I18" s="85">
        <v>0</v>
      </c>
      <c r="J18" s="85">
        <v>0</v>
      </c>
      <c r="K18" s="85">
        <v>0</v>
      </c>
      <c r="L18" s="85">
        <v>22</v>
      </c>
      <c r="M18" s="85">
        <v>0</v>
      </c>
      <c r="N18" s="85">
        <v>5</v>
      </c>
      <c r="O18" s="85">
        <v>10</v>
      </c>
      <c r="P18" s="85">
        <v>409</v>
      </c>
    </row>
    <row r="19" spans="1:17" ht="6.75" customHeight="1" x14ac:dyDescent="0.2"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</row>
    <row r="20" spans="1:17" x14ac:dyDescent="0.2">
      <c r="B20" s="76" t="s">
        <v>29</v>
      </c>
      <c r="D20" s="85">
        <v>16</v>
      </c>
      <c r="E20" s="85">
        <v>2</v>
      </c>
      <c r="F20" s="85">
        <v>160</v>
      </c>
      <c r="G20" s="85">
        <v>88</v>
      </c>
      <c r="H20" s="85">
        <v>4</v>
      </c>
      <c r="I20" s="85">
        <v>205</v>
      </c>
      <c r="J20" s="85">
        <v>1</v>
      </c>
      <c r="K20" s="85">
        <v>0</v>
      </c>
      <c r="L20" s="85">
        <v>128</v>
      </c>
      <c r="M20" s="85">
        <v>253</v>
      </c>
      <c r="N20" s="85">
        <v>354</v>
      </c>
      <c r="O20" s="85">
        <v>182</v>
      </c>
      <c r="P20" s="85">
        <v>1393</v>
      </c>
    </row>
    <row r="21" spans="1:17" x14ac:dyDescent="0.2"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1:17" s="82" customFormat="1" ht="15" x14ac:dyDescent="0.25">
      <c r="A22" s="82" t="s">
        <v>30</v>
      </c>
      <c r="D22" s="83">
        <v>9679</v>
      </c>
      <c r="E22" s="83">
        <v>6662</v>
      </c>
      <c r="F22" s="83">
        <v>12212</v>
      </c>
      <c r="G22" s="83">
        <v>10926</v>
      </c>
      <c r="H22" s="83">
        <v>10515</v>
      </c>
      <c r="I22" s="83">
        <v>9131</v>
      </c>
      <c r="J22" s="83">
        <v>11544</v>
      </c>
      <c r="K22" s="83">
        <v>8731</v>
      </c>
      <c r="L22" s="83">
        <v>9221</v>
      </c>
      <c r="M22" s="83">
        <v>9778</v>
      </c>
      <c r="N22" s="83">
        <v>10128</v>
      </c>
      <c r="O22" s="83">
        <v>11380</v>
      </c>
      <c r="P22" s="83">
        <v>119907</v>
      </c>
      <c r="Q22" s="88"/>
    </row>
    <row r="23" spans="1:17" ht="15.75" customHeight="1" x14ac:dyDescent="0.25">
      <c r="B23" s="76" t="s">
        <v>18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8"/>
    </row>
    <row r="24" spans="1:17" ht="15" x14ac:dyDescent="0.25">
      <c r="C24" s="76" t="s">
        <v>32</v>
      </c>
      <c r="D24" s="85">
        <v>1731</v>
      </c>
      <c r="E24" s="85">
        <v>2970</v>
      </c>
      <c r="F24" s="85">
        <v>4725</v>
      </c>
      <c r="G24" s="85">
        <v>3339</v>
      </c>
      <c r="H24" s="85">
        <v>2818</v>
      </c>
      <c r="I24" s="85">
        <v>3472</v>
      </c>
      <c r="J24" s="85">
        <v>3037</v>
      </c>
      <c r="K24" s="85">
        <v>2842</v>
      </c>
      <c r="L24" s="85">
        <v>3090</v>
      </c>
      <c r="M24" s="85">
        <v>2635</v>
      </c>
      <c r="N24" s="85">
        <v>2954</v>
      </c>
      <c r="O24" s="85">
        <v>3292</v>
      </c>
      <c r="P24" s="85">
        <v>36905</v>
      </c>
      <c r="Q24" s="88"/>
    </row>
    <row r="25" spans="1:17" ht="15" x14ac:dyDescent="0.25">
      <c r="C25" s="76" t="s">
        <v>78</v>
      </c>
      <c r="D25" s="85">
        <v>0</v>
      </c>
      <c r="E25" s="85">
        <v>0</v>
      </c>
      <c r="F25" s="85">
        <v>47</v>
      </c>
      <c r="G25" s="85">
        <v>487</v>
      </c>
      <c r="H25" s="85">
        <v>14</v>
      </c>
      <c r="I25" s="85">
        <v>0</v>
      </c>
      <c r="J25" s="85">
        <v>0</v>
      </c>
      <c r="K25" s="85">
        <v>151</v>
      </c>
      <c r="L25" s="85">
        <v>13</v>
      </c>
      <c r="M25" s="85">
        <v>418</v>
      </c>
      <c r="N25" s="85">
        <v>189</v>
      </c>
      <c r="O25" s="85">
        <v>517</v>
      </c>
      <c r="P25" s="85">
        <v>1836</v>
      </c>
      <c r="Q25" s="88"/>
    </row>
    <row r="26" spans="1:17" ht="15" x14ac:dyDescent="0.25">
      <c r="C26" s="76" t="s">
        <v>31</v>
      </c>
      <c r="D26" s="85">
        <v>155</v>
      </c>
      <c r="E26" s="85">
        <v>172</v>
      </c>
      <c r="F26" s="85">
        <v>444</v>
      </c>
      <c r="G26" s="85">
        <v>185</v>
      </c>
      <c r="H26" s="85">
        <v>260</v>
      </c>
      <c r="I26" s="85">
        <v>290</v>
      </c>
      <c r="J26" s="85">
        <v>859</v>
      </c>
      <c r="K26" s="85">
        <v>8</v>
      </c>
      <c r="L26" s="85">
        <v>587</v>
      </c>
      <c r="M26" s="85">
        <v>300</v>
      </c>
      <c r="N26" s="85">
        <v>297</v>
      </c>
      <c r="O26" s="85">
        <v>747</v>
      </c>
      <c r="P26" s="85">
        <v>4304</v>
      </c>
      <c r="Q26" s="88"/>
    </row>
    <row r="27" spans="1:17" ht="15" x14ac:dyDescent="0.25">
      <c r="C27" s="76" t="s">
        <v>33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507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542</v>
      </c>
      <c r="P27" s="85">
        <v>1049</v>
      </c>
      <c r="Q27" s="88"/>
    </row>
    <row r="28" spans="1:17" ht="15" x14ac:dyDescent="0.25">
      <c r="C28" s="76" t="s">
        <v>35</v>
      </c>
      <c r="D28" s="85">
        <v>0</v>
      </c>
      <c r="E28" s="85">
        <v>3</v>
      </c>
      <c r="F28" s="85">
        <v>708</v>
      </c>
      <c r="G28" s="85">
        <v>0</v>
      </c>
      <c r="H28" s="85">
        <v>45</v>
      </c>
      <c r="I28" s="85">
        <v>289</v>
      </c>
      <c r="J28" s="85">
        <v>33</v>
      </c>
      <c r="K28" s="85">
        <v>199</v>
      </c>
      <c r="L28" s="85">
        <v>0</v>
      </c>
      <c r="M28" s="85">
        <v>4</v>
      </c>
      <c r="N28" s="85">
        <v>740</v>
      </c>
      <c r="O28" s="85">
        <v>2393</v>
      </c>
      <c r="P28" s="85">
        <v>4414</v>
      </c>
      <c r="Q28" s="88"/>
    </row>
    <row r="29" spans="1:17" ht="15" x14ac:dyDescent="0.25">
      <c r="C29" s="76" t="s">
        <v>79</v>
      </c>
      <c r="D29" s="85">
        <v>846</v>
      </c>
      <c r="E29" s="85">
        <v>-194</v>
      </c>
      <c r="F29" s="85">
        <v>754</v>
      </c>
      <c r="G29" s="85">
        <v>915</v>
      </c>
      <c r="H29" s="85">
        <v>606</v>
      </c>
      <c r="I29" s="85">
        <v>526</v>
      </c>
      <c r="J29" s="85">
        <v>1274</v>
      </c>
      <c r="K29" s="85">
        <v>574</v>
      </c>
      <c r="L29" s="85">
        <v>693</v>
      </c>
      <c r="M29" s="85">
        <v>1124</v>
      </c>
      <c r="N29" s="85">
        <v>717</v>
      </c>
      <c r="O29" s="85">
        <v>-758</v>
      </c>
      <c r="P29" s="85">
        <v>7077</v>
      </c>
      <c r="Q29" s="88"/>
    </row>
    <row r="30" spans="1:17" x14ac:dyDescent="0.2"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</row>
    <row r="31" spans="1:17" s="82" customFormat="1" ht="15" x14ac:dyDescent="0.25">
      <c r="A31" s="82" t="s">
        <v>137</v>
      </c>
      <c r="D31" s="88">
        <v>-1582</v>
      </c>
      <c r="E31" s="88">
        <v>-1141</v>
      </c>
      <c r="F31" s="88">
        <v>-4630</v>
      </c>
      <c r="G31" s="88">
        <v>4</v>
      </c>
      <c r="H31" s="88">
        <v>-4233</v>
      </c>
      <c r="I31" s="88">
        <v>847</v>
      </c>
      <c r="J31" s="88">
        <v>-1797</v>
      </c>
      <c r="K31" s="88">
        <v>-980</v>
      </c>
      <c r="L31" s="88">
        <v>-1414</v>
      </c>
      <c r="M31" s="88">
        <v>1697</v>
      </c>
      <c r="N31" s="88">
        <v>-3479</v>
      </c>
      <c r="O31" s="88">
        <v>15</v>
      </c>
      <c r="P31" s="88">
        <v>-16693</v>
      </c>
      <c r="Q31" s="88"/>
    </row>
    <row r="32" spans="1:17" x14ac:dyDescent="0.2"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</row>
    <row r="33" spans="1:19" s="82" customFormat="1" ht="15" x14ac:dyDescent="0.25">
      <c r="A33" s="82" t="s">
        <v>39</v>
      </c>
      <c r="D33" s="83">
        <v>3216</v>
      </c>
      <c r="E33" s="83">
        <v>3978</v>
      </c>
      <c r="F33" s="83">
        <v>11522</v>
      </c>
      <c r="G33" s="83">
        <v>11874</v>
      </c>
      <c r="H33" s="83">
        <v>2962</v>
      </c>
      <c r="I33" s="83">
        <v>2295</v>
      </c>
      <c r="J33" s="83">
        <v>12673</v>
      </c>
      <c r="K33" s="83">
        <v>6124</v>
      </c>
      <c r="L33" s="83">
        <v>-7988</v>
      </c>
      <c r="M33" s="83">
        <v>298</v>
      </c>
      <c r="N33" s="83">
        <v>-3463</v>
      </c>
      <c r="O33" s="83">
        <v>-2373</v>
      </c>
      <c r="P33" s="83">
        <v>41118</v>
      </c>
      <c r="Q33" s="88"/>
      <c r="R33" s="131"/>
      <c r="S33" s="131"/>
    </row>
    <row r="34" spans="1:19" ht="15" x14ac:dyDescent="0.25">
      <c r="B34" s="76" t="s">
        <v>40</v>
      </c>
      <c r="D34" s="84">
        <v>282</v>
      </c>
      <c r="E34" s="84">
        <v>1267</v>
      </c>
      <c r="F34" s="84">
        <v>-1189</v>
      </c>
      <c r="G34" s="84">
        <v>416</v>
      </c>
      <c r="H34" s="84">
        <v>277</v>
      </c>
      <c r="I34" s="84">
        <v>-1542</v>
      </c>
      <c r="J34" s="84">
        <v>342</v>
      </c>
      <c r="K34" s="84">
        <v>831</v>
      </c>
      <c r="L34" s="84">
        <v>-82</v>
      </c>
      <c r="M34" s="84">
        <v>-188</v>
      </c>
      <c r="N34" s="84">
        <v>-42</v>
      </c>
      <c r="O34" s="84">
        <v>6409</v>
      </c>
      <c r="P34" s="84">
        <v>6781</v>
      </c>
      <c r="Q34" s="88"/>
    </row>
    <row r="35" spans="1:19" ht="15" x14ac:dyDescent="0.25">
      <c r="C35" s="76" t="s">
        <v>41</v>
      </c>
      <c r="D35" s="85">
        <v>563</v>
      </c>
      <c r="E35" s="85">
        <v>1506</v>
      </c>
      <c r="F35" s="85">
        <v>249</v>
      </c>
      <c r="G35" s="85">
        <v>901</v>
      </c>
      <c r="H35" s="85">
        <v>281</v>
      </c>
      <c r="I35" s="85">
        <v>172</v>
      </c>
      <c r="J35" s="85">
        <v>594</v>
      </c>
      <c r="K35" s="85">
        <v>1080</v>
      </c>
      <c r="L35" s="85">
        <v>1087</v>
      </c>
      <c r="M35" s="85">
        <v>198</v>
      </c>
      <c r="N35" s="85">
        <v>212</v>
      </c>
      <c r="O35" s="85">
        <v>8577</v>
      </c>
      <c r="P35" s="85">
        <v>15420</v>
      </c>
      <c r="Q35" s="88"/>
    </row>
    <row r="36" spans="1:19" ht="15" x14ac:dyDescent="0.25">
      <c r="C36" s="76" t="s">
        <v>42</v>
      </c>
      <c r="D36" s="85">
        <v>281</v>
      </c>
      <c r="E36" s="85">
        <v>239</v>
      </c>
      <c r="F36" s="85">
        <v>1438</v>
      </c>
      <c r="G36" s="85">
        <v>485</v>
      </c>
      <c r="H36" s="85">
        <v>4</v>
      </c>
      <c r="I36" s="85">
        <v>1714</v>
      </c>
      <c r="J36" s="85">
        <v>252</v>
      </c>
      <c r="K36" s="85">
        <v>249</v>
      </c>
      <c r="L36" s="85">
        <v>1169</v>
      </c>
      <c r="M36" s="85">
        <v>386</v>
      </c>
      <c r="N36" s="85">
        <v>254</v>
      </c>
      <c r="O36" s="85">
        <v>2168</v>
      </c>
      <c r="P36" s="85">
        <v>8639</v>
      </c>
      <c r="Q36" s="88"/>
    </row>
    <row r="37" spans="1:19" x14ac:dyDescent="0.2"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</row>
    <row r="38" spans="1:19" ht="15" x14ac:dyDescent="0.25">
      <c r="B38" s="76" t="s">
        <v>43</v>
      </c>
      <c r="D38" s="84">
        <v>2934</v>
      </c>
      <c r="E38" s="84">
        <v>2711</v>
      </c>
      <c r="F38" s="84">
        <v>12711</v>
      </c>
      <c r="G38" s="84">
        <v>11458</v>
      </c>
      <c r="H38" s="84">
        <v>2685</v>
      </c>
      <c r="I38" s="84">
        <v>3837</v>
      </c>
      <c r="J38" s="84">
        <v>12331</v>
      </c>
      <c r="K38" s="84">
        <v>5293</v>
      </c>
      <c r="L38" s="84">
        <v>-7906</v>
      </c>
      <c r="M38" s="84">
        <v>486</v>
      </c>
      <c r="N38" s="84">
        <v>-3421</v>
      </c>
      <c r="O38" s="84">
        <v>-8782</v>
      </c>
      <c r="P38" s="84">
        <v>34337</v>
      </c>
      <c r="Q38" s="88"/>
    </row>
    <row r="39" spans="1:19" ht="15" x14ac:dyDescent="0.25">
      <c r="C39" s="76" t="s">
        <v>44</v>
      </c>
      <c r="D39" s="85">
        <v>3573</v>
      </c>
      <c r="E39" s="85">
        <v>11917</v>
      </c>
      <c r="F39" s="85">
        <v>13426</v>
      </c>
      <c r="G39" s="85">
        <v>13570</v>
      </c>
      <c r="H39" s="85">
        <v>3551</v>
      </c>
      <c r="I39" s="85">
        <v>5250</v>
      </c>
      <c r="J39" s="85">
        <v>13355</v>
      </c>
      <c r="K39" s="85">
        <v>6817</v>
      </c>
      <c r="L39" s="85">
        <v>-5717</v>
      </c>
      <c r="M39" s="85">
        <v>2047</v>
      </c>
      <c r="N39" s="85">
        <v>-2737</v>
      </c>
      <c r="O39" s="85">
        <v>-6434</v>
      </c>
      <c r="P39" s="85">
        <v>58618</v>
      </c>
      <c r="Q39" s="88"/>
    </row>
    <row r="40" spans="1:19" ht="15" x14ac:dyDescent="0.25">
      <c r="C40" s="76" t="s">
        <v>42</v>
      </c>
      <c r="D40" s="85">
        <v>639</v>
      </c>
      <c r="E40" s="85">
        <v>9206</v>
      </c>
      <c r="F40" s="85">
        <v>715</v>
      </c>
      <c r="G40" s="85">
        <v>2112</v>
      </c>
      <c r="H40" s="85">
        <v>866</v>
      </c>
      <c r="I40" s="85">
        <v>1413</v>
      </c>
      <c r="J40" s="85">
        <v>1024</v>
      </c>
      <c r="K40" s="85">
        <v>1524</v>
      </c>
      <c r="L40" s="85">
        <v>2189</v>
      </c>
      <c r="M40" s="85">
        <v>1561</v>
      </c>
      <c r="N40" s="85">
        <v>684</v>
      </c>
      <c r="O40" s="85">
        <v>2348</v>
      </c>
      <c r="P40" s="85">
        <v>24281</v>
      </c>
      <c r="Q40" s="88"/>
    </row>
    <row r="41" spans="1:19" x14ac:dyDescent="0.2"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</row>
    <row r="42" spans="1:19" x14ac:dyDescent="0.2">
      <c r="A42" s="76" t="s">
        <v>163</v>
      </c>
      <c r="D42" s="84">
        <v>1400</v>
      </c>
      <c r="E42" s="84">
        <v>1664</v>
      </c>
      <c r="F42" s="84">
        <v>6785</v>
      </c>
      <c r="G42" s="84">
        <v>11295</v>
      </c>
      <c r="H42" s="84">
        <v>-179</v>
      </c>
      <c r="I42" s="84">
        <v>3109</v>
      </c>
      <c r="J42" s="84">
        <v>11756</v>
      </c>
      <c r="K42" s="84">
        <v>5050</v>
      </c>
      <c r="L42" s="84">
        <v>-9029</v>
      </c>
      <c r="M42" s="84">
        <v>2939</v>
      </c>
      <c r="N42" s="84">
        <v>-9692</v>
      </c>
      <c r="O42" s="84">
        <v>-1941</v>
      </c>
      <c r="P42" s="84">
        <v>23157</v>
      </c>
      <c r="Q42" s="85"/>
    </row>
    <row r="43" spans="1:19" x14ac:dyDescent="0.2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</row>
    <row r="46" spans="1:19" x14ac:dyDescent="0.2">
      <c r="A46" s="86" t="s">
        <v>139</v>
      </c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AMJ44"/>
  <sheetViews>
    <sheetView zoomScaleNormal="100" workbookViewId="0">
      <selection activeCell="M9" sqref="M9"/>
    </sheetView>
  </sheetViews>
  <sheetFormatPr defaultColWidth="9.140625" defaultRowHeight="14.25" x14ac:dyDescent="0.2"/>
  <cols>
    <col min="1" max="1" width="1.5703125" style="76" customWidth="1"/>
    <col min="2" max="2" width="1.28515625" style="76" customWidth="1"/>
    <col min="3" max="3" width="24.85546875" style="76" customWidth="1"/>
    <col min="4" max="16" width="9.85546875" style="76" customWidth="1"/>
    <col min="17" max="1024" width="9.140625" style="76"/>
  </cols>
  <sheetData>
    <row r="1" spans="1:16" ht="15" x14ac:dyDescent="0.25">
      <c r="A1" s="82" t="s">
        <v>153</v>
      </c>
    </row>
    <row r="2" spans="1:16" ht="15" x14ac:dyDescent="0.25">
      <c r="A2" s="82" t="s">
        <v>170</v>
      </c>
      <c r="B2" s="82"/>
    </row>
    <row r="3" spans="1:16" x14ac:dyDescent="0.2">
      <c r="A3" s="76" t="s">
        <v>2</v>
      </c>
    </row>
    <row r="5" spans="1:16" ht="21.75" customHeight="1" x14ac:dyDescent="0.2">
      <c r="A5" s="188" t="s">
        <v>3</v>
      </c>
      <c r="B5" s="188"/>
      <c r="C5" s="188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56</v>
      </c>
      <c r="O5" s="2" t="s">
        <v>57</v>
      </c>
      <c r="P5" s="81" t="s">
        <v>134</v>
      </c>
    </row>
    <row r="6" spans="1:16" ht="15" customHeight="1" x14ac:dyDescent="0.2"/>
    <row r="7" spans="1:16" s="82" customFormat="1" ht="15" customHeight="1" x14ac:dyDescent="0.25">
      <c r="A7" s="82" t="s">
        <v>15</v>
      </c>
      <c r="D7" s="83">
        <v>6540</v>
      </c>
      <c r="E7" s="83">
        <v>3565</v>
      </c>
      <c r="F7" s="83">
        <v>5575</v>
      </c>
      <c r="G7" s="83">
        <v>8725</v>
      </c>
      <c r="H7" s="83">
        <v>5265</v>
      </c>
      <c r="I7" s="83">
        <v>8915</v>
      </c>
      <c r="J7" s="83">
        <v>7375</v>
      </c>
      <c r="K7" s="83">
        <v>5268</v>
      </c>
      <c r="L7" s="83">
        <v>7376</v>
      </c>
      <c r="M7" s="83">
        <v>7687</v>
      </c>
      <c r="N7" s="83">
        <v>5610</v>
      </c>
      <c r="O7" s="83">
        <v>7344</v>
      </c>
      <c r="P7" s="83">
        <v>79245</v>
      </c>
    </row>
    <row r="8" spans="1:16" ht="15" customHeight="1" x14ac:dyDescent="0.2">
      <c r="B8" s="76" t="s">
        <v>16</v>
      </c>
      <c r="D8" s="84">
        <v>5993</v>
      </c>
      <c r="E8" s="84">
        <v>3156</v>
      </c>
      <c r="F8" s="84">
        <v>5293</v>
      </c>
      <c r="G8" s="84">
        <v>8163</v>
      </c>
      <c r="H8" s="84">
        <v>4828</v>
      </c>
      <c r="I8" s="84">
        <v>4343</v>
      </c>
      <c r="J8" s="84">
        <v>6614</v>
      </c>
      <c r="K8" s="84">
        <v>4677</v>
      </c>
      <c r="L8" s="84">
        <v>4178</v>
      </c>
      <c r="M8" s="84">
        <v>7012</v>
      </c>
      <c r="N8" s="84">
        <v>5230</v>
      </c>
      <c r="O8" s="84">
        <v>6004</v>
      </c>
      <c r="P8" s="84">
        <v>65491</v>
      </c>
    </row>
    <row r="9" spans="1:16" ht="15" customHeight="1" x14ac:dyDescent="0.2">
      <c r="C9" s="76" t="s">
        <v>17</v>
      </c>
      <c r="D9" s="85">
        <v>4146</v>
      </c>
      <c r="E9" s="85">
        <v>2231</v>
      </c>
      <c r="F9" s="85">
        <v>3351</v>
      </c>
      <c r="G9" s="85">
        <v>6483</v>
      </c>
      <c r="H9" s="85">
        <v>3384</v>
      </c>
      <c r="I9" s="85">
        <v>2834</v>
      </c>
      <c r="J9" s="85">
        <v>5050</v>
      </c>
      <c r="K9" s="85">
        <v>3207</v>
      </c>
      <c r="L9" s="85">
        <v>2697</v>
      </c>
      <c r="M9" s="85">
        <v>5322</v>
      </c>
      <c r="N9" s="85">
        <v>3918</v>
      </c>
      <c r="O9" s="85">
        <v>4181</v>
      </c>
      <c r="P9" s="85">
        <v>46804</v>
      </c>
    </row>
    <row r="10" spans="1:16" ht="15" customHeight="1" x14ac:dyDescent="0.2">
      <c r="C10" s="76" t="s">
        <v>21</v>
      </c>
      <c r="D10" s="85">
        <v>1791</v>
      </c>
      <c r="E10" s="85">
        <v>849</v>
      </c>
      <c r="F10" s="85">
        <v>1805</v>
      </c>
      <c r="G10" s="85">
        <v>1578</v>
      </c>
      <c r="H10" s="85">
        <v>1333</v>
      </c>
      <c r="I10" s="85">
        <v>1402</v>
      </c>
      <c r="J10" s="85">
        <v>1428</v>
      </c>
      <c r="K10" s="85">
        <v>1360</v>
      </c>
      <c r="L10" s="85">
        <v>1379</v>
      </c>
      <c r="M10" s="85">
        <v>1553</v>
      </c>
      <c r="N10" s="85">
        <v>1241</v>
      </c>
      <c r="O10" s="85">
        <v>1777</v>
      </c>
      <c r="P10" s="85">
        <v>17496</v>
      </c>
    </row>
    <row r="11" spans="1:16" ht="15" customHeight="1" x14ac:dyDescent="0.2">
      <c r="C11" s="76" t="s">
        <v>88</v>
      </c>
      <c r="D11" s="85">
        <v>56</v>
      </c>
      <c r="E11" s="85">
        <v>76</v>
      </c>
      <c r="F11" s="85">
        <v>137</v>
      </c>
      <c r="G11" s="85">
        <v>102</v>
      </c>
      <c r="H11" s="85">
        <v>111</v>
      </c>
      <c r="I11" s="85">
        <v>107</v>
      </c>
      <c r="J11" s="85">
        <v>136</v>
      </c>
      <c r="K11" s="85">
        <v>110</v>
      </c>
      <c r="L11" s="85">
        <v>102</v>
      </c>
      <c r="M11" s="85">
        <v>137</v>
      </c>
      <c r="N11" s="85">
        <v>71</v>
      </c>
      <c r="O11" s="85">
        <v>46</v>
      </c>
      <c r="P11" s="85">
        <v>1191</v>
      </c>
    </row>
    <row r="12" spans="1:16" ht="15" customHeight="1" x14ac:dyDescent="0.2"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1:16" ht="15" customHeight="1" x14ac:dyDescent="0.2">
      <c r="B13" s="76" t="s">
        <v>23</v>
      </c>
      <c r="D13" s="84">
        <v>542</v>
      </c>
      <c r="E13" s="84">
        <v>394</v>
      </c>
      <c r="F13" s="84">
        <v>282</v>
      </c>
      <c r="G13" s="84">
        <v>552</v>
      </c>
      <c r="H13" s="84">
        <v>428</v>
      </c>
      <c r="I13" s="84">
        <v>4565</v>
      </c>
      <c r="J13" s="84">
        <v>752</v>
      </c>
      <c r="K13" s="84">
        <v>591</v>
      </c>
      <c r="L13" s="84">
        <v>3194</v>
      </c>
      <c r="M13" s="84">
        <v>668</v>
      </c>
      <c r="N13" s="84">
        <v>380</v>
      </c>
      <c r="O13" s="84">
        <v>1207</v>
      </c>
      <c r="P13" s="84">
        <v>13555</v>
      </c>
    </row>
    <row r="14" spans="1:16" ht="15" customHeight="1" x14ac:dyDescent="0.2">
      <c r="C14" s="76" t="s">
        <v>24</v>
      </c>
      <c r="D14" s="85">
        <v>111</v>
      </c>
      <c r="E14" s="85">
        <v>145</v>
      </c>
      <c r="F14" s="85">
        <v>149</v>
      </c>
      <c r="G14" s="85">
        <v>84</v>
      </c>
      <c r="H14" s="85">
        <v>33</v>
      </c>
      <c r="I14" s="85">
        <v>192</v>
      </c>
      <c r="J14" s="85">
        <v>354</v>
      </c>
      <c r="K14" s="85">
        <v>32</v>
      </c>
      <c r="L14" s="85">
        <v>186</v>
      </c>
      <c r="M14" s="85">
        <v>132</v>
      </c>
      <c r="N14" s="85">
        <v>53</v>
      </c>
      <c r="O14" s="85">
        <v>491</v>
      </c>
      <c r="P14" s="85">
        <v>1962</v>
      </c>
    </row>
    <row r="15" spans="1:16" ht="15" customHeight="1" x14ac:dyDescent="0.2">
      <c r="C15" s="76" t="s">
        <v>150</v>
      </c>
      <c r="D15" s="85">
        <v>431</v>
      </c>
      <c r="E15" s="85">
        <v>249</v>
      </c>
      <c r="F15" s="85">
        <v>133</v>
      </c>
      <c r="G15" s="85">
        <v>468</v>
      </c>
      <c r="H15" s="85">
        <v>395</v>
      </c>
      <c r="I15" s="85">
        <v>269</v>
      </c>
      <c r="J15" s="85">
        <v>398</v>
      </c>
      <c r="K15" s="85">
        <v>559</v>
      </c>
      <c r="L15" s="85">
        <v>962</v>
      </c>
      <c r="M15" s="85">
        <v>536</v>
      </c>
      <c r="N15" s="85">
        <v>327</v>
      </c>
      <c r="O15" s="85">
        <v>454</v>
      </c>
      <c r="P15" s="85">
        <v>5181</v>
      </c>
    </row>
    <row r="16" spans="1:16" ht="15" customHeight="1" x14ac:dyDescent="0.2">
      <c r="C16" s="76" t="s">
        <v>160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4104</v>
      </c>
      <c r="J16" s="85">
        <v>0</v>
      </c>
      <c r="K16" s="85">
        <v>0</v>
      </c>
      <c r="L16" s="85">
        <v>2046</v>
      </c>
      <c r="M16" s="85">
        <v>0</v>
      </c>
      <c r="N16" s="85">
        <v>0</v>
      </c>
      <c r="O16" s="85">
        <v>0</v>
      </c>
      <c r="P16" s="85">
        <v>6150</v>
      </c>
    </row>
    <row r="17" spans="1:18" ht="15" customHeight="1" x14ac:dyDescent="0.2">
      <c r="C17" s="76" t="s">
        <v>106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262</v>
      </c>
      <c r="P17" s="85">
        <v>262</v>
      </c>
    </row>
    <row r="18" spans="1:18" ht="15" customHeight="1" x14ac:dyDescent="0.2"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1:18" ht="15" customHeight="1" x14ac:dyDescent="0.2">
      <c r="B19" s="76" t="s">
        <v>29</v>
      </c>
      <c r="D19" s="85">
        <v>5</v>
      </c>
      <c r="E19" s="85">
        <v>15</v>
      </c>
      <c r="F19" s="85">
        <v>0</v>
      </c>
      <c r="G19" s="85">
        <v>10</v>
      </c>
      <c r="H19" s="85">
        <v>9</v>
      </c>
      <c r="I19" s="85">
        <v>7</v>
      </c>
      <c r="J19" s="85">
        <v>9</v>
      </c>
      <c r="K19" s="85">
        <v>0</v>
      </c>
      <c r="L19" s="85">
        <v>4</v>
      </c>
      <c r="M19" s="85">
        <v>7</v>
      </c>
      <c r="N19" s="85">
        <v>0</v>
      </c>
      <c r="O19" s="85">
        <v>133</v>
      </c>
      <c r="P19" s="85">
        <v>199</v>
      </c>
    </row>
    <row r="20" spans="1:18" ht="15" customHeight="1" x14ac:dyDescent="0.2"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1:18" s="82" customFormat="1" ht="15" customHeight="1" x14ac:dyDescent="0.25">
      <c r="A21" s="82" t="s">
        <v>30</v>
      </c>
      <c r="D21" s="83">
        <v>9667</v>
      </c>
      <c r="E21" s="83">
        <v>6781</v>
      </c>
      <c r="F21" s="83">
        <v>9337</v>
      </c>
      <c r="G21" s="83">
        <v>7548</v>
      </c>
      <c r="H21" s="83">
        <v>6366</v>
      </c>
      <c r="I21" s="83">
        <v>9227</v>
      </c>
      <c r="J21" s="83">
        <v>7744</v>
      </c>
      <c r="K21" s="83">
        <v>6665</v>
      </c>
      <c r="L21" s="83">
        <v>8084</v>
      </c>
      <c r="M21" s="83">
        <v>10520</v>
      </c>
      <c r="N21" s="83">
        <v>11116</v>
      </c>
      <c r="O21" s="83">
        <v>17442</v>
      </c>
      <c r="P21" s="83">
        <v>110497</v>
      </c>
    </row>
    <row r="22" spans="1:18" ht="15" customHeight="1" x14ac:dyDescent="0.2">
      <c r="B22" s="76" t="s">
        <v>18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</row>
    <row r="23" spans="1:18" ht="15" customHeight="1" x14ac:dyDescent="0.2">
      <c r="C23" s="76" t="s">
        <v>32</v>
      </c>
      <c r="D23" s="85">
        <v>915</v>
      </c>
      <c r="E23" s="85">
        <v>1376</v>
      </c>
      <c r="F23" s="85">
        <v>3753</v>
      </c>
      <c r="G23" s="85">
        <v>1781</v>
      </c>
      <c r="H23" s="85">
        <v>1307</v>
      </c>
      <c r="I23" s="85">
        <v>1292</v>
      </c>
      <c r="J23" s="85">
        <v>1034</v>
      </c>
      <c r="K23" s="85">
        <v>1231</v>
      </c>
      <c r="L23" s="85">
        <v>1392</v>
      </c>
      <c r="M23" s="85">
        <v>1663</v>
      </c>
      <c r="N23" s="85">
        <v>1889</v>
      </c>
      <c r="O23" s="85">
        <v>3979</v>
      </c>
      <c r="P23" s="85">
        <v>21612</v>
      </c>
    </row>
    <row r="24" spans="1:18" ht="15" customHeight="1" x14ac:dyDescent="0.2">
      <c r="C24" s="76" t="s">
        <v>78</v>
      </c>
      <c r="D24" s="85">
        <v>140</v>
      </c>
      <c r="E24" s="85">
        <v>12</v>
      </c>
      <c r="F24" s="85">
        <v>19</v>
      </c>
      <c r="G24" s="85">
        <v>0</v>
      </c>
      <c r="H24" s="85">
        <v>9</v>
      </c>
      <c r="I24" s="85">
        <v>0</v>
      </c>
      <c r="J24" s="85">
        <v>21</v>
      </c>
      <c r="K24" s="85">
        <v>10</v>
      </c>
      <c r="L24" s="85">
        <v>60</v>
      </c>
      <c r="M24" s="85">
        <v>23</v>
      </c>
      <c r="N24" s="85">
        <v>464</v>
      </c>
      <c r="O24" s="85">
        <v>962</v>
      </c>
      <c r="P24" s="85">
        <v>1720</v>
      </c>
    </row>
    <row r="25" spans="1:18" ht="15" customHeight="1" x14ac:dyDescent="0.2">
      <c r="C25" s="76" t="s">
        <v>31</v>
      </c>
      <c r="D25" s="85">
        <v>260</v>
      </c>
      <c r="E25" s="85">
        <v>171</v>
      </c>
      <c r="F25" s="85">
        <v>284</v>
      </c>
      <c r="G25" s="85">
        <v>298</v>
      </c>
      <c r="H25" s="85">
        <v>262</v>
      </c>
      <c r="I25" s="85">
        <v>267</v>
      </c>
      <c r="J25" s="85">
        <v>226</v>
      </c>
      <c r="K25" s="85">
        <v>375</v>
      </c>
      <c r="L25" s="85">
        <v>312</v>
      </c>
      <c r="M25" s="85">
        <v>316</v>
      </c>
      <c r="N25" s="85">
        <v>223</v>
      </c>
      <c r="O25" s="85">
        <v>580</v>
      </c>
      <c r="P25" s="85">
        <v>3574</v>
      </c>
    </row>
    <row r="26" spans="1:18" ht="15" customHeight="1" x14ac:dyDescent="0.2">
      <c r="C26" s="76" t="s">
        <v>35</v>
      </c>
      <c r="D26" s="85">
        <v>9</v>
      </c>
      <c r="E26" s="85">
        <v>2</v>
      </c>
      <c r="F26" s="85">
        <v>452</v>
      </c>
      <c r="G26" s="85">
        <v>0</v>
      </c>
      <c r="H26" s="85">
        <v>200</v>
      </c>
      <c r="I26" s="85">
        <v>3500</v>
      </c>
      <c r="J26" s="85">
        <v>9</v>
      </c>
      <c r="K26" s="85">
        <v>3500</v>
      </c>
      <c r="L26" s="85">
        <v>242</v>
      </c>
      <c r="M26" s="85">
        <v>205</v>
      </c>
      <c r="N26" s="85">
        <v>14</v>
      </c>
      <c r="O26" s="85">
        <v>4204</v>
      </c>
      <c r="P26" s="85">
        <v>12337</v>
      </c>
    </row>
    <row r="27" spans="1:18" ht="15" customHeight="1" x14ac:dyDescent="0.2">
      <c r="C27" s="76" t="s">
        <v>79</v>
      </c>
      <c r="D27" s="85">
        <v>611</v>
      </c>
      <c r="E27" s="85">
        <v>707</v>
      </c>
      <c r="F27" s="85">
        <v>1692</v>
      </c>
      <c r="G27" s="85">
        <v>2357</v>
      </c>
      <c r="H27" s="85">
        <v>1733</v>
      </c>
      <c r="I27" s="85">
        <v>1481</v>
      </c>
      <c r="J27" s="85">
        <v>2891</v>
      </c>
      <c r="K27" s="85">
        <v>-2225</v>
      </c>
      <c r="L27" s="85">
        <v>1905</v>
      </c>
      <c r="M27" s="85">
        <v>3093</v>
      </c>
      <c r="N27" s="85">
        <v>3216</v>
      </c>
      <c r="O27" s="85">
        <v>-2313</v>
      </c>
      <c r="P27" s="85">
        <v>15148</v>
      </c>
    </row>
    <row r="28" spans="1:18" ht="15" customHeight="1" x14ac:dyDescent="0.2"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</row>
    <row r="29" spans="1:18" s="82" customFormat="1" ht="15" customHeight="1" x14ac:dyDescent="0.25">
      <c r="A29" s="82" t="s">
        <v>137</v>
      </c>
      <c r="D29" s="88">
        <v>-3127</v>
      </c>
      <c r="E29" s="88">
        <v>-3216</v>
      </c>
      <c r="F29" s="88">
        <v>-3762</v>
      </c>
      <c r="G29" s="88">
        <v>1177</v>
      </c>
      <c r="H29" s="88">
        <v>-1101</v>
      </c>
      <c r="I29" s="88">
        <v>-312</v>
      </c>
      <c r="J29" s="88">
        <v>-369</v>
      </c>
      <c r="K29" s="88">
        <v>-1397</v>
      </c>
      <c r="L29" s="88">
        <v>-708</v>
      </c>
      <c r="M29" s="88">
        <v>-2833</v>
      </c>
      <c r="N29" s="88">
        <v>-5506</v>
      </c>
      <c r="O29" s="88">
        <v>-10098</v>
      </c>
      <c r="P29" s="88">
        <v>-31252</v>
      </c>
    </row>
    <row r="30" spans="1:18" ht="15" customHeight="1" x14ac:dyDescent="0.2"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</row>
    <row r="31" spans="1:18" s="82" customFormat="1" ht="15" customHeight="1" x14ac:dyDescent="0.25">
      <c r="A31" s="82" t="s">
        <v>39</v>
      </c>
      <c r="D31" s="83">
        <v>-1798</v>
      </c>
      <c r="E31" s="83">
        <v>5801</v>
      </c>
      <c r="F31" s="83">
        <v>-954</v>
      </c>
      <c r="G31" s="83">
        <v>5873</v>
      </c>
      <c r="H31" s="83">
        <v>3609</v>
      </c>
      <c r="I31" s="83">
        <v>5070</v>
      </c>
      <c r="J31" s="83">
        <v>720</v>
      </c>
      <c r="K31" s="83">
        <v>3024</v>
      </c>
      <c r="L31" s="83">
        <v>215</v>
      </c>
      <c r="M31" s="83">
        <v>3227</v>
      </c>
      <c r="N31" s="83">
        <v>6274</v>
      </c>
      <c r="O31" s="83">
        <v>968</v>
      </c>
      <c r="P31" s="83">
        <v>32029</v>
      </c>
      <c r="Q31" s="131"/>
      <c r="R31" s="131"/>
    </row>
    <row r="32" spans="1:18" ht="15" customHeight="1" x14ac:dyDescent="0.2">
      <c r="B32" s="76" t="s">
        <v>40</v>
      </c>
      <c r="D32" s="84">
        <v>11</v>
      </c>
      <c r="E32" s="84">
        <v>-67</v>
      </c>
      <c r="F32" s="84">
        <v>-380</v>
      </c>
      <c r="G32" s="84">
        <v>-92</v>
      </c>
      <c r="H32" s="84">
        <v>456</v>
      </c>
      <c r="I32" s="84">
        <v>1014</v>
      </c>
      <c r="J32" s="84">
        <v>621</v>
      </c>
      <c r="K32" s="84">
        <v>-51</v>
      </c>
      <c r="L32" s="84">
        <v>-357</v>
      </c>
      <c r="M32" s="84">
        <v>-2073</v>
      </c>
      <c r="N32" s="84">
        <v>705</v>
      </c>
      <c r="O32" s="84">
        <v>3793</v>
      </c>
      <c r="P32" s="84">
        <v>3580</v>
      </c>
    </row>
    <row r="33" spans="1:16" ht="15" customHeight="1" x14ac:dyDescent="0.2">
      <c r="C33" s="76" t="s">
        <v>41</v>
      </c>
      <c r="D33" s="85">
        <v>201</v>
      </c>
      <c r="E33" s="85">
        <v>228</v>
      </c>
      <c r="F33" s="85">
        <v>214</v>
      </c>
      <c r="G33" s="85">
        <v>236</v>
      </c>
      <c r="H33" s="85">
        <v>541</v>
      </c>
      <c r="I33" s="85">
        <v>1332</v>
      </c>
      <c r="J33" s="85">
        <v>866</v>
      </c>
      <c r="K33" s="85">
        <v>134</v>
      </c>
      <c r="L33" s="85">
        <v>539</v>
      </c>
      <c r="M33" s="85">
        <v>325</v>
      </c>
      <c r="N33" s="85">
        <v>837</v>
      </c>
      <c r="O33" s="85">
        <v>4316</v>
      </c>
      <c r="P33" s="85">
        <v>9769</v>
      </c>
    </row>
    <row r="34" spans="1:16" ht="15" customHeight="1" x14ac:dyDescent="0.2">
      <c r="C34" s="76" t="s">
        <v>42</v>
      </c>
      <c r="D34" s="85">
        <v>190</v>
      </c>
      <c r="E34" s="85">
        <v>295</v>
      </c>
      <c r="F34" s="85">
        <v>594</v>
      </c>
      <c r="G34" s="85">
        <v>328</v>
      </c>
      <c r="H34" s="85">
        <v>85</v>
      </c>
      <c r="I34" s="85">
        <v>318</v>
      </c>
      <c r="J34" s="85">
        <v>245</v>
      </c>
      <c r="K34" s="85">
        <v>185</v>
      </c>
      <c r="L34" s="85">
        <v>896</v>
      </c>
      <c r="M34" s="85">
        <v>2398</v>
      </c>
      <c r="N34" s="85">
        <v>132</v>
      </c>
      <c r="O34" s="85">
        <v>523</v>
      </c>
      <c r="P34" s="85">
        <v>6189</v>
      </c>
    </row>
    <row r="35" spans="1:16" ht="15" customHeight="1" x14ac:dyDescent="0.2"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</row>
    <row r="36" spans="1:16" ht="15" customHeight="1" x14ac:dyDescent="0.2">
      <c r="B36" s="76" t="s">
        <v>43</v>
      </c>
      <c r="D36" s="84">
        <v>-1809</v>
      </c>
      <c r="E36" s="84">
        <v>5868</v>
      </c>
      <c r="F36" s="84">
        <v>-574</v>
      </c>
      <c r="G36" s="84">
        <v>5965</v>
      </c>
      <c r="H36" s="84">
        <v>3153</v>
      </c>
      <c r="I36" s="84">
        <v>4056</v>
      </c>
      <c r="J36" s="84">
        <v>99</v>
      </c>
      <c r="K36" s="84">
        <v>3075</v>
      </c>
      <c r="L36" s="84">
        <v>572</v>
      </c>
      <c r="M36" s="84">
        <v>5300</v>
      </c>
      <c r="N36" s="84">
        <v>5569</v>
      </c>
      <c r="O36" s="84">
        <v>-2825</v>
      </c>
      <c r="P36" s="84">
        <v>28449</v>
      </c>
    </row>
    <row r="37" spans="1:16" ht="15" customHeight="1" x14ac:dyDescent="0.2">
      <c r="C37" s="76" t="s">
        <v>44</v>
      </c>
      <c r="D37" s="85">
        <v>-830</v>
      </c>
      <c r="E37" s="85">
        <v>6164</v>
      </c>
      <c r="F37" s="85">
        <v>-325</v>
      </c>
      <c r="G37" s="85">
        <v>6467</v>
      </c>
      <c r="H37" s="85">
        <v>3263</v>
      </c>
      <c r="I37" s="85">
        <v>4080</v>
      </c>
      <c r="J37" s="85">
        <v>234</v>
      </c>
      <c r="K37" s="85">
        <v>3598</v>
      </c>
      <c r="L37" s="85">
        <v>836</v>
      </c>
      <c r="M37" s="85">
        <v>5625</v>
      </c>
      <c r="N37" s="85">
        <v>5844</v>
      </c>
      <c r="O37" s="85">
        <v>505</v>
      </c>
      <c r="P37" s="85">
        <v>35461</v>
      </c>
    </row>
    <row r="38" spans="1:16" ht="15" customHeight="1" x14ac:dyDescent="0.2">
      <c r="C38" s="76" t="s">
        <v>42</v>
      </c>
      <c r="D38" s="85">
        <v>979</v>
      </c>
      <c r="E38" s="85">
        <v>296</v>
      </c>
      <c r="F38" s="85">
        <v>249</v>
      </c>
      <c r="G38" s="85">
        <v>502</v>
      </c>
      <c r="H38" s="85">
        <v>110</v>
      </c>
      <c r="I38" s="85">
        <v>24</v>
      </c>
      <c r="J38" s="85">
        <v>135</v>
      </c>
      <c r="K38" s="85">
        <v>523</v>
      </c>
      <c r="L38" s="85">
        <v>264</v>
      </c>
      <c r="M38" s="85">
        <v>325</v>
      </c>
      <c r="N38" s="85">
        <v>275</v>
      </c>
      <c r="O38" s="85">
        <v>3330</v>
      </c>
      <c r="P38" s="85">
        <v>7012</v>
      </c>
    </row>
    <row r="39" spans="1:16" ht="15" customHeight="1" x14ac:dyDescent="0.2"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</row>
    <row r="40" spans="1:16" s="82" customFormat="1" ht="15" customHeight="1" x14ac:dyDescent="0.25">
      <c r="A40" s="82" t="s">
        <v>163</v>
      </c>
      <c r="D40" s="83">
        <v>-5115</v>
      </c>
      <c r="E40" s="83">
        <v>2403</v>
      </c>
      <c r="F40" s="83">
        <v>-4730</v>
      </c>
      <c r="G40" s="83">
        <v>6856</v>
      </c>
      <c r="H40" s="83">
        <v>2572</v>
      </c>
      <c r="I40" s="83">
        <v>4532</v>
      </c>
      <c r="J40" s="83">
        <v>-5</v>
      </c>
      <c r="K40" s="83">
        <v>1355</v>
      </c>
      <c r="L40" s="83">
        <v>-736</v>
      </c>
      <c r="M40" s="83">
        <v>1957</v>
      </c>
      <c r="N40" s="83">
        <v>847</v>
      </c>
      <c r="O40" s="83">
        <v>-6567</v>
      </c>
      <c r="P40" s="83">
        <v>3369</v>
      </c>
    </row>
    <row r="41" spans="1:16" x14ac:dyDescent="0.2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</row>
    <row r="42" spans="1:16" x14ac:dyDescent="0.2"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</row>
    <row r="44" spans="1:16" x14ac:dyDescent="0.2">
      <c r="A44" s="86" t="s">
        <v>139</v>
      </c>
    </row>
  </sheetData>
  <mergeCells count="1">
    <mergeCell ref="A5:C5"/>
  </mergeCells>
  <printOptions horizontalCentered="1"/>
  <pageMargins left="0" right="0" top="0.98333333333333295" bottom="0" header="0.51180555555555596" footer="0.511811023622047"/>
  <pageSetup paperSize="9" orientation="portrait" horizontalDpi="300" verticalDpi="300"/>
  <headerFooter>
    <oddHeader>&amp;C&amp;"Arial,Bold"BUREAU OF THE TREASURY
&amp;"Arial,Italic"Statistical Data Analysis Division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52</vt:i4>
      </vt:variant>
    </vt:vector>
  </HeadingPairs>
  <TitlesOfParts>
    <vt:vector size="106" baseType="lpstr">
      <vt:lpstr>2025</vt:lpstr>
      <vt:lpstr>2024</vt:lpstr>
      <vt:lpstr>2023</vt:lpstr>
      <vt:lpstr>2022 v2</vt:lpstr>
      <vt:lpstr>2021 v2</vt:lpstr>
      <vt:lpstr>2020 v2</vt:lpstr>
      <vt:lpstr>2019 v2</vt:lpstr>
      <vt:lpstr>2018 v2</vt:lpstr>
      <vt:lpstr>2017v1</vt:lpstr>
      <vt:lpstr>2017v2</vt:lpstr>
      <vt:lpstr>2016v1</vt:lpstr>
      <vt:lpstr>2016v2</vt:lpstr>
      <vt:lpstr>2015v1</vt:lpstr>
      <vt:lpstr>2015v2</vt:lpstr>
      <vt:lpstr>2014v1</vt:lpstr>
      <vt:lpstr>2014 v2</vt:lpstr>
      <vt:lpstr>2013v1</vt:lpstr>
      <vt:lpstr>2013v2</vt:lpstr>
      <vt:lpstr>2012v1</vt:lpstr>
      <vt:lpstr>2012v2</vt:lpstr>
      <vt:lpstr>2011v1</vt:lpstr>
      <vt:lpstr>2011v2</vt:lpstr>
      <vt:lpstr>2010v1</vt:lpstr>
      <vt:lpstr>2010v2</vt:lpstr>
      <vt:lpstr>2009v1</vt:lpstr>
      <vt:lpstr>2009v2</vt:lpstr>
      <vt:lpstr>2008v1</vt:lpstr>
      <vt:lpstr>2008v2</vt:lpstr>
      <vt:lpstr>2007v1</vt:lpstr>
      <vt:lpstr>2007v2</vt:lpstr>
      <vt:lpstr>2006v1</vt:lpstr>
      <vt:lpstr>2006v2</vt:lpstr>
      <vt:lpstr>2005v1</vt:lpstr>
      <vt:lpstr>2005v2</vt:lpstr>
      <vt:lpstr>2004v1</vt:lpstr>
      <vt:lpstr>2004v2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'1986'!Print_Area</vt:lpstr>
      <vt:lpstr>'1987'!Print_Area</vt:lpstr>
      <vt:lpstr>'1988'!Print_Area</vt:lpstr>
      <vt:lpstr>'1989'!Print_Area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'2004v1'!Print_Area</vt:lpstr>
      <vt:lpstr>'2004v2'!Print_Area</vt:lpstr>
      <vt:lpstr>'2005v1'!Print_Area</vt:lpstr>
      <vt:lpstr>'2005v2'!Print_Area</vt:lpstr>
      <vt:lpstr>'2006v1'!Print_Area</vt:lpstr>
      <vt:lpstr>'2006v2'!Print_Area</vt:lpstr>
      <vt:lpstr>'2007v1'!Print_Area</vt:lpstr>
      <vt:lpstr>'2007v2'!Print_Area</vt:lpstr>
      <vt:lpstr>'2008v1'!Print_Area</vt:lpstr>
      <vt:lpstr>'2008v2'!Print_Area</vt:lpstr>
      <vt:lpstr>'2009v1'!Print_Area</vt:lpstr>
      <vt:lpstr>'2009v2'!Print_Area</vt:lpstr>
      <vt:lpstr>'2010v1'!Print_Area</vt:lpstr>
      <vt:lpstr>'2010v2'!Print_Area</vt:lpstr>
      <vt:lpstr>'2011v1'!Print_Area</vt:lpstr>
      <vt:lpstr>'2011v2'!Print_Area</vt:lpstr>
      <vt:lpstr>'2012v1'!Print_Area</vt:lpstr>
      <vt:lpstr>'2012v2'!Print_Area</vt:lpstr>
      <vt:lpstr>'2013v1'!Print_Area</vt:lpstr>
      <vt:lpstr>'2013v2'!Print_Area</vt:lpstr>
      <vt:lpstr>'2014 v2'!Print_Area</vt:lpstr>
      <vt:lpstr>'2014v1'!Print_Area</vt:lpstr>
      <vt:lpstr>'2015v1'!Print_Area</vt:lpstr>
      <vt:lpstr>'2015v2'!Print_Area</vt:lpstr>
      <vt:lpstr>'2016v1'!Print_Area</vt:lpstr>
      <vt:lpstr>'2016v2'!Print_Area</vt:lpstr>
      <vt:lpstr>'2017v1'!Print_Area</vt:lpstr>
      <vt:lpstr>'2017v2'!Print_Area</vt:lpstr>
      <vt:lpstr>'2018 v2'!Print_Area</vt:lpstr>
      <vt:lpstr>'2019 v2'!Print_Area</vt:lpstr>
      <vt:lpstr>'2020 v2'!Print_Area</vt:lpstr>
      <vt:lpstr>'2021 v2'!Print_Area</vt:lpstr>
      <vt:lpstr>'2022 v2'!Print_Area</vt:lpstr>
      <vt:lpstr>'2023'!Print_Area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castillogw</dc:creator>
  <dc:description/>
  <cp:lastModifiedBy>AJ Montesa</cp:lastModifiedBy>
  <cp:revision>2</cp:revision>
  <cp:lastPrinted>2023-08-16T06:00:24Z</cp:lastPrinted>
  <dcterms:created xsi:type="dcterms:W3CDTF">2000-04-11T06:45:00Z</dcterms:created>
  <dcterms:modified xsi:type="dcterms:W3CDTF">2026-05-08T09:12:45Z</dcterms:modified>
  <dc:language>en-PH</dc:language>
</cp:coreProperties>
</file>