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Fiscal Data\"/>
    </mc:Choice>
  </mc:AlternateContent>
  <xr:revisionPtr revIDLastSave="0" documentId="13_ncr:1_{4F8DC89E-5623-46E6-993A-1934607B6B01}" xr6:coauthVersionLast="47" xr6:coauthVersionMax="47" xr10:uidLastSave="{00000000-0000-0000-0000-000000000000}"/>
  <bookViews>
    <workbookView xWindow="9405" yWindow="675" windowWidth="14715" windowHeight="13245" tabRatio="500" xr2:uid="{00000000-000D-0000-FFFF-FFFF00000000}"/>
  </bookViews>
  <sheets>
    <sheet name="2025" sheetId="10" r:id="rId1"/>
    <sheet name="2024" sheetId="5" r:id="rId2"/>
  </sheets>
  <definedNames>
    <definedName name="_xlnm.Print_Area" localSheetId="1">'2024'!$A$1:$R$62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5" l="1"/>
  <c r="F46" i="5" s="1"/>
  <c r="G48" i="5"/>
  <c r="H48" i="5"/>
  <c r="H46" i="5" s="1"/>
  <c r="I48" i="5"/>
  <c r="I46" i="5" s="1"/>
  <c r="I41" i="5" s="1"/>
  <c r="J48" i="5"/>
  <c r="K48" i="5"/>
  <c r="K46" i="5" s="1"/>
  <c r="K41" i="5" s="1"/>
  <c r="L48" i="5"/>
  <c r="L46" i="5" s="1"/>
  <c r="L41" i="5" s="1"/>
  <c r="M48" i="5"/>
  <c r="M46" i="5" s="1"/>
  <c r="M41" i="5" s="1"/>
  <c r="N48" i="5"/>
  <c r="O48" i="5"/>
  <c r="O46" i="5" s="1"/>
  <c r="O41" i="5" s="1"/>
  <c r="P48" i="5"/>
  <c r="P46" i="5" s="1"/>
  <c r="P41" i="5" s="1"/>
  <c r="Q48" i="5"/>
  <c r="Q46" i="5" s="1"/>
  <c r="Q41" i="5" s="1"/>
  <c r="K21" i="5"/>
  <c r="R52" i="5"/>
  <c r="R50" i="5"/>
  <c r="R49" i="5"/>
  <c r="N46" i="5"/>
  <c r="N41" i="5" s="1"/>
  <c r="R47" i="5"/>
  <c r="J46" i="5"/>
  <c r="J41" i="5" s="1"/>
  <c r="G46" i="5"/>
  <c r="G41" i="5" s="1"/>
  <c r="R44" i="5"/>
  <c r="R43" i="5"/>
  <c r="R36" i="5"/>
  <c r="R35" i="5"/>
  <c r="R34" i="5"/>
  <c r="J30" i="5"/>
  <c r="H30" i="5"/>
  <c r="R32" i="5"/>
  <c r="R31" i="5"/>
  <c r="Q30" i="5"/>
  <c r="P30" i="5"/>
  <c r="O30" i="5"/>
  <c r="N30" i="5"/>
  <c r="M30" i="5"/>
  <c r="L30" i="5"/>
  <c r="K30" i="5"/>
  <c r="R28" i="5"/>
  <c r="R25" i="5"/>
  <c r="R24" i="5"/>
  <c r="R23" i="5"/>
  <c r="R22" i="5"/>
  <c r="Q21" i="5"/>
  <c r="P21" i="5"/>
  <c r="O21" i="5"/>
  <c r="N21" i="5"/>
  <c r="M21" i="5"/>
  <c r="L21" i="5"/>
  <c r="J21" i="5"/>
  <c r="I21" i="5"/>
  <c r="H21" i="5"/>
  <c r="G21" i="5"/>
  <c r="F21" i="5"/>
  <c r="F9" i="5" s="1"/>
  <c r="R19" i="5"/>
  <c r="R18" i="5"/>
  <c r="R16" i="5"/>
  <c r="R14" i="5"/>
  <c r="R13" i="5"/>
  <c r="R11" i="5"/>
  <c r="Q10" i="5"/>
  <c r="Q9" i="5" s="1"/>
  <c r="P10" i="5"/>
  <c r="O10" i="5"/>
  <c r="N10" i="5"/>
  <c r="M10" i="5"/>
  <c r="L10" i="5"/>
  <c r="K10" i="5"/>
  <c r="J10" i="5"/>
  <c r="I10" i="5"/>
  <c r="I9" i="5" s="1"/>
  <c r="H10" i="5"/>
  <c r="G10" i="5"/>
  <c r="F10" i="5"/>
  <c r="R48" i="5" l="1"/>
  <c r="R46" i="5" s="1"/>
  <c r="R10" i="5"/>
  <c r="R42" i="5"/>
  <c r="F41" i="5"/>
  <c r="H41" i="5"/>
  <c r="R26" i="5"/>
  <c r="R21" i="5" s="1"/>
  <c r="P9" i="5"/>
  <c r="K9" i="5"/>
  <c r="G9" i="5"/>
  <c r="H9" i="5"/>
  <c r="J9" i="5"/>
  <c r="M9" i="5"/>
  <c r="N9" i="5"/>
  <c r="O9" i="5"/>
  <c r="L9" i="5"/>
  <c r="R33" i="5"/>
  <c r="F30" i="5"/>
  <c r="G30" i="5"/>
  <c r="I30" i="5"/>
  <c r="R41" i="5" l="1"/>
  <c r="R9" i="5"/>
  <c r="R37" i="5"/>
  <c r="R30" i="5" s="1"/>
  <c r="R39" i="5" s="1"/>
</calcChain>
</file>

<file path=xl/sharedStrings.xml><?xml version="1.0" encoding="utf-8"?>
<sst xmlns="http://schemas.openxmlformats.org/spreadsheetml/2006/main" count="129" uniqueCount="77">
  <si>
    <t>National Government Cash Operations Report</t>
  </si>
  <si>
    <t>(In Million Pesos)</t>
  </si>
  <si>
    <t>Particulars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</si>
  <si>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</si>
  <si>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</si>
  <si>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</si>
  <si>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</si>
  <si>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</si>
  <si>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</si>
  <si>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</si>
  <si>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</si>
  <si>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</si>
  <si>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</si>
  <si>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Total</t>
  </si>
  <si>
    <t>Revenues</t>
  </si>
  <si>
    <t>Tax Revenues</t>
  </si>
  <si>
    <t>BIR</t>
  </si>
  <si>
    <t>of which:</t>
  </si>
  <si>
    <t xml:space="preserve">   Documentary Stamp</t>
  </si>
  <si>
    <t xml:space="preserve">   Tax Expenditures</t>
  </si>
  <si>
    <t>BOC</t>
  </si>
  <si>
    <t xml:space="preserve">Other Offices </t>
  </si>
  <si>
    <t>Non-tax Revenues</t>
  </si>
  <si>
    <t>BTr Income</t>
  </si>
  <si>
    <t>Privatization</t>
  </si>
  <si>
    <t>Income from Malampaya</t>
  </si>
  <si>
    <t>Grants</t>
  </si>
  <si>
    <t>Expenditures</t>
  </si>
  <si>
    <t>Allotment to LGUs</t>
  </si>
  <si>
    <t>Interest Payments</t>
  </si>
  <si>
    <t>Tax Expenditures</t>
  </si>
  <si>
    <t>Equity</t>
  </si>
  <si>
    <t xml:space="preserve">Net Lending </t>
  </si>
  <si>
    <t>Surplus/(-)Deficit</t>
  </si>
  <si>
    <t>Financing</t>
  </si>
  <si>
    <t>External (Net)</t>
  </si>
  <si>
    <t>External (Gross)</t>
  </si>
  <si>
    <t>Less: Amortization</t>
  </si>
  <si>
    <t>Domestic (Net)</t>
  </si>
  <si>
    <t>Domestic (Gross)</t>
  </si>
  <si>
    <t>Less: Net Amortization</t>
  </si>
  <si>
    <t xml:space="preserve">Amortization    </t>
  </si>
  <si>
    <t>Change-In-Cash</t>
  </si>
  <si>
    <t>Notes:</t>
  </si>
  <si>
    <t>1/</t>
  </si>
  <si>
    <t>The amount was sourced from the Bond Sinking Fund.</t>
  </si>
  <si>
    <t>Source: COR(FPAD-RS)</t>
  </si>
  <si>
    <t>Nov</t>
  </si>
  <si>
    <t>Dec</t>
  </si>
  <si>
    <r>
      <t xml:space="preserve">Subsidy </t>
    </r>
    <r>
      <rPr>
        <i/>
        <vertAlign val="superscript"/>
        <sz val="11"/>
        <rFont val="Arial"/>
        <family val="2"/>
      </rPr>
      <t xml:space="preserve"> </t>
    </r>
  </si>
  <si>
    <r>
      <t xml:space="preserve">NG Disbursements </t>
    </r>
    <r>
      <rPr>
        <i/>
        <vertAlign val="superscript"/>
        <sz val="11"/>
        <rFont val="Arial"/>
        <family val="2"/>
      </rPr>
      <t xml:space="preserve"> </t>
    </r>
  </si>
  <si>
    <r>
      <t>of which: Redemption from BSF</t>
    </r>
    <r>
      <rPr>
        <i/>
        <vertAlign val="superscript"/>
        <sz val="10"/>
        <rFont val="Arial"/>
        <family val="2"/>
      </rPr>
      <t xml:space="preserve">  1/</t>
    </r>
  </si>
  <si>
    <t>CY 2024</t>
  </si>
  <si>
    <r>
      <t>This version follows the GFSM 2014 concept wherein reporting of debt amortization reflect the actual principal repayments to creditor including those serviced by the BSF;</t>
    </r>
    <r>
      <rPr>
        <i/>
        <sz val="8"/>
        <color indexed="9"/>
        <rFont val="Arial"/>
        <family val="2"/>
      </rPr>
      <t xml:space="preserve"> </t>
    </r>
    <r>
      <rPr>
        <i/>
        <sz val="8"/>
        <rFont val="Arial"/>
        <family val="2"/>
      </rPr>
      <t>while financing includes gross proceeds of liability management transactions such as bond exchange.</t>
    </r>
  </si>
  <si>
    <t>Fees and Charges*</t>
  </si>
  <si>
    <t>Other non-tax**</t>
  </si>
  <si>
    <t>*</t>
  </si>
  <si>
    <t>For updating based on the submission  of NGAs. Fees and Charges collections not yet identfied are recorded under Other non-tax</t>
  </si>
  <si>
    <t>**</t>
  </si>
  <si>
    <t>Includes the transfer of outstanding balance of DOH for the cancelled LCs and remittances of fund balances of GOCCs in accordance with</t>
  </si>
  <si>
    <t>FY 2024 GAA Unprogrammed Appropriation special provision 1(d) and DOF Circular No. 003-2024, previously classified under BTr income.</t>
  </si>
  <si>
    <t>last update: 23July2024</t>
  </si>
  <si>
    <t>Other non-tax*</t>
  </si>
  <si>
    <t>For updating. Fees and charges are based on NGAs' submission, and those not yet identified as such are recorded</t>
  </si>
  <si>
    <t>under Other non-tax</t>
  </si>
  <si>
    <t>CY 2025</t>
  </si>
  <si>
    <t>Less: Amortization**</t>
  </si>
  <si>
    <t>This version recognizes the actual domestic amortization including those serviced by the BSF to reflect the actual net borrowings of NG, consistent with BESF format.</t>
  </si>
  <si>
    <t>Domestic amortization includes principal repayments to creditor including those serviced by the BSF</t>
  </si>
  <si>
    <t>/p - preliminary</t>
  </si>
  <si>
    <t>r/</t>
  </si>
  <si>
    <t>Amount was adjusted due to trust transactions</t>
  </si>
  <si>
    <t>Budgetary Change-In-Cash</t>
  </si>
  <si>
    <r>
      <rPr>
        <b/>
        <sz val="11"/>
        <color theme="1"/>
        <rFont val="Arial"/>
        <family val="2"/>
      </rPr>
      <t xml:space="preserve">National Government Cash Operations Report </t>
    </r>
    <r>
      <rPr>
        <b/>
        <vertAlign val="superscript"/>
        <sz val="11"/>
        <color theme="1"/>
        <rFont val="Arial"/>
        <family val="2"/>
      </rPr>
      <t>/p</t>
    </r>
  </si>
  <si>
    <r>
      <rPr>
        <sz val="11"/>
        <color theme="1"/>
        <rFont val="Arial"/>
        <family val="2"/>
      </rPr>
      <t xml:space="preserve">Subsidy </t>
    </r>
    <r>
      <rPr>
        <i/>
        <vertAlign val="superscript"/>
        <sz val="11"/>
        <color theme="1"/>
        <rFont val="Arial"/>
        <family val="2"/>
      </rPr>
      <t xml:space="preserve"> </t>
    </r>
  </si>
  <si>
    <r>
      <rPr>
        <sz val="11"/>
        <color theme="1"/>
        <rFont val="Arial"/>
        <family val="2"/>
      </rPr>
      <t xml:space="preserve">NG Disbursements </t>
    </r>
    <r>
      <rPr>
        <i/>
        <vertAlign val="superscript"/>
        <sz val="11"/>
        <color theme="1"/>
        <rFont val="Arial"/>
        <family val="2"/>
      </rPr>
      <t xml:space="preserve"> </t>
    </r>
  </si>
  <si>
    <t>last update: 03Mar2026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</si>
</sst>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;@"/>
    <numFmt numFmtId="165" formatCode="_(* #,##0.00_);_(* \(#,##0.00\);_(* &quot;-&quot;??_);_(@_)"/>
  </numFmts>
  <fonts count="45" x14ac:knownFonts="1">
    <font>
      <sz val="10"/>
      <name val="Arial"/>
      <family val="2"/>
      <charset val="1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i/>
      <sz val="11"/>
      <color theme="0"/>
      <name val="Arial"/>
      <family val="2"/>
    </font>
    <font>
      <i/>
      <sz val="11"/>
      <name val="Arial"/>
      <family val="2"/>
    </font>
    <font>
      <b/>
      <u/>
      <sz val="11"/>
      <name val="Arial"/>
      <family val="2"/>
    </font>
    <font>
      <i/>
      <vertAlign val="superscript"/>
      <sz val="11"/>
      <name val="Arial"/>
      <family val="2"/>
    </font>
    <font>
      <u/>
      <sz val="11"/>
      <name val="Arial"/>
      <family val="2"/>
    </font>
    <font>
      <i/>
      <sz val="10"/>
      <name val="Arial"/>
      <family val="2"/>
    </font>
    <font>
      <i/>
      <vertAlign val="superscript"/>
      <sz val="10"/>
      <name val="Arial"/>
      <family val="2"/>
    </font>
    <font>
      <vertAlign val="superscript"/>
      <sz val="11"/>
      <name val="Arial"/>
      <family val="2"/>
    </font>
    <font>
      <sz val="8"/>
      <name val="Arial"/>
      <family val="2"/>
    </font>
    <font>
      <i/>
      <sz val="8"/>
      <name val="Arial"/>
      <family val="2"/>
    </font>
    <font>
      <i/>
      <sz val="8"/>
      <color indexed="9"/>
      <name val="Arial"/>
      <family val="2"/>
    </font>
    <font>
      <b/>
      <i/>
      <vertAlign val="superscript"/>
      <sz val="8"/>
      <name val="Arial"/>
      <family val="2"/>
    </font>
    <font>
      <i/>
      <sz val="8"/>
      <color theme="0"/>
      <name val="Arial"/>
      <family val="2"/>
    </font>
    <font>
      <i/>
      <sz val="8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vertAlign val="superscript"/>
      <sz val="11"/>
      <color theme="1"/>
      <name val="Arial"/>
      <family val="2"/>
    </font>
    <font>
      <sz val="11"/>
      <name val="Calibri"/>
      <family val="2"/>
    </font>
    <font>
      <i/>
      <sz val="11"/>
      <color theme="1"/>
      <name val="Arial"/>
      <family val="2"/>
    </font>
    <font>
      <b/>
      <u/>
      <sz val="11"/>
      <color theme="1"/>
      <name val="Arial"/>
      <family val="2"/>
    </font>
    <font>
      <vertAlign val="superscript"/>
      <sz val="14"/>
      <color theme="1"/>
      <name val="Arial"/>
      <family val="2"/>
    </font>
    <font>
      <sz val="11"/>
      <color theme="1"/>
      <name val="Calibri"/>
      <family val="2"/>
    </font>
    <font>
      <i/>
      <vertAlign val="superscript"/>
      <sz val="11"/>
      <color theme="1"/>
      <name val="Arial"/>
      <family val="2"/>
    </font>
    <font>
      <u/>
      <sz val="11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i/>
      <sz val="10"/>
      <color theme="1"/>
      <name val="Arial"/>
      <family val="2"/>
    </font>
    <font>
      <i/>
      <vertAlign val="superscript"/>
      <sz val="10"/>
      <color theme="1"/>
      <name val="Arial"/>
      <family val="2"/>
    </font>
    <font>
      <vertAlign val="superscript"/>
      <sz val="8"/>
      <color theme="1"/>
      <name val="Arial"/>
      <family val="2"/>
    </font>
    <font>
      <vertAlign val="superscript"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2E75B5"/>
        <bgColor rgb="FF2E75B5"/>
      </patternFill>
    </fill>
    <fill>
      <patternFill patternType="solid">
        <fgColor theme="8"/>
        <bgColor theme="8"/>
      </patternFill>
    </fill>
  </fills>
  <borders count="7">
    <border>
      <left/>
      <right/>
      <top/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</borders>
  <cellStyleXfs count="21">
    <xf numFmtId="0" fontId="0" fillId="0" borderId="0"/>
    <xf numFmtId="3" fontId="10" fillId="0" borderId="0" applyBorder="0" applyProtection="0"/>
    <xf numFmtId="0" fontId="10" fillId="0" borderId="0"/>
    <xf numFmtId="0" fontId="9" fillId="0" borderId="0"/>
    <xf numFmtId="0" fontId="11" fillId="0" borderId="0"/>
    <xf numFmtId="0" fontId="8" fillId="0" borderId="0"/>
    <xf numFmtId="3" fontId="11" fillId="0" borderId="0" applyFont="0" applyFill="0" applyBorder="0" applyAlignment="0" applyProtection="0"/>
    <xf numFmtId="0" fontId="7" fillId="0" borderId="0"/>
    <xf numFmtId="0" fontId="6" fillId="0" borderId="0"/>
    <xf numFmtId="9" fontId="6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5" fontId="11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11" fillId="0" borderId="0"/>
    <xf numFmtId="0" fontId="2" fillId="0" borderId="0"/>
    <xf numFmtId="9" fontId="2" fillId="0" borderId="0" applyFont="0" applyFill="0" applyBorder="0" applyAlignment="0" applyProtection="0"/>
    <xf numFmtId="0" fontId="1" fillId="0" borderId="0"/>
  </cellStyleXfs>
  <cellXfs count="72">
    <xf numFmtId="0" fontId="0" fillId="0" borderId="0" xfId="0"/>
    <xf numFmtId="3" fontId="12" fillId="0" borderId="0" xfId="4" applyNumberFormat="1" applyFont="1"/>
    <xf numFmtId="3" fontId="13" fillId="0" borderId="0" xfId="4" applyNumberFormat="1" applyFont="1"/>
    <xf numFmtId="3" fontId="14" fillId="0" borderId="0" xfId="4" applyNumberFormat="1" applyFont="1"/>
    <xf numFmtId="3" fontId="15" fillId="2" borderId="1" xfId="4" applyNumberFormat="1" applyFont="1" applyFill="1" applyBorder="1" applyAlignment="1">
      <alignment horizontal="center" vertical="center"/>
    </xf>
    <xf numFmtId="3" fontId="16" fillId="0" borderId="0" xfId="4" applyNumberFormat="1" applyFont="1"/>
    <xf numFmtId="3" fontId="17" fillId="0" borderId="0" xfId="4" applyNumberFormat="1" applyFont="1"/>
    <xf numFmtId="3" fontId="12" fillId="0" borderId="0" xfId="6" applyFont="1"/>
    <xf numFmtId="3" fontId="19" fillId="0" borderId="0" xfId="4" applyNumberFormat="1" applyFont="1"/>
    <xf numFmtId="3" fontId="13" fillId="0" borderId="0" xfId="6" applyFont="1" applyFill="1"/>
    <xf numFmtId="3" fontId="20" fillId="0" borderId="0" xfId="4" applyNumberFormat="1" applyFont="1" applyAlignment="1">
      <alignment horizontal="left" indent="1"/>
    </xf>
    <xf numFmtId="3" fontId="12" fillId="0" borderId="2" xfId="4" applyNumberFormat="1" applyFont="1" applyBorder="1"/>
    <xf numFmtId="3" fontId="11" fillId="0" borderId="0" xfId="4" applyNumberFormat="1"/>
    <xf numFmtId="3" fontId="22" fillId="0" borderId="0" xfId="4" applyNumberFormat="1" applyFont="1"/>
    <xf numFmtId="3" fontId="12" fillId="0" borderId="0" xfId="4" applyNumberFormat="1" applyFont="1" applyAlignment="1">
      <alignment horizontal="right"/>
    </xf>
    <xf numFmtId="3" fontId="23" fillId="0" borderId="0" xfId="4" applyNumberFormat="1" applyFont="1"/>
    <xf numFmtId="3" fontId="24" fillId="0" borderId="0" xfId="4" applyNumberFormat="1" applyFont="1" applyAlignment="1">
      <alignment horizontal="left" vertical="top" wrapText="1"/>
    </xf>
    <xf numFmtId="0" fontId="6" fillId="0" borderId="0" xfId="8"/>
    <xf numFmtId="10" fontId="12" fillId="0" borderId="0" xfId="9" applyNumberFormat="1" applyFont="1"/>
    <xf numFmtId="3" fontId="12" fillId="0" borderId="0" xfId="8" applyNumberFormat="1" applyFont="1"/>
    <xf numFmtId="3" fontId="12" fillId="0" borderId="0" xfId="8" applyNumberFormat="1" applyFont="1" applyAlignment="1">
      <alignment horizontal="right"/>
    </xf>
    <xf numFmtId="3" fontId="6" fillId="0" borderId="0" xfId="8" applyNumberFormat="1"/>
    <xf numFmtId="0" fontId="20" fillId="0" borderId="0" xfId="4" applyFont="1" applyAlignment="1">
      <alignment horizontal="right"/>
    </xf>
    <xf numFmtId="0" fontId="24" fillId="0" borderId="0" xfId="8" applyFont="1"/>
    <xf numFmtId="0" fontId="20" fillId="0" borderId="0" xfId="4" applyFont="1" applyAlignment="1">
      <alignment horizontal="right" vertical="center"/>
    </xf>
    <xf numFmtId="0" fontId="24" fillId="0" borderId="0" xfId="4" applyFont="1"/>
    <xf numFmtId="0" fontId="11" fillId="0" borderId="0" xfId="4"/>
    <xf numFmtId="0" fontId="20" fillId="0" borderId="0" xfId="4" applyFont="1"/>
    <xf numFmtId="3" fontId="26" fillId="0" borderId="0" xfId="8" applyNumberFormat="1" applyFont="1" applyAlignment="1">
      <alignment horizontal="right" vertical="top"/>
    </xf>
    <xf numFmtId="3" fontId="24" fillId="0" borderId="0" xfId="8" applyNumberFormat="1" applyFont="1" applyAlignment="1">
      <alignment vertical="top"/>
    </xf>
    <xf numFmtId="3" fontId="24" fillId="0" borderId="0" xfId="8" applyNumberFormat="1" applyFont="1"/>
    <xf numFmtId="3" fontId="27" fillId="0" borderId="0" xfId="8" applyNumberFormat="1" applyFont="1"/>
    <xf numFmtId="3" fontId="26" fillId="0" borderId="0" xfId="8" applyNumberFormat="1" applyFont="1" applyAlignment="1">
      <alignment horizontal="center" vertical="center"/>
    </xf>
    <xf numFmtId="3" fontId="24" fillId="0" borderId="0" xfId="8" applyNumberFormat="1" applyFont="1" applyAlignment="1">
      <alignment horizontal="left" vertical="center" wrapText="1"/>
    </xf>
    <xf numFmtId="3" fontId="24" fillId="0" borderId="0" xfId="4" applyNumberFormat="1" applyFont="1" applyAlignment="1">
      <alignment horizontal="left" vertical="top" wrapText="1"/>
    </xf>
    <xf numFmtId="3" fontId="15" fillId="2" borderId="1" xfId="4" applyNumberFormat="1" applyFont="1" applyFill="1" applyBorder="1" applyAlignment="1">
      <alignment horizontal="center" vertical="center"/>
    </xf>
    <xf numFmtId="164" fontId="24" fillId="0" borderId="0" xfId="4" quotePrefix="1" applyNumberFormat="1" applyFont="1" applyAlignment="1">
      <alignment horizontal="left"/>
    </xf>
    <xf numFmtId="3" fontId="29" fillId="0" borderId="0" xfId="20" applyNumberFormat="1" applyFont="1"/>
    <xf numFmtId="0" fontId="1" fillId="0" borderId="0" xfId="20"/>
    <xf numFmtId="3" fontId="30" fillId="0" borderId="0" xfId="20" applyNumberFormat="1" applyFont="1"/>
    <xf numFmtId="3" fontId="14" fillId="0" borderId="0" xfId="20" applyNumberFormat="1" applyFont="1"/>
    <xf numFmtId="4" fontId="29" fillId="0" borderId="0" xfId="20" applyNumberFormat="1" applyFont="1"/>
    <xf numFmtId="10" fontId="29" fillId="0" borderId="0" xfId="20" applyNumberFormat="1" applyFont="1"/>
    <xf numFmtId="3" fontId="15" fillId="3" borderId="3" xfId="20" applyNumberFormat="1" applyFont="1" applyFill="1" applyBorder="1" applyAlignment="1">
      <alignment horizontal="center" vertical="center"/>
    </xf>
    <xf numFmtId="0" fontId="32" fillId="0" borderId="4" xfId="20" applyFont="1" applyBorder="1"/>
    <xf numFmtId="3" fontId="15" fillId="3" borderId="4" xfId="20" applyNumberFormat="1" applyFont="1" applyFill="1" applyBorder="1" applyAlignment="1">
      <alignment horizontal="center" vertical="center"/>
    </xf>
    <xf numFmtId="3" fontId="15" fillId="4" borderId="4" xfId="20" applyNumberFormat="1" applyFont="1" applyFill="1" applyBorder="1" applyAlignment="1">
      <alignment horizontal="center" vertical="center"/>
    </xf>
    <xf numFmtId="3" fontId="15" fillId="3" borderId="5" xfId="20" applyNumberFormat="1" applyFont="1" applyFill="1" applyBorder="1" applyAlignment="1">
      <alignment horizontal="center" vertical="center"/>
    </xf>
    <xf numFmtId="3" fontId="33" fillId="0" borderId="0" xfId="20" applyNumberFormat="1" applyFont="1"/>
    <xf numFmtId="3" fontId="34" fillId="0" borderId="0" xfId="20" applyNumberFormat="1" applyFont="1"/>
    <xf numFmtId="37" fontId="29" fillId="0" borderId="0" xfId="20" applyNumberFormat="1" applyFont="1"/>
    <xf numFmtId="3" fontId="29" fillId="0" borderId="0" xfId="20" applyNumberFormat="1" applyFont="1" applyAlignment="1">
      <alignment horizontal="right"/>
    </xf>
    <xf numFmtId="3" fontId="35" fillId="0" borderId="0" xfId="20" applyNumberFormat="1" applyFont="1"/>
    <xf numFmtId="3" fontId="36" fillId="0" borderId="0" xfId="20" applyNumberFormat="1" applyFont="1"/>
    <xf numFmtId="3" fontId="38" fillId="0" borderId="0" xfId="20" applyNumberFormat="1" applyFont="1"/>
    <xf numFmtId="3" fontId="29" fillId="0" borderId="6" xfId="20" applyNumberFormat="1" applyFont="1" applyBorder="1"/>
    <xf numFmtId="3" fontId="39" fillId="0" borderId="0" xfId="20" applyNumberFormat="1" applyFont="1"/>
    <xf numFmtId="3" fontId="40" fillId="0" borderId="0" xfId="20" applyNumberFormat="1" applyFont="1"/>
    <xf numFmtId="3" fontId="28" fillId="0" borderId="0" xfId="20" applyNumberFormat="1" applyFont="1" applyAlignment="1">
      <alignment horizontal="left" vertical="top" wrapText="1"/>
    </xf>
    <xf numFmtId="0" fontId="1" fillId="0" borderId="0" xfId="20"/>
    <xf numFmtId="3" fontId="28" fillId="0" borderId="0" xfId="20" applyNumberFormat="1" applyFont="1" applyAlignment="1">
      <alignment horizontal="left" vertical="top" wrapText="1"/>
    </xf>
    <xf numFmtId="0" fontId="41" fillId="0" borderId="0" xfId="20" applyFont="1" applyAlignment="1">
      <alignment horizontal="right"/>
    </xf>
    <xf numFmtId="0" fontId="28" fillId="0" borderId="0" xfId="20" applyFont="1"/>
    <xf numFmtId="0" fontId="41" fillId="0" borderId="0" xfId="20" applyFont="1" applyAlignment="1">
      <alignment horizontal="right" vertical="center"/>
    </xf>
    <xf numFmtId="3" fontId="42" fillId="0" borderId="0" xfId="20" applyNumberFormat="1" applyFont="1"/>
    <xf numFmtId="3" fontId="28" fillId="0" borderId="0" xfId="20" applyNumberFormat="1" applyFont="1" applyAlignment="1">
      <alignment vertical="top"/>
    </xf>
    <xf numFmtId="3" fontId="28" fillId="0" borderId="0" xfId="20" applyNumberFormat="1" applyFont="1"/>
    <xf numFmtId="3" fontId="27" fillId="0" borderId="0" xfId="20" applyNumberFormat="1" applyFont="1"/>
    <xf numFmtId="3" fontId="43" fillId="0" borderId="0" xfId="20" applyNumberFormat="1" applyFont="1" applyAlignment="1">
      <alignment horizontal="left" vertical="center"/>
    </xf>
    <xf numFmtId="3" fontId="28" fillId="0" borderId="0" xfId="20" applyNumberFormat="1" applyFont="1" applyAlignment="1">
      <alignment horizontal="left" vertical="center" wrapText="1"/>
    </xf>
    <xf numFmtId="0" fontId="28" fillId="0" borderId="0" xfId="20" quotePrefix="1" applyFont="1" applyAlignment="1">
      <alignment horizontal="left"/>
    </xf>
    <xf numFmtId="3" fontId="44" fillId="0" borderId="0" xfId="20" applyNumberFormat="1" applyFont="1"/>
  </cellXfs>
  <cellStyles count="21">
    <cellStyle name="Comma 2 2" xfId="1" xr:uid="{00000000-0005-0000-0000-000006000000}"/>
    <cellStyle name="Comma 2 2 2" xfId="6" xr:uid="{316EF1F3-87B8-4212-B42E-91E40F9601CC}"/>
    <cellStyle name="Comma 2 3" xfId="12" xr:uid="{A323E488-C975-424C-8867-3DAD3DC4AF99}"/>
    <cellStyle name="Normal" xfId="0" builtinId="0"/>
    <cellStyle name="Normal 12" xfId="13" xr:uid="{D9EC683E-DA6E-4EA6-85F5-586C68E560DD}"/>
    <cellStyle name="Normal 13" xfId="15" xr:uid="{25BFFD84-19E7-4D21-A504-C55E25157922}"/>
    <cellStyle name="Normal 2" xfId="2" xr:uid="{00000000-0005-0000-0000-000007000000}"/>
    <cellStyle name="Normal 2 2" xfId="4" xr:uid="{CC40DCED-81E4-45E1-B541-BC41D891AD51}"/>
    <cellStyle name="Normal 3" xfId="5" xr:uid="{4F275485-B963-4E72-8BE5-86E1800D47D3}"/>
    <cellStyle name="Normal 4" xfId="7" xr:uid="{75E7C744-4043-4B95-AE73-33B193975405}"/>
    <cellStyle name="Normal 5" xfId="8" xr:uid="{AA72682D-3057-4B91-83A3-DCBCB24B7F18}"/>
    <cellStyle name="Normal 5 2 2" xfId="17" xr:uid="{17D907FA-2467-4F2D-ACB6-C3CBC091FD19}"/>
    <cellStyle name="Normal 6" xfId="10" xr:uid="{6498073A-B325-42FE-BCF6-322BDFAC2AE9}"/>
    <cellStyle name="Normal 7" xfId="18" xr:uid="{34D92176-AF6C-414B-815D-D9936BA17AB4}"/>
    <cellStyle name="Normal 8" xfId="3" xr:uid="{00000000-0005-0000-0000-000008000000}"/>
    <cellStyle name="Normal 9" xfId="20" xr:uid="{6EA5C116-7EB1-4496-A33A-EDE005E9881B}"/>
    <cellStyle name="Percent 2" xfId="9" xr:uid="{D6161192-6F76-4FE6-B8A2-4B4E2125C43B}"/>
    <cellStyle name="Percent 3" xfId="11" xr:uid="{69EEC053-3F5E-45D9-855B-307A7D12AF2B}"/>
    <cellStyle name="Percent 4" xfId="14" xr:uid="{F361EEBA-FB6A-41F4-A6EB-9EE9284D93C2}"/>
    <cellStyle name="Percent 5" xfId="16" xr:uid="{50A08724-2827-46DD-A4C2-518761174053}"/>
    <cellStyle name="Percent 6" xfId="19" xr:uid="{AFA7A03B-4E8B-401C-BB77-F4F6A908A7E1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2E084-2BF0-4EC6-8710-8A3C7405E77B}">
  <sheetPr>
    <pageSetUpPr fitToPage="1"/>
  </sheetPr>
  <dimension ref="A1:Z1000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T6" sqref="T6"/>
    </sheetView>
  </sheetViews>
  <sheetFormatPr defaultColWidth="14.42578125" defaultRowHeight="15" customHeight="1" x14ac:dyDescent="0.25"/>
  <cols>
    <col min="1" max="1" width="2.85546875" style="38" customWidth="1"/>
    <col min="2" max="2" width="1.42578125" style="38" customWidth="1"/>
    <col min="3" max="3" width="1.85546875" style="38" customWidth="1"/>
    <col min="4" max="4" width="2.140625" style="38" customWidth="1"/>
    <col min="5" max="5" width="33" style="38" customWidth="1"/>
    <col min="6" max="8" width="11.85546875" style="38" customWidth="1"/>
    <col min="9" max="9" width="2.140625" style="38" customWidth="1"/>
    <col min="10" max="20" width="11.85546875" style="38" customWidth="1"/>
    <col min="21" max="26" width="9.140625" style="38" customWidth="1"/>
    <col min="27" max="16384" width="14.42578125" style="38"/>
  </cols>
  <sheetData>
    <row r="1" spans="1:26" ht="6" customHeight="1" x14ac:dyDescent="0.25">
      <c r="A1" s="37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U1" s="37"/>
      <c r="V1" s="37"/>
      <c r="W1" s="37"/>
      <c r="X1" s="37"/>
      <c r="Y1" s="37"/>
      <c r="Z1" s="37"/>
    </row>
    <row r="2" spans="1:26" ht="17.25" x14ac:dyDescent="0.25">
      <c r="A2" s="39" t="s">
        <v>73</v>
      </c>
      <c r="B2" s="39"/>
      <c r="C2" s="39"/>
      <c r="D2" s="39"/>
      <c r="E2" s="39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U2" s="37"/>
      <c r="V2" s="37"/>
      <c r="W2" s="37"/>
      <c r="X2" s="37"/>
      <c r="Y2" s="37"/>
      <c r="Z2" s="37"/>
    </row>
    <row r="3" spans="1:26" x14ac:dyDescent="0.25">
      <c r="A3" s="39" t="s">
        <v>65</v>
      </c>
      <c r="B3" s="39"/>
      <c r="C3" s="39"/>
      <c r="D3" s="39"/>
      <c r="E3" s="39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U3" s="37"/>
      <c r="V3" s="37"/>
      <c r="W3" s="37"/>
      <c r="X3" s="37"/>
      <c r="Y3" s="37"/>
      <c r="Z3" s="37"/>
    </row>
    <row r="4" spans="1:26" x14ac:dyDescent="0.25">
      <c r="A4" s="37" t="s">
        <v>1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U4" s="37"/>
      <c r="V4" s="37"/>
      <c r="W4" s="37"/>
      <c r="X4" s="37"/>
      <c r="Y4" s="37"/>
      <c r="Z4" s="37"/>
    </row>
    <row r="5" spans="1:26" x14ac:dyDescent="0.25">
      <c r="A5" s="40"/>
      <c r="B5" s="37"/>
      <c r="C5" s="37"/>
      <c r="D5" s="37"/>
      <c r="E5" s="37"/>
      <c r="F5" s="37"/>
      <c r="G5" s="41"/>
      <c r="H5" s="42"/>
      <c r="I5" s="42"/>
      <c r="J5" s="42"/>
      <c r="K5" s="42"/>
      <c r="L5" s="37"/>
      <c r="M5" s="37"/>
      <c r="N5" s="37"/>
      <c r="O5" s="37"/>
      <c r="P5" s="37"/>
      <c r="Q5" s="37"/>
      <c r="R5" s="37"/>
      <c r="S5" s="37"/>
      <c r="U5" s="37"/>
      <c r="V5" s="37"/>
      <c r="W5" s="37"/>
      <c r="X5" s="37"/>
      <c r="Y5" s="37"/>
      <c r="Z5" s="37"/>
    </row>
    <row r="6" spans="1:26" ht="20.25" customHeight="1" x14ac:dyDescent="0.25">
      <c r="A6" s="43" t="s">
        <v>2</v>
      </c>
      <c r="B6" s="44"/>
      <c r="C6" s="44"/>
      <c r="D6" s="44"/>
      <c r="E6" s="44"/>
      <c r="F6" s="45" t="s">
        <v>3</v>
      </c>
      <c r="G6" s="45" t="s">
        <v>4</v>
      </c>
      <c r="H6" s="45" t="s">
        <v>5</v>
      </c>
      <c r="I6" s="46"/>
      <c r="J6" s="45" t="s">
        <v>6</v>
      </c>
      <c r="K6" s="45" t="s">
        <v>7</v>
      </c>
      <c r="L6" s="45" t="s">
        <v>8</v>
      </c>
      <c r="M6" s="45" t="s">
        <v>9</v>
      </c>
      <c r="N6" s="45" t="s">
        <v>10</v>
      </c>
      <c r="O6" s="45" t="s">
        <v>11</v>
      </c>
      <c r="P6" s="45" t="s">
        <v>12</v>
      </c>
      <c r="Q6" s="45" t="s">
        <v>47</v>
      </c>
      <c r="R6" s="45" t="s">
        <v>48</v>
      </c>
      <c r="S6" s="47" t="s">
        <v>13</v>
      </c>
      <c r="U6" s="48"/>
      <c r="V6" s="48"/>
      <c r="W6" s="48"/>
      <c r="X6" s="48"/>
      <c r="Y6" s="48"/>
      <c r="Z6" s="48"/>
    </row>
    <row r="7" spans="1:26" ht="6.75" customHeight="1" x14ac:dyDescent="0.25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U7" s="37"/>
      <c r="V7" s="37"/>
      <c r="W7" s="37"/>
      <c r="X7" s="37"/>
      <c r="Y7" s="37"/>
      <c r="Z7" s="37"/>
    </row>
    <row r="8" spans="1:26" x14ac:dyDescent="0.25">
      <c r="A8" s="37"/>
      <c r="B8" s="39" t="s">
        <v>14</v>
      </c>
      <c r="C8" s="39"/>
      <c r="D8" s="39"/>
      <c r="E8" s="39"/>
      <c r="F8" s="49">
        <v>467146.87</v>
      </c>
      <c r="G8" s="49">
        <v>251767.37000000002</v>
      </c>
      <c r="H8" s="49">
        <v>279252.58999999997</v>
      </c>
      <c r="I8" s="49"/>
      <c r="J8" s="49">
        <v>522055.11200000002</v>
      </c>
      <c r="K8" s="49">
        <v>433089.88444883999</v>
      </c>
      <c r="L8" s="49">
        <v>306906.3751533</v>
      </c>
      <c r="M8" s="49">
        <v>472276.04406167998</v>
      </c>
      <c r="N8" s="49">
        <v>352514.72500000009</v>
      </c>
      <c r="O8" s="49">
        <v>281715.815</v>
      </c>
      <c r="P8" s="49">
        <v>441714.25999999995</v>
      </c>
      <c r="Q8" s="49">
        <v>340740.04999999993</v>
      </c>
      <c r="R8" s="49">
        <v>304253</v>
      </c>
      <c r="S8" s="49">
        <v>4453432.0956638195</v>
      </c>
      <c r="U8" s="37"/>
      <c r="V8" s="37"/>
      <c r="W8" s="37"/>
      <c r="X8" s="37"/>
      <c r="Y8" s="37"/>
      <c r="Z8" s="37"/>
    </row>
    <row r="9" spans="1:26" x14ac:dyDescent="0.25">
      <c r="A9" s="37"/>
      <c r="B9" s="37"/>
      <c r="C9" s="37" t="s">
        <v>15</v>
      </c>
      <c r="D9" s="37"/>
      <c r="E9" s="37"/>
      <c r="F9" s="49">
        <v>437537.87</v>
      </c>
      <c r="G9" s="49">
        <v>234345.37000000002</v>
      </c>
      <c r="H9" s="49">
        <v>259636.59</v>
      </c>
      <c r="I9" s="49"/>
      <c r="J9" s="49">
        <v>497983.11200000002</v>
      </c>
      <c r="K9" s="49">
        <v>322895.17444883997</v>
      </c>
      <c r="L9" s="49">
        <v>280115.3751533</v>
      </c>
      <c r="M9" s="49">
        <v>422996.04406167998</v>
      </c>
      <c r="N9" s="49">
        <v>331239.72500000009</v>
      </c>
      <c r="O9" s="49">
        <v>265903.815</v>
      </c>
      <c r="P9" s="49">
        <v>414501.35</v>
      </c>
      <c r="Q9" s="49">
        <v>331434.04999999993</v>
      </c>
      <c r="R9" s="49">
        <v>278582</v>
      </c>
      <c r="S9" s="49">
        <v>4077170.4756638198</v>
      </c>
      <c r="U9" s="37"/>
      <c r="V9" s="37"/>
      <c r="W9" s="37"/>
      <c r="X9" s="37"/>
      <c r="Y9" s="37"/>
      <c r="Z9" s="37"/>
    </row>
    <row r="10" spans="1:26" x14ac:dyDescent="0.25">
      <c r="A10" s="37"/>
      <c r="B10" s="37"/>
      <c r="C10" s="37"/>
      <c r="D10" s="37" t="s">
        <v>16</v>
      </c>
      <c r="E10" s="37"/>
      <c r="F10" s="37">
        <v>355095.87</v>
      </c>
      <c r="G10" s="37">
        <v>159653.37000000002</v>
      </c>
      <c r="H10" s="37">
        <v>175659.59</v>
      </c>
      <c r="I10" s="37"/>
      <c r="J10" s="37">
        <v>420527.11200000002</v>
      </c>
      <c r="K10" s="37">
        <v>242704.17444884</v>
      </c>
      <c r="L10" s="37">
        <v>200524.37515329997</v>
      </c>
      <c r="M10" s="37">
        <v>335254.04406167998</v>
      </c>
      <c r="N10" s="37">
        <v>250111.72500000006</v>
      </c>
      <c r="O10" s="37">
        <v>182960.815</v>
      </c>
      <c r="P10" s="37">
        <v>328842.34999999998</v>
      </c>
      <c r="Q10" s="37">
        <v>254285.04999999996</v>
      </c>
      <c r="R10" s="37">
        <v>204210</v>
      </c>
      <c r="S10" s="37">
        <v>3109828.4756638198</v>
      </c>
      <c r="U10" s="37"/>
      <c r="V10" s="37"/>
      <c r="W10" s="37"/>
      <c r="X10" s="37"/>
      <c r="Y10" s="37"/>
      <c r="Z10" s="37"/>
    </row>
    <row r="11" spans="1:26" x14ac:dyDescent="0.25">
      <c r="A11" s="37"/>
      <c r="B11" s="37"/>
      <c r="C11" s="37"/>
      <c r="D11" s="37"/>
      <c r="E11" s="48" t="s">
        <v>17</v>
      </c>
      <c r="F11" s="37"/>
      <c r="G11" s="42"/>
      <c r="H11" s="42"/>
      <c r="I11" s="42"/>
      <c r="J11" s="42"/>
      <c r="K11" s="42"/>
      <c r="L11" s="37"/>
      <c r="M11" s="37"/>
      <c r="N11" s="37"/>
      <c r="O11" s="37"/>
      <c r="P11" s="37"/>
      <c r="Q11" s="37"/>
      <c r="R11" s="37"/>
      <c r="S11" s="37"/>
      <c r="U11" s="37"/>
      <c r="V11" s="37"/>
      <c r="W11" s="37"/>
      <c r="X11" s="37"/>
      <c r="Y11" s="37"/>
      <c r="Z11" s="37"/>
    </row>
    <row r="12" spans="1:26" x14ac:dyDescent="0.25">
      <c r="A12" s="37"/>
      <c r="B12" s="37"/>
      <c r="C12" s="37"/>
      <c r="D12" s="37"/>
      <c r="E12" s="37" t="s">
        <v>18</v>
      </c>
      <c r="F12" s="37">
        <v>0</v>
      </c>
      <c r="G12" s="37">
        <v>1212</v>
      </c>
      <c r="H12" s="37">
        <v>131</v>
      </c>
      <c r="I12" s="37"/>
      <c r="J12" s="37">
        <v>5885</v>
      </c>
      <c r="K12" s="37">
        <v>1764</v>
      </c>
      <c r="L12" s="37">
        <v>3433</v>
      </c>
      <c r="M12" s="37">
        <v>1757</v>
      </c>
      <c r="N12" s="37">
        <v>1687</v>
      </c>
      <c r="O12" s="37">
        <v>1624</v>
      </c>
      <c r="P12" s="37">
        <v>6414</v>
      </c>
      <c r="Q12" s="37">
        <v>0</v>
      </c>
      <c r="R12" s="37">
        <v>1130</v>
      </c>
      <c r="S12" s="37">
        <v>25037</v>
      </c>
      <c r="U12" s="37"/>
      <c r="V12" s="37"/>
      <c r="W12" s="37"/>
      <c r="X12" s="37"/>
      <c r="Y12" s="37"/>
      <c r="Z12" s="37"/>
    </row>
    <row r="13" spans="1:26" x14ac:dyDescent="0.25">
      <c r="A13" s="37"/>
      <c r="B13" s="37"/>
      <c r="C13" s="37"/>
      <c r="D13" s="37"/>
      <c r="E13" s="37" t="s">
        <v>19</v>
      </c>
      <c r="F13" s="37">
        <v>0</v>
      </c>
      <c r="G13" s="37">
        <v>7930</v>
      </c>
      <c r="H13" s="37">
        <v>157</v>
      </c>
      <c r="I13" s="37"/>
      <c r="J13" s="37">
        <v>15</v>
      </c>
      <c r="K13" s="37">
        <v>63</v>
      </c>
      <c r="L13" s="37">
        <v>2815</v>
      </c>
      <c r="M13" s="37">
        <v>287</v>
      </c>
      <c r="N13" s="37">
        <v>19</v>
      </c>
      <c r="O13" s="37">
        <v>44</v>
      </c>
      <c r="P13" s="37">
        <v>1383</v>
      </c>
      <c r="Q13" s="37">
        <v>104</v>
      </c>
      <c r="R13" s="37">
        <v>2776</v>
      </c>
      <c r="S13" s="37">
        <v>15593</v>
      </c>
      <c r="U13" s="37"/>
      <c r="V13" s="37"/>
      <c r="W13" s="37"/>
      <c r="X13" s="37"/>
      <c r="Y13" s="37"/>
      <c r="Z13" s="37"/>
    </row>
    <row r="14" spans="1:26" ht="6" customHeight="1" x14ac:dyDescent="0.25">
      <c r="A14" s="37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U14" s="37"/>
      <c r="V14" s="37"/>
      <c r="W14" s="37"/>
      <c r="X14" s="37"/>
      <c r="Y14" s="37"/>
      <c r="Z14" s="37"/>
    </row>
    <row r="15" spans="1:26" x14ac:dyDescent="0.25">
      <c r="A15" s="37"/>
      <c r="B15" s="37"/>
      <c r="C15" s="37"/>
      <c r="D15" s="37" t="s">
        <v>20</v>
      </c>
      <c r="E15" s="37"/>
      <c r="F15" s="37">
        <v>79254</v>
      </c>
      <c r="G15" s="37">
        <v>71765</v>
      </c>
      <c r="H15" s="37">
        <v>80359</v>
      </c>
      <c r="I15" s="37"/>
      <c r="J15" s="37">
        <v>74701</v>
      </c>
      <c r="K15" s="37">
        <v>75657</v>
      </c>
      <c r="L15" s="37">
        <v>77035</v>
      </c>
      <c r="M15" s="37">
        <v>85180</v>
      </c>
      <c r="N15" s="37">
        <v>77436</v>
      </c>
      <c r="O15" s="37">
        <v>80284</v>
      </c>
      <c r="P15" s="37">
        <v>82962</v>
      </c>
      <c r="Q15" s="37">
        <v>74867</v>
      </c>
      <c r="R15" s="37">
        <v>73172</v>
      </c>
      <c r="S15" s="37">
        <v>932672</v>
      </c>
      <c r="U15" s="37"/>
      <c r="V15" s="37"/>
      <c r="W15" s="37"/>
      <c r="X15" s="37"/>
      <c r="Y15" s="37"/>
      <c r="Z15" s="37"/>
    </row>
    <row r="16" spans="1:26" x14ac:dyDescent="0.25">
      <c r="A16" s="37"/>
      <c r="B16" s="37"/>
      <c r="C16" s="37"/>
      <c r="D16" s="37"/>
      <c r="E16" s="48" t="s">
        <v>17</v>
      </c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U16" s="37"/>
      <c r="V16" s="37"/>
      <c r="W16" s="37"/>
      <c r="X16" s="37"/>
      <c r="Y16" s="37"/>
      <c r="Z16" s="37"/>
    </row>
    <row r="17" spans="1:26" x14ac:dyDescent="0.25">
      <c r="A17" s="37"/>
      <c r="B17" s="37"/>
      <c r="C17" s="37"/>
      <c r="D17" s="37"/>
      <c r="E17" s="37" t="s">
        <v>19</v>
      </c>
      <c r="F17" s="37">
        <v>0</v>
      </c>
      <c r="G17" s="37">
        <v>29</v>
      </c>
      <c r="H17" s="37">
        <v>1800</v>
      </c>
      <c r="I17" s="37"/>
      <c r="J17" s="37">
        <v>298</v>
      </c>
      <c r="K17" s="37">
        <v>267</v>
      </c>
      <c r="L17" s="37">
        <v>231</v>
      </c>
      <c r="M17" s="37">
        <v>3103</v>
      </c>
      <c r="N17" s="37">
        <v>1842</v>
      </c>
      <c r="O17" s="37">
        <v>507</v>
      </c>
      <c r="P17" s="37">
        <v>92</v>
      </c>
      <c r="Q17" s="37">
        <v>1028</v>
      </c>
      <c r="R17" s="37">
        <v>622</v>
      </c>
      <c r="S17" s="37">
        <v>9819</v>
      </c>
      <c r="U17" s="37"/>
      <c r="V17" s="37"/>
      <c r="W17" s="37"/>
      <c r="X17" s="37"/>
      <c r="Y17" s="37"/>
      <c r="Z17" s="37"/>
    </row>
    <row r="18" spans="1:26" x14ac:dyDescent="0.25">
      <c r="A18" s="37"/>
      <c r="B18" s="37"/>
      <c r="C18" s="37"/>
      <c r="D18" s="37" t="s">
        <v>21</v>
      </c>
      <c r="E18" s="37"/>
      <c r="F18" s="37">
        <v>3188</v>
      </c>
      <c r="G18" s="37">
        <v>2927</v>
      </c>
      <c r="H18" s="37">
        <v>3618</v>
      </c>
      <c r="I18" s="37"/>
      <c r="J18" s="37">
        <v>2755</v>
      </c>
      <c r="K18" s="37">
        <v>4534</v>
      </c>
      <c r="L18" s="37">
        <v>2556</v>
      </c>
      <c r="M18" s="37">
        <v>2562</v>
      </c>
      <c r="N18" s="37">
        <v>3692</v>
      </c>
      <c r="O18" s="37">
        <v>2659</v>
      </c>
      <c r="P18" s="37">
        <v>2697</v>
      </c>
      <c r="Q18" s="37">
        <v>2282</v>
      </c>
      <c r="R18" s="37">
        <v>1200</v>
      </c>
      <c r="S18" s="37">
        <v>34670</v>
      </c>
      <c r="U18" s="37"/>
      <c r="V18" s="37"/>
      <c r="W18" s="37"/>
      <c r="X18" s="37"/>
      <c r="Y18" s="37"/>
      <c r="Z18" s="37"/>
    </row>
    <row r="19" spans="1:26" x14ac:dyDescent="0.25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U19" s="37"/>
      <c r="V19" s="37"/>
      <c r="W19" s="37"/>
      <c r="X19" s="37"/>
      <c r="Y19" s="37"/>
      <c r="Z19" s="37"/>
    </row>
    <row r="20" spans="1:26" x14ac:dyDescent="0.25">
      <c r="A20" s="37"/>
      <c r="B20" s="37"/>
      <c r="C20" s="37" t="s">
        <v>22</v>
      </c>
      <c r="D20" s="37"/>
      <c r="E20" s="37"/>
      <c r="F20" s="49">
        <v>29609</v>
      </c>
      <c r="G20" s="49">
        <v>17422</v>
      </c>
      <c r="H20" s="49">
        <v>19616</v>
      </c>
      <c r="I20" s="49"/>
      <c r="J20" s="49">
        <v>24072</v>
      </c>
      <c r="K20" s="49">
        <v>110194.71</v>
      </c>
      <c r="L20" s="49">
        <v>26791</v>
      </c>
      <c r="M20" s="49">
        <v>49280</v>
      </c>
      <c r="N20" s="49">
        <v>21275</v>
      </c>
      <c r="O20" s="49">
        <v>15812</v>
      </c>
      <c r="P20" s="49">
        <v>27212.91</v>
      </c>
      <c r="Q20" s="49">
        <v>9306</v>
      </c>
      <c r="R20" s="49">
        <v>25671</v>
      </c>
      <c r="S20" s="49">
        <v>376261.62</v>
      </c>
      <c r="U20" s="37"/>
      <c r="V20" s="37"/>
      <c r="W20" s="37"/>
      <c r="X20" s="37"/>
      <c r="Y20" s="37"/>
      <c r="Z20" s="37"/>
    </row>
    <row r="21" spans="1:26" ht="15.75" customHeight="1" x14ac:dyDescent="0.25">
      <c r="A21" s="37"/>
      <c r="B21" s="37"/>
      <c r="C21" s="37"/>
      <c r="D21" s="37" t="s">
        <v>23</v>
      </c>
      <c r="E21" s="37"/>
      <c r="F21" s="50">
        <v>15744</v>
      </c>
      <c r="G21" s="50">
        <v>7921</v>
      </c>
      <c r="H21" s="50">
        <v>8676</v>
      </c>
      <c r="I21" s="50"/>
      <c r="J21" s="50">
        <v>13837</v>
      </c>
      <c r="K21" s="50">
        <v>83022</v>
      </c>
      <c r="L21" s="50">
        <v>16066</v>
      </c>
      <c r="M21" s="50">
        <v>36328</v>
      </c>
      <c r="N21" s="50">
        <v>7692</v>
      </c>
      <c r="O21" s="50">
        <v>7765</v>
      </c>
      <c r="P21" s="50">
        <v>12513</v>
      </c>
      <c r="Q21" s="50">
        <v>5615</v>
      </c>
      <c r="R21" s="50">
        <v>18030</v>
      </c>
      <c r="S21" s="37">
        <v>233209</v>
      </c>
      <c r="U21" s="37"/>
      <c r="V21" s="37"/>
      <c r="W21" s="37"/>
      <c r="X21" s="37"/>
      <c r="Y21" s="37"/>
      <c r="Z21" s="37"/>
    </row>
    <row r="22" spans="1:26" ht="15.75" customHeight="1" x14ac:dyDescent="0.25">
      <c r="A22" s="37"/>
      <c r="B22" s="37"/>
      <c r="C22" s="37"/>
      <c r="D22" s="37" t="s">
        <v>54</v>
      </c>
      <c r="E22" s="37"/>
      <c r="F22" s="50">
        <v>4693</v>
      </c>
      <c r="G22" s="50">
        <v>3664</v>
      </c>
      <c r="H22" s="50">
        <v>4636</v>
      </c>
      <c r="I22" s="50"/>
      <c r="J22" s="50">
        <v>4829</v>
      </c>
      <c r="K22" s="50">
        <v>3951</v>
      </c>
      <c r="L22" s="50">
        <v>4837</v>
      </c>
      <c r="M22" s="50">
        <v>6041</v>
      </c>
      <c r="N22" s="50">
        <v>4261</v>
      </c>
      <c r="O22" s="50">
        <v>7181</v>
      </c>
      <c r="P22" s="50">
        <v>4355</v>
      </c>
      <c r="Q22" s="50">
        <v>3688</v>
      </c>
      <c r="R22" s="50">
        <v>4326</v>
      </c>
      <c r="S22" s="51">
        <v>56462</v>
      </c>
      <c r="U22" s="37"/>
      <c r="V22" s="37"/>
      <c r="W22" s="37"/>
      <c r="X22" s="37"/>
      <c r="Y22" s="37"/>
      <c r="Z22" s="37"/>
    </row>
    <row r="23" spans="1:26" ht="15.75" customHeight="1" x14ac:dyDescent="0.25">
      <c r="A23" s="37"/>
      <c r="B23" s="37"/>
      <c r="C23" s="37"/>
      <c r="D23" s="37" t="s">
        <v>24</v>
      </c>
      <c r="E23" s="37"/>
      <c r="F23" s="50">
        <v>0</v>
      </c>
      <c r="G23" s="50">
        <v>19</v>
      </c>
      <c r="H23" s="50">
        <v>302</v>
      </c>
      <c r="I23" s="50"/>
      <c r="J23" s="50">
        <v>155</v>
      </c>
      <c r="K23" s="50">
        <v>776.71</v>
      </c>
      <c r="L23" s="50">
        <v>13</v>
      </c>
      <c r="M23" s="50">
        <v>7</v>
      </c>
      <c r="N23" s="50">
        <v>73</v>
      </c>
      <c r="O23" s="50">
        <v>11</v>
      </c>
      <c r="P23" s="50">
        <v>604.91</v>
      </c>
      <c r="Q23" s="50">
        <v>21</v>
      </c>
      <c r="R23" s="50">
        <v>11</v>
      </c>
      <c r="S23" s="37">
        <v>1993.62</v>
      </c>
      <c r="U23" s="37"/>
      <c r="V23" s="37"/>
      <c r="W23" s="37"/>
      <c r="X23" s="37"/>
      <c r="Y23" s="37"/>
      <c r="Z23" s="37"/>
    </row>
    <row r="24" spans="1:26" ht="15.75" customHeight="1" x14ac:dyDescent="0.25">
      <c r="A24" s="37"/>
      <c r="B24" s="37"/>
      <c r="C24" s="37"/>
      <c r="D24" s="37" t="s">
        <v>25</v>
      </c>
      <c r="E24" s="37"/>
      <c r="F24" s="50">
        <v>433</v>
      </c>
      <c r="G24" s="50">
        <v>593</v>
      </c>
      <c r="H24" s="50">
        <v>986</v>
      </c>
      <c r="I24" s="50"/>
      <c r="J24" s="50">
        <v>932</v>
      </c>
      <c r="K24" s="50">
        <v>569</v>
      </c>
      <c r="L24" s="50">
        <v>537</v>
      </c>
      <c r="M24" s="50">
        <v>1054</v>
      </c>
      <c r="N24" s="50">
        <v>771</v>
      </c>
      <c r="O24" s="50">
        <v>997</v>
      </c>
      <c r="P24" s="50">
        <v>344</v>
      </c>
      <c r="Q24" s="50">
        <v>551</v>
      </c>
      <c r="R24" s="50">
        <v>256</v>
      </c>
      <c r="S24" s="37">
        <v>8023</v>
      </c>
      <c r="U24" s="37"/>
      <c r="V24" s="37"/>
      <c r="W24" s="37"/>
      <c r="X24" s="37"/>
      <c r="Y24" s="37"/>
      <c r="Z24" s="37"/>
    </row>
    <row r="25" spans="1:26" ht="15.75" customHeight="1" x14ac:dyDescent="0.25">
      <c r="A25" s="37"/>
      <c r="B25" s="37"/>
      <c r="C25" s="37"/>
      <c r="D25" s="37" t="s">
        <v>62</v>
      </c>
      <c r="E25" s="37"/>
      <c r="F25" s="50">
        <v>8739</v>
      </c>
      <c r="G25" s="50">
        <v>5159</v>
      </c>
      <c r="H25" s="50">
        <v>5015</v>
      </c>
      <c r="I25" s="50"/>
      <c r="J25" s="50">
        <v>4143</v>
      </c>
      <c r="K25" s="50">
        <v>21876</v>
      </c>
      <c r="L25" s="50">
        <v>5330</v>
      </c>
      <c r="M25" s="50">
        <v>5850</v>
      </c>
      <c r="N25" s="50">
        <v>8476</v>
      </c>
      <c r="O25" s="50">
        <v>-142</v>
      </c>
      <c r="P25" s="50">
        <v>9396</v>
      </c>
      <c r="Q25" s="50">
        <v>-577</v>
      </c>
      <c r="R25" s="50">
        <v>2867</v>
      </c>
      <c r="S25" s="37">
        <v>76132</v>
      </c>
      <c r="U25" s="37"/>
      <c r="V25" s="37"/>
      <c r="W25" s="37"/>
      <c r="X25" s="37"/>
      <c r="Y25" s="37"/>
      <c r="Z25" s="37"/>
    </row>
    <row r="26" spans="1:26" ht="15.75" customHeight="1" x14ac:dyDescent="0.25">
      <c r="A26" s="37"/>
      <c r="B26" s="37"/>
      <c r="C26" s="37"/>
      <c r="D26" s="37" t="s">
        <v>26</v>
      </c>
      <c r="E26" s="37"/>
      <c r="F26" s="50">
        <v>0</v>
      </c>
      <c r="G26" s="50">
        <v>66</v>
      </c>
      <c r="H26" s="50">
        <v>1</v>
      </c>
      <c r="I26" s="50"/>
      <c r="J26" s="50">
        <v>176</v>
      </c>
      <c r="K26" s="50">
        <v>0</v>
      </c>
      <c r="L26" s="50">
        <v>8</v>
      </c>
      <c r="M26" s="50">
        <v>0</v>
      </c>
      <c r="N26" s="50">
        <v>2</v>
      </c>
      <c r="O26" s="50">
        <v>0</v>
      </c>
      <c r="P26" s="50">
        <v>0</v>
      </c>
      <c r="Q26" s="50">
        <v>8</v>
      </c>
      <c r="R26" s="50">
        <v>181</v>
      </c>
      <c r="S26" s="37">
        <v>442</v>
      </c>
      <c r="U26" s="37"/>
      <c r="V26" s="37"/>
      <c r="W26" s="37"/>
      <c r="X26" s="37"/>
      <c r="Y26" s="37"/>
      <c r="Z26" s="37"/>
    </row>
    <row r="27" spans="1:26" ht="15.75" customHeight="1" x14ac:dyDescent="0.25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U27" s="37"/>
      <c r="V27" s="37"/>
      <c r="W27" s="37"/>
      <c r="X27" s="37"/>
      <c r="Y27" s="37"/>
      <c r="Z27" s="37"/>
    </row>
    <row r="28" spans="1:26" ht="15.75" customHeight="1" x14ac:dyDescent="0.25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U28" s="37"/>
      <c r="V28" s="37"/>
      <c r="W28" s="37"/>
      <c r="X28" s="37"/>
      <c r="Y28" s="37"/>
      <c r="Z28" s="37"/>
    </row>
    <row r="29" spans="1:26" ht="15.75" customHeight="1" x14ac:dyDescent="0.25">
      <c r="A29" s="37"/>
      <c r="B29" s="39" t="s">
        <v>27</v>
      </c>
      <c r="C29" s="39"/>
      <c r="D29" s="39"/>
      <c r="E29" s="39"/>
      <c r="F29" s="49">
        <v>398785</v>
      </c>
      <c r="G29" s="49">
        <v>423211</v>
      </c>
      <c r="H29" s="49">
        <v>622200</v>
      </c>
      <c r="I29" s="52" t="s">
        <v>70</v>
      </c>
      <c r="J29" s="49">
        <v>454756</v>
      </c>
      <c r="K29" s="49">
        <v>578241</v>
      </c>
      <c r="L29" s="49">
        <v>548518</v>
      </c>
      <c r="M29" s="49">
        <v>491193</v>
      </c>
      <c r="N29" s="49">
        <v>437283</v>
      </c>
      <c r="O29" s="49">
        <v>529796</v>
      </c>
      <c r="P29" s="49">
        <v>430560</v>
      </c>
      <c r="Q29" s="49">
        <v>498305</v>
      </c>
      <c r="R29" s="49">
        <v>617426</v>
      </c>
      <c r="S29" s="49">
        <v>6030274</v>
      </c>
      <c r="U29" s="37"/>
      <c r="V29" s="37"/>
      <c r="W29" s="37"/>
      <c r="X29" s="37"/>
      <c r="Y29" s="37"/>
      <c r="Z29" s="37"/>
    </row>
    <row r="30" spans="1:26" ht="15.75" customHeight="1" x14ac:dyDescent="0.25">
      <c r="A30" s="37"/>
      <c r="B30" s="37"/>
      <c r="C30" s="37"/>
      <c r="D30" s="37" t="s">
        <v>28</v>
      </c>
      <c r="E30" s="37"/>
      <c r="F30" s="37">
        <v>86112</v>
      </c>
      <c r="G30" s="37">
        <v>102016</v>
      </c>
      <c r="H30" s="37">
        <v>101127</v>
      </c>
      <c r="I30" s="37"/>
      <c r="J30" s="37">
        <v>93115</v>
      </c>
      <c r="K30" s="37">
        <v>93409</v>
      </c>
      <c r="L30" s="37">
        <v>95520</v>
      </c>
      <c r="M30" s="37">
        <v>98346</v>
      </c>
      <c r="N30" s="37">
        <v>103085</v>
      </c>
      <c r="O30" s="37">
        <v>95467</v>
      </c>
      <c r="P30" s="37">
        <v>94914</v>
      </c>
      <c r="Q30" s="37">
        <v>93979</v>
      </c>
      <c r="R30" s="37">
        <v>94822</v>
      </c>
      <c r="S30" s="37">
        <v>1151912</v>
      </c>
      <c r="U30" s="37"/>
      <c r="V30" s="37"/>
      <c r="W30" s="37"/>
      <c r="X30" s="37"/>
      <c r="Y30" s="37"/>
      <c r="Z30" s="37"/>
    </row>
    <row r="31" spans="1:26" ht="15.75" customHeight="1" x14ac:dyDescent="0.25">
      <c r="A31" s="37"/>
      <c r="B31" s="37"/>
      <c r="C31" s="37"/>
      <c r="D31" s="37" t="s">
        <v>29</v>
      </c>
      <c r="E31" s="37"/>
      <c r="F31" s="37">
        <v>104435</v>
      </c>
      <c r="G31" s="37">
        <v>48445</v>
      </c>
      <c r="H31" s="37">
        <v>88121</v>
      </c>
      <c r="I31" s="37"/>
      <c r="J31" s="37">
        <v>46446</v>
      </c>
      <c r="K31" s="37">
        <v>69954</v>
      </c>
      <c r="L31" s="37">
        <v>57420</v>
      </c>
      <c r="M31" s="37">
        <v>106219</v>
      </c>
      <c r="N31" s="37">
        <v>63105</v>
      </c>
      <c r="O31" s="37">
        <v>81704</v>
      </c>
      <c r="P31" s="37">
        <v>57367</v>
      </c>
      <c r="Q31" s="37">
        <v>77289</v>
      </c>
      <c r="R31" s="37">
        <v>63634</v>
      </c>
      <c r="S31" s="37">
        <v>864139</v>
      </c>
      <c r="U31" s="37"/>
      <c r="V31" s="37"/>
      <c r="W31" s="37"/>
      <c r="X31" s="37"/>
      <c r="Y31" s="37"/>
      <c r="Z31" s="37"/>
    </row>
    <row r="32" spans="1:26" ht="15.75" customHeight="1" x14ac:dyDescent="0.25">
      <c r="A32" s="37"/>
      <c r="B32" s="37"/>
      <c r="C32" s="37"/>
      <c r="D32" s="37" t="s">
        <v>30</v>
      </c>
      <c r="E32" s="37"/>
      <c r="F32" s="37">
        <v>0</v>
      </c>
      <c r="G32" s="37">
        <v>9171</v>
      </c>
      <c r="H32" s="37">
        <v>2088</v>
      </c>
      <c r="I32" s="37"/>
      <c r="J32" s="37">
        <v>6198</v>
      </c>
      <c r="K32" s="37">
        <v>2094</v>
      </c>
      <c r="L32" s="37">
        <v>6479</v>
      </c>
      <c r="M32" s="37">
        <v>5147</v>
      </c>
      <c r="N32" s="37">
        <v>3548</v>
      </c>
      <c r="O32" s="37">
        <v>2175</v>
      </c>
      <c r="P32" s="37">
        <v>7889</v>
      </c>
      <c r="Q32" s="37">
        <v>1132</v>
      </c>
      <c r="R32" s="37">
        <v>4528</v>
      </c>
      <c r="S32" s="37">
        <v>50449</v>
      </c>
      <c r="T32" s="53"/>
      <c r="U32" s="37"/>
      <c r="V32" s="37"/>
      <c r="W32" s="37"/>
      <c r="X32" s="37"/>
      <c r="Y32" s="37"/>
      <c r="Z32" s="37"/>
    </row>
    <row r="33" spans="1:26" ht="17.25" customHeight="1" x14ac:dyDescent="0.25">
      <c r="A33" s="37"/>
      <c r="B33" s="37"/>
      <c r="C33" s="37"/>
      <c r="D33" s="37" t="s">
        <v>74</v>
      </c>
      <c r="E33" s="37"/>
      <c r="F33" s="37">
        <v>4385</v>
      </c>
      <c r="G33" s="37">
        <v>7574</v>
      </c>
      <c r="H33" s="37">
        <v>10630</v>
      </c>
      <c r="I33" s="37"/>
      <c r="J33" s="37">
        <v>14544</v>
      </c>
      <c r="K33" s="37">
        <v>7916</v>
      </c>
      <c r="L33" s="37">
        <v>7449</v>
      </c>
      <c r="M33" s="37">
        <v>9735</v>
      </c>
      <c r="N33" s="37">
        <v>8018</v>
      </c>
      <c r="O33" s="37">
        <v>9203</v>
      </c>
      <c r="P33" s="37">
        <v>8920</v>
      </c>
      <c r="Q33" s="37">
        <v>7472</v>
      </c>
      <c r="R33" s="37">
        <v>11078</v>
      </c>
      <c r="S33" s="37">
        <v>106924</v>
      </c>
      <c r="U33" s="37"/>
      <c r="V33" s="37"/>
      <c r="W33" s="37"/>
      <c r="X33" s="37"/>
      <c r="Y33" s="37"/>
      <c r="Z33" s="37"/>
    </row>
    <row r="34" spans="1:26" ht="15.75" customHeight="1" x14ac:dyDescent="0.25">
      <c r="A34" s="37"/>
      <c r="B34" s="37"/>
      <c r="C34" s="37"/>
      <c r="D34" s="37" t="s">
        <v>31</v>
      </c>
      <c r="E34" s="37"/>
      <c r="F34" s="37">
        <v>0</v>
      </c>
      <c r="G34" s="37">
        <v>48</v>
      </c>
      <c r="H34" s="37">
        <v>811</v>
      </c>
      <c r="I34" s="37"/>
      <c r="J34" s="37">
        <v>31</v>
      </c>
      <c r="K34" s="37">
        <v>74</v>
      </c>
      <c r="L34" s="37">
        <v>69</v>
      </c>
      <c r="M34" s="37">
        <v>0</v>
      </c>
      <c r="N34" s="37">
        <v>134</v>
      </c>
      <c r="O34" s="37">
        <v>84</v>
      </c>
      <c r="P34" s="37">
        <v>121</v>
      </c>
      <c r="Q34" s="37">
        <v>0</v>
      </c>
      <c r="R34" s="37">
        <v>65</v>
      </c>
      <c r="S34" s="37">
        <v>1437</v>
      </c>
      <c r="U34" s="37"/>
      <c r="V34" s="37"/>
      <c r="W34" s="37"/>
      <c r="X34" s="37"/>
      <c r="Y34" s="37"/>
      <c r="Z34" s="37"/>
    </row>
    <row r="35" spans="1:26" ht="15.75" customHeight="1" x14ac:dyDescent="0.25">
      <c r="A35" s="37"/>
      <c r="B35" s="37"/>
      <c r="C35" s="37"/>
      <c r="D35" s="37" t="s">
        <v>32</v>
      </c>
      <c r="E35" s="37"/>
      <c r="F35" s="37">
        <v>0</v>
      </c>
      <c r="G35" s="37">
        <v>0</v>
      </c>
      <c r="H35" s="37">
        <v>555</v>
      </c>
      <c r="I35" s="37"/>
      <c r="J35" s="37">
        <v>763</v>
      </c>
      <c r="K35" s="37">
        <v>549</v>
      </c>
      <c r="L35" s="37">
        <v>406</v>
      </c>
      <c r="M35" s="37">
        <v>0</v>
      </c>
      <c r="N35" s="37">
        <v>0</v>
      </c>
      <c r="O35" s="37">
        <v>553</v>
      </c>
      <c r="P35" s="37">
        <v>167</v>
      </c>
      <c r="Q35" s="37">
        <v>41</v>
      </c>
      <c r="R35" s="37">
        <v>36</v>
      </c>
      <c r="S35" s="37">
        <v>3070</v>
      </c>
      <c r="U35" s="37"/>
      <c r="V35" s="37"/>
      <c r="W35" s="37"/>
      <c r="X35" s="37"/>
      <c r="Y35" s="37"/>
      <c r="Z35" s="37"/>
    </row>
    <row r="36" spans="1:26" ht="15.75" customHeight="1" x14ac:dyDescent="0.25">
      <c r="A36" s="37"/>
      <c r="B36" s="37"/>
      <c r="C36" s="37"/>
      <c r="D36" s="37" t="s">
        <v>75</v>
      </c>
      <c r="E36" s="37"/>
      <c r="F36" s="37">
        <v>203853</v>
      </c>
      <c r="G36" s="37">
        <v>255957</v>
      </c>
      <c r="H36" s="37">
        <v>418868</v>
      </c>
      <c r="I36" s="37"/>
      <c r="J36" s="37">
        <v>293659</v>
      </c>
      <c r="K36" s="37">
        <v>404245</v>
      </c>
      <c r="L36" s="37">
        <v>381175</v>
      </c>
      <c r="M36" s="37">
        <v>271746</v>
      </c>
      <c r="N36" s="37">
        <v>259393</v>
      </c>
      <c r="O36" s="37">
        <v>340610</v>
      </c>
      <c r="P36" s="37">
        <v>261182</v>
      </c>
      <c r="Q36" s="37">
        <v>318392</v>
      </c>
      <c r="R36" s="37">
        <v>443263</v>
      </c>
      <c r="S36" s="37">
        <v>3852343</v>
      </c>
      <c r="U36" s="37"/>
      <c r="V36" s="37"/>
      <c r="W36" s="37"/>
      <c r="X36" s="37"/>
      <c r="Y36" s="37"/>
      <c r="Z36" s="37"/>
    </row>
    <row r="37" spans="1:26" ht="15.75" customHeight="1" x14ac:dyDescent="0.25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U37" s="37"/>
      <c r="V37" s="37"/>
      <c r="W37" s="37"/>
      <c r="X37" s="37"/>
      <c r="Y37" s="37"/>
      <c r="Z37" s="37"/>
    </row>
    <row r="38" spans="1:26" ht="15.75" customHeight="1" x14ac:dyDescent="0.25">
      <c r="A38" s="37"/>
      <c r="B38" s="39" t="s">
        <v>33</v>
      </c>
      <c r="C38" s="39"/>
      <c r="D38" s="39"/>
      <c r="E38" s="39"/>
      <c r="F38" s="39">
        <v>68361.87</v>
      </c>
      <c r="G38" s="39">
        <v>-171443.62999999998</v>
      </c>
      <c r="H38" s="39">
        <v>-342947.41000000003</v>
      </c>
      <c r="I38" s="52" t="s">
        <v>70</v>
      </c>
      <c r="J38" s="39">
        <v>67299.112000000023</v>
      </c>
      <c r="K38" s="39">
        <v>-145151.11555116001</v>
      </c>
      <c r="L38" s="39">
        <v>-241611.6248467</v>
      </c>
      <c r="M38" s="39">
        <v>-18916.955938320025</v>
      </c>
      <c r="N38" s="39">
        <v>-84768.274999999907</v>
      </c>
      <c r="O38" s="39">
        <v>-248080.185</v>
      </c>
      <c r="P38" s="39">
        <v>11154.259999999951</v>
      </c>
      <c r="Q38" s="39">
        <v>-157564.95000000007</v>
      </c>
      <c r="R38" s="39">
        <v>-313173</v>
      </c>
      <c r="S38" s="39">
        <v>-1576841.9043361805</v>
      </c>
      <c r="U38" s="37"/>
      <c r="V38" s="37"/>
      <c r="W38" s="37"/>
      <c r="X38" s="37"/>
      <c r="Y38" s="37"/>
      <c r="Z38" s="37"/>
    </row>
    <row r="39" spans="1:26" ht="15.75" customHeight="1" x14ac:dyDescent="0.25">
      <c r="A39" s="37"/>
      <c r="B39" s="37"/>
      <c r="C39" s="37"/>
      <c r="D39" s="37"/>
      <c r="E39" s="37"/>
      <c r="F39" s="37"/>
      <c r="G39" s="42"/>
      <c r="H39" s="42"/>
      <c r="I39" s="42"/>
      <c r="J39" s="42"/>
      <c r="K39" s="42"/>
      <c r="L39" s="37"/>
      <c r="M39" s="37"/>
      <c r="N39" s="37"/>
      <c r="O39" s="37"/>
      <c r="P39" s="37"/>
      <c r="Q39" s="37"/>
      <c r="R39" s="37"/>
      <c r="S39" s="37"/>
      <c r="U39" s="37"/>
      <c r="V39" s="37"/>
      <c r="W39" s="37"/>
      <c r="X39" s="37"/>
      <c r="Y39" s="37"/>
      <c r="Z39" s="37"/>
    </row>
    <row r="40" spans="1:26" ht="15.75" customHeight="1" x14ac:dyDescent="0.25">
      <c r="A40" s="37"/>
      <c r="B40" s="39" t="s">
        <v>34</v>
      </c>
      <c r="C40" s="39"/>
      <c r="D40" s="39"/>
      <c r="E40" s="39"/>
      <c r="F40" s="49">
        <v>211066</v>
      </c>
      <c r="G40" s="49">
        <v>335842</v>
      </c>
      <c r="H40" s="49">
        <v>97212</v>
      </c>
      <c r="I40" s="49"/>
      <c r="J40" s="49">
        <v>155608</v>
      </c>
      <c r="K40" s="49">
        <v>182212</v>
      </c>
      <c r="L40" s="49">
        <v>256270</v>
      </c>
      <c r="M40" s="49">
        <v>164271</v>
      </c>
      <c r="N40" s="49">
        <v>-11544</v>
      </c>
      <c r="O40" s="49">
        <v>-117275</v>
      </c>
      <c r="P40" s="49">
        <v>79389</v>
      </c>
      <c r="Q40" s="49">
        <v>100853</v>
      </c>
      <c r="R40" s="49">
        <v>42449</v>
      </c>
      <c r="S40" s="49">
        <v>1496353</v>
      </c>
      <c r="U40" s="37"/>
      <c r="V40" s="37"/>
      <c r="W40" s="37"/>
      <c r="X40" s="37"/>
      <c r="Y40" s="37"/>
      <c r="Z40" s="37"/>
    </row>
    <row r="41" spans="1:26" ht="15.75" customHeight="1" x14ac:dyDescent="0.25">
      <c r="A41" s="37"/>
      <c r="B41" s="37"/>
      <c r="C41" s="37" t="s">
        <v>35</v>
      </c>
      <c r="D41" s="37"/>
      <c r="E41" s="37"/>
      <c r="F41" s="54">
        <v>59183</v>
      </c>
      <c r="G41" s="54">
        <v>195163</v>
      </c>
      <c r="H41" s="54">
        <v>-60450</v>
      </c>
      <c r="I41" s="54"/>
      <c r="J41" s="54">
        <v>-59275</v>
      </c>
      <c r="K41" s="54">
        <v>-3846</v>
      </c>
      <c r="L41" s="54">
        <v>88745</v>
      </c>
      <c r="M41" s="54">
        <v>11909</v>
      </c>
      <c r="N41" s="54">
        <v>6584</v>
      </c>
      <c r="O41" s="54">
        <v>102</v>
      </c>
      <c r="P41" s="54">
        <v>8826</v>
      </c>
      <c r="Q41" s="54">
        <v>23030</v>
      </c>
      <c r="R41" s="54">
        <v>49603</v>
      </c>
      <c r="S41" s="54">
        <v>319574</v>
      </c>
      <c r="U41" s="37"/>
      <c r="V41" s="37"/>
      <c r="W41" s="37"/>
      <c r="X41" s="37"/>
      <c r="Y41" s="37"/>
      <c r="Z41" s="37"/>
    </row>
    <row r="42" spans="1:26" ht="15.75" customHeight="1" x14ac:dyDescent="0.25">
      <c r="A42" s="37"/>
      <c r="B42" s="37"/>
      <c r="C42" s="37"/>
      <c r="D42" s="37" t="s">
        <v>36</v>
      </c>
      <c r="E42" s="37"/>
      <c r="F42" s="37">
        <v>60941</v>
      </c>
      <c r="G42" s="37">
        <v>198751</v>
      </c>
      <c r="H42" s="37">
        <v>34650</v>
      </c>
      <c r="I42" s="37"/>
      <c r="J42" s="37">
        <v>5350</v>
      </c>
      <c r="K42" s="37">
        <v>6247</v>
      </c>
      <c r="L42" s="37">
        <v>96412</v>
      </c>
      <c r="M42" s="37">
        <v>13567</v>
      </c>
      <c r="N42" s="37">
        <v>10314</v>
      </c>
      <c r="O42" s="37">
        <v>8365</v>
      </c>
      <c r="P42" s="54">
        <v>14756</v>
      </c>
      <c r="Q42" s="54">
        <v>35533</v>
      </c>
      <c r="R42" s="54">
        <v>58357</v>
      </c>
      <c r="S42" s="37">
        <v>543243</v>
      </c>
      <c r="U42" s="37"/>
      <c r="V42" s="37"/>
      <c r="W42" s="37"/>
      <c r="X42" s="37"/>
      <c r="Y42" s="37"/>
      <c r="Z42" s="37"/>
    </row>
    <row r="43" spans="1:26" ht="15.75" customHeight="1" x14ac:dyDescent="0.25">
      <c r="A43" s="37"/>
      <c r="B43" s="37"/>
      <c r="C43" s="37"/>
      <c r="D43" s="37" t="s">
        <v>37</v>
      </c>
      <c r="E43" s="37"/>
      <c r="F43" s="37">
        <v>1758</v>
      </c>
      <c r="G43" s="37">
        <v>3588</v>
      </c>
      <c r="H43" s="37">
        <v>95100</v>
      </c>
      <c r="I43" s="37"/>
      <c r="J43" s="37">
        <v>64625</v>
      </c>
      <c r="K43" s="37">
        <v>10093</v>
      </c>
      <c r="L43" s="37">
        <v>7667</v>
      </c>
      <c r="M43" s="37">
        <v>1658</v>
      </c>
      <c r="N43" s="37">
        <v>3730</v>
      </c>
      <c r="O43" s="37">
        <v>8263</v>
      </c>
      <c r="P43" s="37">
        <v>5930</v>
      </c>
      <c r="Q43" s="37">
        <v>12503</v>
      </c>
      <c r="R43" s="37">
        <v>8754</v>
      </c>
      <c r="S43" s="37">
        <v>223669</v>
      </c>
      <c r="U43" s="37"/>
      <c r="V43" s="37"/>
      <c r="W43" s="37"/>
      <c r="X43" s="37"/>
      <c r="Y43" s="37"/>
      <c r="Z43" s="37"/>
    </row>
    <row r="44" spans="1:26" ht="15.75" customHeight="1" x14ac:dyDescent="0.25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U44" s="37"/>
      <c r="V44" s="37"/>
      <c r="W44" s="37"/>
      <c r="X44" s="37"/>
      <c r="Y44" s="37"/>
      <c r="Z44" s="37"/>
    </row>
    <row r="45" spans="1:26" ht="15.75" customHeight="1" x14ac:dyDescent="0.25">
      <c r="A45" s="37"/>
      <c r="B45" s="37"/>
      <c r="C45" s="37" t="s">
        <v>38</v>
      </c>
      <c r="D45" s="37"/>
      <c r="E45" s="37"/>
      <c r="F45" s="49">
        <v>151883</v>
      </c>
      <c r="G45" s="49">
        <v>140679</v>
      </c>
      <c r="H45" s="49">
        <v>157662</v>
      </c>
      <c r="I45" s="49"/>
      <c r="J45" s="49">
        <v>214883</v>
      </c>
      <c r="K45" s="49">
        <v>186058</v>
      </c>
      <c r="L45" s="49">
        <v>167525</v>
      </c>
      <c r="M45" s="49">
        <v>152362</v>
      </c>
      <c r="N45" s="49">
        <v>-18128</v>
      </c>
      <c r="O45" s="49">
        <v>-117377</v>
      </c>
      <c r="P45" s="49">
        <v>70563</v>
      </c>
      <c r="Q45" s="49">
        <v>77823</v>
      </c>
      <c r="R45" s="49">
        <v>-7154</v>
      </c>
      <c r="S45" s="49">
        <v>1176779</v>
      </c>
      <c r="U45" s="37"/>
      <c r="V45" s="37"/>
      <c r="W45" s="37"/>
      <c r="X45" s="37"/>
      <c r="Y45" s="37"/>
      <c r="Z45" s="37"/>
    </row>
    <row r="46" spans="1:26" ht="15.75" customHeight="1" x14ac:dyDescent="0.25">
      <c r="A46" s="37"/>
      <c r="B46" s="37"/>
      <c r="C46" s="37"/>
      <c r="D46" s="37" t="s">
        <v>39</v>
      </c>
      <c r="E46" s="37"/>
      <c r="F46" s="37">
        <v>152200</v>
      </c>
      <c r="G46" s="37">
        <v>140800</v>
      </c>
      <c r="H46" s="37">
        <v>157800</v>
      </c>
      <c r="I46" s="37"/>
      <c r="J46" s="37">
        <v>384710</v>
      </c>
      <c r="K46" s="37">
        <v>186058</v>
      </c>
      <c r="L46" s="37">
        <v>167579</v>
      </c>
      <c r="M46" s="37">
        <v>152540</v>
      </c>
      <c r="N46" s="37">
        <v>498213</v>
      </c>
      <c r="O46" s="37">
        <v>120548</v>
      </c>
      <c r="P46" s="37">
        <v>73050</v>
      </c>
      <c r="Q46" s="37">
        <v>78000</v>
      </c>
      <c r="R46" s="37">
        <v>-900</v>
      </c>
      <c r="S46" s="37">
        <v>2110598</v>
      </c>
      <c r="U46" s="37"/>
      <c r="V46" s="37"/>
      <c r="W46" s="37"/>
      <c r="X46" s="37"/>
      <c r="Y46" s="37"/>
      <c r="Z46" s="37"/>
    </row>
    <row r="47" spans="1:26" ht="15.75" customHeight="1" x14ac:dyDescent="0.25">
      <c r="A47" s="37"/>
      <c r="B47" s="37"/>
      <c r="C47" s="37"/>
      <c r="D47" s="37" t="s">
        <v>66</v>
      </c>
      <c r="E47" s="37"/>
      <c r="F47" s="37">
        <v>317</v>
      </c>
      <c r="G47" s="37">
        <v>121</v>
      </c>
      <c r="H47" s="37">
        <v>138</v>
      </c>
      <c r="I47" s="37"/>
      <c r="J47" s="37">
        <v>169827</v>
      </c>
      <c r="K47" s="37">
        <v>0</v>
      </c>
      <c r="L47" s="37">
        <v>54</v>
      </c>
      <c r="M47" s="37">
        <v>178</v>
      </c>
      <c r="N47" s="37">
        <v>516341</v>
      </c>
      <c r="O47" s="37">
        <v>237925</v>
      </c>
      <c r="P47" s="37">
        <v>2487</v>
      </c>
      <c r="Q47" s="37">
        <v>177</v>
      </c>
      <c r="R47" s="37">
        <v>6254</v>
      </c>
      <c r="S47" s="37">
        <v>933819</v>
      </c>
      <c r="U47" s="37"/>
      <c r="V47" s="37"/>
      <c r="W47" s="37"/>
      <c r="X47" s="37"/>
      <c r="Y47" s="37"/>
      <c r="Z47" s="37"/>
    </row>
    <row r="48" spans="1:26" ht="14.25" customHeight="1" x14ac:dyDescent="0.25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U48" s="37"/>
      <c r="V48" s="37"/>
      <c r="W48" s="37"/>
      <c r="X48" s="37"/>
      <c r="Y48" s="37"/>
      <c r="Z48" s="37"/>
    </row>
    <row r="49" spans="1:26" ht="16.5" customHeight="1" x14ac:dyDescent="0.25">
      <c r="A49" s="39"/>
      <c r="B49" s="39" t="s">
        <v>72</v>
      </c>
      <c r="C49" s="39"/>
      <c r="D49" s="39"/>
      <c r="E49" s="39"/>
      <c r="F49" s="39">
        <v>279427.87</v>
      </c>
      <c r="G49" s="39">
        <v>164398.37000000002</v>
      </c>
      <c r="H49" s="39">
        <v>-245735.41000000003</v>
      </c>
      <c r="I49" s="39"/>
      <c r="J49" s="39">
        <v>222907.11200000002</v>
      </c>
      <c r="K49" s="39">
        <v>37060.884448839992</v>
      </c>
      <c r="L49" s="39">
        <v>14658.375153300003</v>
      </c>
      <c r="M49" s="39">
        <v>145354.04406167998</v>
      </c>
      <c r="N49" s="39">
        <v>-96312.274999999907</v>
      </c>
      <c r="O49" s="39">
        <v>-365355.185</v>
      </c>
      <c r="P49" s="39">
        <v>90543.259999999951</v>
      </c>
      <c r="Q49" s="39">
        <v>-56711.95000000007</v>
      </c>
      <c r="R49" s="39">
        <v>-270724</v>
      </c>
      <c r="S49" s="39">
        <v>-80488.904336180072</v>
      </c>
      <c r="U49" s="39"/>
      <c r="V49" s="37"/>
      <c r="W49" s="39"/>
      <c r="X49" s="39"/>
      <c r="Y49" s="39"/>
      <c r="Z49" s="39"/>
    </row>
    <row r="50" spans="1:26" ht="15.75" customHeight="1" thickBot="1" x14ac:dyDescent="0.3">
      <c r="A50" s="55"/>
      <c r="B50" s="55"/>
      <c r="C50" s="55"/>
      <c r="D50" s="55"/>
      <c r="E50" s="55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U50" s="37"/>
      <c r="V50" s="37"/>
      <c r="W50" s="37"/>
      <c r="X50" s="37"/>
      <c r="Y50" s="37"/>
      <c r="Z50" s="37"/>
    </row>
    <row r="51" spans="1:26" ht="15.75" customHeight="1" thickTop="1" x14ac:dyDescent="0.25">
      <c r="A51" s="56" t="s">
        <v>43</v>
      </c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7"/>
      <c r="U51" s="57"/>
      <c r="V51" s="57"/>
      <c r="W51" s="57"/>
      <c r="X51" s="57"/>
      <c r="Y51" s="57"/>
      <c r="Z51" s="57"/>
    </row>
    <row r="52" spans="1:26" ht="57.75" customHeight="1" x14ac:dyDescent="0.25">
      <c r="A52" s="56"/>
      <c r="B52" s="58" t="s">
        <v>67</v>
      </c>
      <c r="C52" s="59"/>
      <c r="D52" s="59"/>
      <c r="E52" s="59"/>
      <c r="F52" s="59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57"/>
      <c r="U52" s="57"/>
      <c r="V52" s="57"/>
      <c r="W52" s="57"/>
      <c r="X52" s="57"/>
      <c r="Y52" s="57"/>
      <c r="Z52" s="57"/>
    </row>
    <row r="53" spans="1:26" ht="14.25" customHeight="1" x14ac:dyDescent="0.25">
      <c r="A53" s="61" t="s">
        <v>56</v>
      </c>
      <c r="B53" s="62" t="s">
        <v>63</v>
      </c>
      <c r="C53" s="62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57"/>
      <c r="U53" s="57"/>
      <c r="V53" s="57"/>
      <c r="W53" s="57"/>
      <c r="X53" s="57"/>
      <c r="Y53" s="57"/>
      <c r="Z53" s="57"/>
    </row>
    <row r="54" spans="1:26" ht="14.25" customHeight="1" x14ac:dyDescent="0.25">
      <c r="A54" s="61"/>
      <c r="B54" s="62" t="s">
        <v>64</v>
      </c>
      <c r="C54" s="62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57"/>
      <c r="U54" s="57"/>
      <c r="V54" s="57"/>
      <c r="W54" s="57"/>
      <c r="X54" s="57"/>
      <c r="Y54" s="57"/>
      <c r="Z54" s="57"/>
    </row>
    <row r="55" spans="1:26" ht="14.25" customHeight="1" x14ac:dyDescent="0.25">
      <c r="A55" s="63" t="s">
        <v>58</v>
      </c>
      <c r="B55" s="62" t="s">
        <v>68</v>
      </c>
      <c r="C55" s="62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57"/>
      <c r="U55" s="57"/>
      <c r="V55" s="57"/>
      <c r="W55" s="57"/>
      <c r="X55" s="57"/>
      <c r="Y55" s="57"/>
      <c r="Z55" s="57"/>
    </row>
    <row r="56" spans="1:26" ht="18.75" customHeight="1" x14ac:dyDescent="0.25">
      <c r="A56" s="64" t="s">
        <v>70</v>
      </c>
      <c r="B56" s="65" t="s">
        <v>71</v>
      </c>
      <c r="C56" s="66"/>
      <c r="D56" s="66"/>
      <c r="E56" s="67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7"/>
      <c r="U56" s="57"/>
      <c r="V56" s="57"/>
      <c r="W56" s="57"/>
      <c r="X56" s="57"/>
      <c r="Y56" s="57"/>
      <c r="Z56" s="57"/>
    </row>
    <row r="57" spans="1:26" ht="18.75" customHeight="1" x14ac:dyDescent="0.25">
      <c r="A57" s="63"/>
      <c r="B57" s="65"/>
      <c r="C57" s="66"/>
      <c r="D57" s="66"/>
      <c r="E57" s="67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7"/>
      <c r="U57" s="57"/>
      <c r="V57" s="57"/>
      <c r="W57" s="57"/>
      <c r="X57" s="57"/>
      <c r="Y57" s="57"/>
      <c r="Z57" s="57"/>
    </row>
    <row r="58" spans="1:26" ht="15.75" customHeight="1" x14ac:dyDescent="0.25">
      <c r="A58" s="68" t="s">
        <v>69</v>
      </c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57"/>
      <c r="U58" s="57"/>
      <c r="V58" s="57"/>
      <c r="W58" s="57"/>
      <c r="X58" s="57"/>
      <c r="Y58" s="57"/>
      <c r="Z58" s="57"/>
    </row>
    <row r="59" spans="1:26" ht="15.75" customHeight="1" x14ac:dyDescent="0.25">
      <c r="A59" s="56" t="s">
        <v>46</v>
      </c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7"/>
      <c r="U59" s="57"/>
      <c r="V59" s="57"/>
      <c r="W59" s="57"/>
      <c r="X59" s="57"/>
      <c r="Y59" s="57"/>
      <c r="Z59" s="57"/>
    </row>
    <row r="60" spans="1:26" ht="11.25" customHeight="1" x14ac:dyDescent="0.25">
      <c r="A60" s="70" t="s">
        <v>76</v>
      </c>
      <c r="B60" s="59"/>
      <c r="C60" s="59"/>
      <c r="D60" s="59"/>
      <c r="E60" s="59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37"/>
      <c r="U60" s="37"/>
      <c r="V60" s="71"/>
      <c r="W60" s="37"/>
      <c r="X60" s="37"/>
      <c r="Y60" s="37"/>
      <c r="Z60" s="37"/>
    </row>
    <row r="61" spans="1:26" ht="15.75" customHeight="1" x14ac:dyDescent="0.25">
      <c r="A61" s="48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U61" s="37"/>
      <c r="V61" s="37"/>
      <c r="W61" s="37"/>
      <c r="X61" s="37"/>
      <c r="Y61" s="37"/>
      <c r="Z61" s="37"/>
    </row>
    <row r="62" spans="1:26" ht="21" customHeight="1" x14ac:dyDescent="0.25">
      <c r="A62" s="51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U62" s="37"/>
      <c r="V62" s="37"/>
      <c r="W62" s="37"/>
      <c r="X62" s="37"/>
      <c r="Y62" s="37"/>
      <c r="Z62" s="37"/>
    </row>
    <row r="63" spans="1:26" ht="15.75" customHeight="1" x14ac:dyDescent="0.25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U63" s="37"/>
      <c r="V63" s="37"/>
      <c r="W63" s="37"/>
      <c r="X63" s="37"/>
      <c r="Y63" s="37"/>
      <c r="Z63" s="37"/>
    </row>
    <row r="64" spans="1:26" ht="15.75" customHeight="1" x14ac:dyDescent="0.25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U64" s="37"/>
      <c r="V64" s="37"/>
      <c r="W64" s="37"/>
      <c r="X64" s="37"/>
      <c r="Y64" s="37"/>
      <c r="Z64" s="37"/>
    </row>
    <row r="65" spans="1:26" ht="15.75" customHeight="1" x14ac:dyDescent="0.25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U65" s="37"/>
      <c r="V65" s="37"/>
      <c r="W65" s="37"/>
      <c r="X65" s="37"/>
      <c r="Y65" s="37"/>
      <c r="Z65" s="37"/>
    </row>
    <row r="66" spans="1:26" ht="15.75" customHeight="1" x14ac:dyDescent="0.25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U66" s="37"/>
      <c r="V66" s="37"/>
      <c r="W66" s="37"/>
      <c r="X66" s="37"/>
      <c r="Y66" s="37"/>
      <c r="Z66" s="37"/>
    </row>
    <row r="67" spans="1:26" ht="15.75" customHeight="1" x14ac:dyDescent="0.25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U67" s="37"/>
      <c r="V67" s="37"/>
      <c r="W67" s="37"/>
      <c r="X67" s="37"/>
      <c r="Y67" s="37"/>
      <c r="Z67" s="37"/>
    </row>
    <row r="68" spans="1:26" ht="15.75" customHeight="1" x14ac:dyDescent="0.25">
      <c r="A68" s="37"/>
      <c r="B68" s="37"/>
      <c r="C68" s="37"/>
      <c r="D68" s="37"/>
      <c r="E68" s="37"/>
      <c r="F68" s="48"/>
      <c r="G68" s="48"/>
      <c r="H68" s="48"/>
      <c r="I68" s="48"/>
      <c r="J68" s="48"/>
      <c r="K68" s="48"/>
      <c r="L68" s="37"/>
      <c r="M68" s="37"/>
      <c r="N68" s="37"/>
      <c r="O68" s="37"/>
      <c r="P68" s="37"/>
      <c r="Q68" s="37"/>
      <c r="R68" s="37"/>
      <c r="S68" s="37"/>
      <c r="U68" s="37"/>
      <c r="V68" s="37"/>
      <c r="W68" s="37"/>
      <c r="X68" s="37"/>
      <c r="Y68" s="37"/>
      <c r="Z68" s="37"/>
    </row>
    <row r="69" spans="1:26" ht="15.75" customHeight="1" x14ac:dyDescent="0.25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U69" s="37"/>
      <c r="V69" s="37"/>
      <c r="W69" s="37"/>
      <c r="X69" s="37"/>
      <c r="Y69" s="37"/>
      <c r="Z69" s="37"/>
    </row>
    <row r="70" spans="1:26" ht="15.75" customHeight="1" x14ac:dyDescent="0.25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U70" s="37"/>
      <c r="V70" s="37"/>
      <c r="W70" s="37"/>
      <c r="X70" s="37"/>
      <c r="Y70" s="37"/>
      <c r="Z70" s="37"/>
    </row>
    <row r="71" spans="1:26" ht="15.75" customHeight="1" x14ac:dyDescent="0.25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U71" s="37"/>
      <c r="V71" s="37"/>
      <c r="W71" s="37"/>
      <c r="X71" s="37"/>
      <c r="Y71" s="37"/>
      <c r="Z71" s="37"/>
    </row>
    <row r="72" spans="1:26" ht="15.75" customHeight="1" x14ac:dyDescent="0.25">
      <c r="A72" s="37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U72" s="37"/>
      <c r="V72" s="37"/>
      <c r="W72" s="37"/>
      <c r="X72" s="37"/>
      <c r="Y72" s="37"/>
      <c r="Z72" s="37"/>
    </row>
    <row r="73" spans="1:26" ht="15.75" customHeight="1" x14ac:dyDescent="0.25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U73" s="37"/>
      <c r="V73" s="37"/>
      <c r="W73" s="37"/>
      <c r="X73" s="37"/>
      <c r="Y73" s="37"/>
      <c r="Z73" s="37"/>
    </row>
    <row r="74" spans="1:26" ht="15.75" customHeight="1" x14ac:dyDescent="0.25">
      <c r="A74" s="37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U74" s="37"/>
      <c r="V74" s="37"/>
      <c r="W74" s="37"/>
      <c r="X74" s="37"/>
      <c r="Y74" s="37"/>
      <c r="Z74" s="37"/>
    </row>
    <row r="75" spans="1:26" ht="15.75" customHeight="1" x14ac:dyDescent="0.25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U75" s="37"/>
      <c r="V75" s="37"/>
      <c r="W75" s="37"/>
      <c r="X75" s="37"/>
      <c r="Y75" s="37"/>
      <c r="Z75" s="37"/>
    </row>
    <row r="76" spans="1:26" ht="15.75" customHeight="1" x14ac:dyDescent="0.25">
      <c r="A76" s="37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U76" s="37"/>
      <c r="V76" s="37"/>
      <c r="W76" s="37"/>
      <c r="X76" s="37"/>
      <c r="Y76" s="37"/>
      <c r="Z76" s="37"/>
    </row>
    <row r="77" spans="1:26" ht="15.75" customHeight="1" x14ac:dyDescent="0.25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U77" s="37"/>
      <c r="V77" s="37"/>
      <c r="W77" s="37"/>
      <c r="X77" s="37"/>
      <c r="Y77" s="37"/>
      <c r="Z77" s="37"/>
    </row>
    <row r="78" spans="1:26" ht="15.75" customHeight="1" x14ac:dyDescent="0.25">
      <c r="A78" s="37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U78" s="37"/>
      <c r="V78" s="37"/>
      <c r="W78" s="37"/>
      <c r="X78" s="37"/>
      <c r="Y78" s="37"/>
      <c r="Z78" s="37"/>
    </row>
    <row r="79" spans="1:26" ht="15.75" customHeight="1" x14ac:dyDescent="0.25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U79" s="37"/>
      <c r="V79" s="37"/>
      <c r="W79" s="37"/>
      <c r="X79" s="37"/>
      <c r="Y79" s="37"/>
      <c r="Z79" s="37"/>
    </row>
    <row r="80" spans="1:26" ht="15.75" customHeight="1" x14ac:dyDescent="0.25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U80" s="37"/>
      <c r="V80" s="37"/>
      <c r="W80" s="37"/>
      <c r="X80" s="37"/>
      <c r="Y80" s="37"/>
      <c r="Z80" s="37"/>
    </row>
    <row r="81" spans="1:26" ht="15.75" customHeight="1" x14ac:dyDescent="0.25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U81" s="37"/>
      <c r="V81" s="37"/>
      <c r="W81" s="37"/>
      <c r="X81" s="37"/>
      <c r="Y81" s="37"/>
      <c r="Z81" s="37"/>
    </row>
    <row r="82" spans="1:26" ht="15.75" customHeight="1" x14ac:dyDescent="0.25">
      <c r="A82" s="37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U82" s="37"/>
      <c r="V82" s="37"/>
      <c r="W82" s="37"/>
      <c r="X82" s="37"/>
      <c r="Y82" s="37"/>
      <c r="Z82" s="37"/>
    </row>
    <row r="83" spans="1:26" ht="15.75" customHeight="1" x14ac:dyDescent="0.25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U83" s="37"/>
      <c r="V83" s="37"/>
      <c r="W83" s="37"/>
      <c r="X83" s="37"/>
      <c r="Y83" s="37"/>
      <c r="Z83" s="37"/>
    </row>
    <row r="84" spans="1:26" ht="15.75" customHeight="1" x14ac:dyDescent="0.25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U84" s="37"/>
      <c r="V84" s="37"/>
      <c r="W84" s="37"/>
      <c r="X84" s="37"/>
      <c r="Y84" s="37"/>
      <c r="Z84" s="37"/>
    </row>
    <row r="85" spans="1:26" ht="15.75" customHeight="1" x14ac:dyDescent="0.25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U85" s="37"/>
      <c r="V85" s="37"/>
      <c r="W85" s="37"/>
      <c r="X85" s="37"/>
      <c r="Y85" s="37"/>
      <c r="Z85" s="37"/>
    </row>
    <row r="86" spans="1:26" ht="15.75" customHeight="1" x14ac:dyDescent="0.25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U86" s="37"/>
      <c r="V86" s="37"/>
      <c r="W86" s="37"/>
      <c r="X86" s="37"/>
      <c r="Y86" s="37"/>
      <c r="Z86" s="37"/>
    </row>
    <row r="87" spans="1:26" ht="15.75" customHeight="1" x14ac:dyDescent="0.25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U87" s="37"/>
      <c r="V87" s="37"/>
      <c r="W87" s="37"/>
      <c r="X87" s="37"/>
      <c r="Y87" s="37"/>
      <c r="Z87" s="37"/>
    </row>
    <row r="88" spans="1:26" ht="15.75" customHeight="1" x14ac:dyDescent="0.25">
      <c r="A88" s="37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U88" s="37"/>
      <c r="V88" s="37"/>
      <c r="W88" s="37"/>
      <c r="X88" s="37"/>
      <c r="Y88" s="37"/>
      <c r="Z88" s="37"/>
    </row>
    <row r="89" spans="1:26" ht="15.75" customHeight="1" x14ac:dyDescent="0.25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U89" s="37"/>
      <c r="V89" s="37"/>
      <c r="W89" s="37"/>
      <c r="X89" s="37"/>
      <c r="Y89" s="37"/>
      <c r="Z89" s="37"/>
    </row>
    <row r="90" spans="1:26" ht="15.75" customHeight="1" x14ac:dyDescent="0.25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U90" s="37"/>
      <c r="V90" s="37"/>
      <c r="W90" s="37"/>
      <c r="X90" s="37"/>
      <c r="Y90" s="37"/>
      <c r="Z90" s="37"/>
    </row>
    <row r="91" spans="1:26" ht="15.75" customHeight="1" x14ac:dyDescent="0.25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U91" s="37"/>
      <c r="V91" s="37"/>
      <c r="W91" s="37"/>
      <c r="X91" s="37"/>
      <c r="Y91" s="37"/>
      <c r="Z91" s="37"/>
    </row>
    <row r="92" spans="1:26" ht="15.75" customHeight="1" x14ac:dyDescent="0.25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U92" s="37"/>
      <c r="V92" s="37"/>
      <c r="W92" s="37"/>
      <c r="X92" s="37"/>
      <c r="Y92" s="37"/>
      <c r="Z92" s="37"/>
    </row>
    <row r="93" spans="1:26" ht="15.75" customHeight="1" x14ac:dyDescent="0.25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U93" s="37"/>
      <c r="V93" s="37"/>
      <c r="W93" s="37"/>
      <c r="X93" s="37"/>
      <c r="Y93" s="37"/>
      <c r="Z93" s="37"/>
    </row>
    <row r="94" spans="1:26" ht="15.75" customHeight="1" x14ac:dyDescent="0.25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U94" s="37"/>
      <c r="V94" s="37"/>
      <c r="W94" s="37"/>
      <c r="X94" s="37"/>
      <c r="Y94" s="37"/>
      <c r="Z94" s="37"/>
    </row>
    <row r="95" spans="1:26" ht="15.75" customHeight="1" x14ac:dyDescent="0.25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U95" s="37"/>
      <c r="V95" s="37"/>
      <c r="W95" s="37"/>
      <c r="X95" s="37"/>
      <c r="Y95" s="37"/>
      <c r="Z95" s="37"/>
    </row>
    <row r="96" spans="1:26" ht="15.75" customHeight="1" x14ac:dyDescent="0.25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U96" s="37"/>
      <c r="V96" s="37"/>
      <c r="W96" s="37"/>
      <c r="X96" s="37"/>
      <c r="Y96" s="37"/>
      <c r="Z96" s="37"/>
    </row>
    <row r="97" spans="1:26" ht="15.75" customHeight="1" x14ac:dyDescent="0.25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U97" s="37"/>
      <c r="V97" s="37"/>
      <c r="W97" s="37"/>
      <c r="X97" s="37"/>
      <c r="Y97" s="37"/>
      <c r="Z97" s="37"/>
    </row>
    <row r="98" spans="1:26" ht="15.75" customHeight="1" x14ac:dyDescent="0.25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U98" s="37"/>
      <c r="V98" s="37"/>
      <c r="W98" s="37"/>
      <c r="X98" s="37"/>
      <c r="Y98" s="37"/>
      <c r="Z98" s="37"/>
    </row>
    <row r="99" spans="1:26" ht="15.75" customHeight="1" x14ac:dyDescent="0.25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U99" s="37"/>
      <c r="V99" s="37"/>
      <c r="W99" s="37"/>
      <c r="X99" s="37"/>
      <c r="Y99" s="37"/>
      <c r="Z99" s="37"/>
    </row>
    <row r="100" spans="1:26" ht="15.75" customHeight="1" x14ac:dyDescent="0.25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U100" s="37"/>
      <c r="V100" s="37"/>
      <c r="W100" s="37"/>
      <c r="X100" s="37"/>
      <c r="Y100" s="37"/>
      <c r="Z100" s="37"/>
    </row>
    <row r="101" spans="1:26" ht="15.75" customHeight="1" x14ac:dyDescent="0.25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U101" s="37"/>
      <c r="V101" s="37"/>
      <c r="W101" s="37"/>
      <c r="X101" s="37"/>
      <c r="Y101" s="37"/>
      <c r="Z101" s="37"/>
    </row>
    <row r="102" spans="1:26" ht="15.75" customHeight="1" x14ac:dyDescent="0.25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U102" s="37"/>
      <c r="V102" s="37"/>
      <c r="W102" s="37"/>
      <c r="X102" s="37"/>
      <c r="Y102" s="37"/>
      <c r="Z102" s="37"/>
    </row>
    <row r="103" spans="1:26" ht="15.75" customHeight="1" x14ac:dyDescent="0.25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U103" s="37"/>
      <c r="V103" s="37"/>
      <c r="W103" s="37"/>
      <c r="X103" s="37"/>
      <c r="Y103" s="37"/>
      <c r="Z103" s="37"/>
    </row>
    <row r="104" spans="1:26" ht="15.75" customHeight="1" x14ac:dyDescent="0.25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U104" s="37"/>
      <c r="V104" s="37"/>
      <c r="W104" s="37"/>
      <c r="X104" s="37"/>
      <c r="Y104" s="37"/>
      <c r="Z104" s="37"/>
    </row>
    <row r="105" spans="1:26" ht="15.75" customHeight="1" x14ac:dyDescent="0.25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U105" s="37"/>
      <c r="V105" s="37"/>
      <c r="W105" s="37"/>
      <c r="X105" s="37"/>
      <c r="Y105" s="37"/>
      <c r="Z105" s="37"/>
    </row>
    <row r="106" spans="1:26" ht="15.75" customHeight="1" x14ac:dyDescent="0.25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U106" s="37"/>
      <c r="V106" s="37"/>
      <c r="W106" s="37"/>
      <c r="X106" s="37"/>
      <c r="Y106" s="37"/>
      <c r="Z106" s="37"/>
    </row>
    <row r="107" spans="1:26" ht="15.75" customHeight="1" x14ac:dyDescent="0.25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U107" s="37"/>
      <c r="V107" s="37"/>
      <c r="W107" s="37"/>
      <c r="X107" s="37"/>
      <c r="Y107" s="37"/>
      <c r="Z107" s="37"/>
    </row>
    <row r="108" spans="1:26" ht="15.75" customHeight="1" x14ac:dyDescent="0.25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U108" s="37"/>
      <c r="V108" s="37"/>
      <c r="W108" s="37"/>
      <c r="X108" s="37"/>
      <c r="Y108" s="37"/>
      <c r="Z108" s="37"/>
    </row>
    <row r="109" spans="1:26" ht="15.75" customHeight="1" x14ac:dyDescent="0.25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U109" s="37"/>
      <c r="V109" s="37"/>
      <c r="W109" s="37"/>
      <c r="X109" s="37"/>
      <c r="Y109" s="37"/>
      <c r="Z109" s="37"/>
    </row>
    <row r="110" spans="1:26" ht="15.75" customHeight="1" x14ac:dyDescent="0.25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U110" s="37"/>
      <c r="V110" s="37"/>
      <c r="W110" s="37"/>
      <c r="X110" s="37"/>
      <c r="Y110" s="37"/>
      <c r="Z110" s="37"/>
    </row>
    <row r="111" spans="1:26" ht="15.75" customHeight="1" x14ac:dyDescent="0.25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U111" s="37"/>
      <c r="V111" s="37"/>
      <c r="W111" s="37"/>
      <c r="X111" s="37"/>
      <c r="Y111" s="37"/>
      <c r="Z111" s="37"/>
    </row>
    <row r="112" spans="1:26" ht="15.75" customHeight="1" x14ac:dyDescent="0.25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U112" s="37"/>
      <c r="V112" s="37"/>
      <c r="W112" s="37"/>
      <c r="X112" s="37"/>
      <c r="Y112" s="37"/>
      <c r="Z112" s="37"/>
    </row>
    <row r="113" spans="1:26" ht="15.75" customHeight="1" x14ac:dyDescent="0.25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U113" s="37"/>
      <c r="V113" s="37"/>
      <c r="W113" s="37"/>
      <c r="X113" s="37"/>
      <c r="Y113" s="37"/>
      <c r="Z113" s="37"/>
    </row>
    <row r="114" spans="1:26" ht="15.75" customHeight="1" x14ac:dyDescent="0.25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U114" s="37"/>
      <c r="V114" s="37"/>
      <c r="W114" s="37"/>
      <c r="X114" s="37"/>
      <c r="Y114" s="37"/>
      <c r="Z114" s="37"/>
    </row>
    <row r="115" spans="1:26" ht="15.75" customHeight="1" x14ac:dyDescent="0.2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U115" s="37"/>
      <c r="V115" s="37"/>
      <c r="W115" s="37"/>
      <c r="X115" s="37"/>
      <c r="Y115" s="37"/>
      <c r="Z115" s="37"/>
    </row>
    <row r="116" spans="1:26" ht="15.75" customHeight="1" x14ac:dyDescent="0.25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U116" s="37"/>
      <c r="V116" s="37"/>
      <c r="W116" s="37"/>
      <c r="X116" s="37"/>
      <c r="Y116" s="37"/>
      <c r="Z116" s="37"/>
    </row>
    <row r="117" spans="1:26" ht="15.75" customHeight="1" x14ac:dyDescent="0.25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U117" s="37"/>
      <c r="V117" s="37"/>
      <c r="W117" s="37"/>
      <c r="X117" s="37"/>
      <c r="Y117" s="37"/>
      <c r="Z117" s="37"/>
    </row>
    <row r="118" spans="1:26" ht="15.75" customHeight="1" x14ac:dyDescent="0.25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U118" s="37"/>
      <c r="V118" s="37"/>
      <c r="W118" s="37"/>
      <c r="X118" s="37"/>
      <c r="Y118" s="37"/>
      <c r="Z118" s="37"/>
    </row>
    <row r="119" spans="1:26" ht="15.75" customHeight="1" x14ac:dyDescent="0.25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U119" s="37"/>
      <c r="V119" s="37"/>
      <c r="W119" s="37"/>
      <c r="X119" s="37"/>
      <c r="Y119" s="37"/>
      <c r="Z119" s="37"/>
    </row>
    <row r="120" spans="1:26" ht="15.75" customHeight="1" x14ac:dyDescent="0.25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U120" s="37"/>
      <c r="V120" s="37"/>
      <c r="W120" s="37"/>
      <c r="X120" s="37"/>
      <c r="Y120" s="37"/>
      <c r="Z120" s="37"/>
    </row>
    <row r="121" spans="1:26" ht="15.75" customHeight="1" x14ac:dyDescent="0.25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U121" s="37"/>
      <c r="V121" s="37"/>
      <c r="W121" s="37"/>
      <c r="X121" s="37"/>
      <c r="Y121" s="37"/>
      <c r="Z121" s="37"/>
    </row>
    <row r="122" spans="1:26" ht="15.75" customHeight="1" x14ac:dyDescent="0.25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U122" s="37"/>
      <c r="V122" s="37"/>
      <c r="W122" s="37"/>
      <c r="X122" s="37"/>
      <c r="Y122" s="37"/>
      <c r="Z122" s="37"/>
    </row>
    <row r="123" spans="1:26" ht="15.75" customHeight="1" x14ac:dyDescent="0.25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U123" s="37"/>
      <c r="V123" s="37"/>
      <c r="W123" s="37"/>
      <c r="X123" s="37"/>
      <c r="Y123" s="37"/>
      <c r="Z123" s="37"/>
    </row>
    <row r="124" spans="1:26" ht="15.75" customHeight="1" x14ac:dyDescent="0.25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U124" s="37"/>
      <c r="V124" s="37"/>
      <c r="W124" s="37"/>
      <c r="X124" s="37"/>
      <c r="Y124" s="37"/>
      <c r="Z124" s="37"/>
    </row>
    <row r="125" spans="1:26" ht="15.75" customHeight="1" x14ac:dyDescent="0.25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U125" s="37"/>
      <c r="V125" s="37"/>
      <c r="W125" s="37"/>
      <c r="X125" s="37"/>
      <c r="Y125" s="37"/>
      <c r="Z125" s="37"/>
    </row>
    <row r="126" spans="1:26" ht="15.75" customHeight="1" x14ac:dyDescent="0.25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U126" s="37"/>
      <c r="V126" s="37"/>
      <c r="W126" s="37"/>
      <c r="X126" s="37"/>
      <c r="Y126" s="37"/>
      <c r="Z126" s="37"/>
    </row>
    <row r="127" spans="1:26" ht="15.75" customHeight="1" x14ac:dyDescent="0.25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U127" s="37"/>
      <c r="V127" s="37"/>
      <c r="W127" s="37"/>
      <c r="X127" s="37"/>
      <c r="Y127" s="37"/>
      <c r="Z127" s="37"/>
    </row>
    <row r="128" spans="1:26" ht="15.75" customHeight="1" x14ac:dyDescent="0.25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U128" s="37"/>
      <c r="V128" s="37"/>
      <c r="W128" s="37"/>
      <c r="X128" s="37"/>
      <c r="Y128" s="37"/>
      <c r="Z128" s="37"/>
    </row>
    <row r="129" spans="1:26" ht="15.75" customHeight="1" x14ac:dyDescent="0.25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U129" s="37"/>
      <c r="V129" s="37"/>
      <c r="W129" s="37"/>
      <c r="X129" s="37"/>
      <c r="Y129" s="37"/>
      <c r="Z129" s="37"/>
    </row>
    <row r="130" spans="1:26" ht="15.75" customHeight="1" x14ac:dyDescent="0.25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U130" s="37"/>
      <c r="V130" s="37"/>
      <c r="W130" s="37"/>
      <c r="X130" s="37"/>
      <c r="Y130" s="37"/>
      <c r="Z130" s="37"/>
    </row>
    <row r="131" spans="1:26" ht="15.75" customHeight="1" x14ac:dyDescent="0.25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U131" s="37"/>
      <c r="V131" s="37"/>
      <c r="W131" s="37"/>
      <c r="X131" s="37"/>
      <c r="Y131" s="37"/>
      <c r="Z131" s="37"/>
    </row>
    <row r="132" spans="1:26" ht="15.75" customHeight="1" x14ac:dyDescent="0.25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U132" s="37"/>
      <c r="V132" s="37"/>
      <c r="W132" s="37"/>
      <c r="X132" s="37"/>
      <c r="Y132" s="37"/>
      <c r="Z132" s="37"/>
    </row>
    <row r="133" spans="1:26" ht="15.75" customHeight="1" x14ac:dyDescent="0.25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U133" s="37"/>
      <c r="V133" s="37"/>
      <c r="W133" s="37"/>
      <c r="X133" s="37"/>
      <c r="Y133" s="37"/>
      <c r="Z133" s="37"/>
    </row>
    <row r="134" spans="1:26" ht="15.75" customHeight="1" x14ac:dyDescent="0.25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U134" s="37"/>
      <c r="V134" s="37"/>
      <c r="W134" s="37"/>
      <c r="X134" s="37"/>
      <c r="Y134" s="37"/>
      <c r="Z134" s="37"/>
    </row>
    <row r="135" spans="1:26" ht="15.75" customHeight="1" x14ac:dyDescent="0.25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U135" s="37"/>
      <c r="V135" s="37"/>
      <c r="W135" s="37"/>
      <c r="X135" s="37"/>
      <c r="Y135" s="37"/>
      <c r="Z135" s="37"/>
    </row>
    <row r="136" spans="1:26" ht="15.75" customHeight="1" x14ac:dyDescent="0.25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U136" s="37"/>
      <c r="V136" s="37"/>
      <c r="W136" s="37"/>
      <c r="X136" s="37"/>
      <c r="Y136" s="37"/>
      <c r="Z136" s="37"/>
    </row>
    <row r="137" spans="1:26" ht="15.75" customHeight="1" x14ac:dyDescent="0.25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U137" s="37"/>
      <c r="V137" s="37"/>
      <c r="W137" s="37"/>
      <c r="X137" s="37"/>
      <c r="Y137" s="37"/>
      <c r="Z137" s="37"/>
    </row>
    <row r="138" spans="1:26" ht="15.75" customHeight="1" x14ac:dyDescent="0.25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U138" s="37"/>
      <c r="V138" s="37"/>
      <c r="W138" s="37"/>
      <c r="X138" s="37"/>
      <c r="Y138" s="37"/>
      <c r="Z138" s="37"/>
    </row>
    <row r="139" spans="1:26" ht="15.75" customHeight="1" x14ac:dyDescent="0.25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U139" s="37"/>
      <c r="V139" s="37"/>
      <c r="W139" s="37"/>
      <c r="X139" s="37"/>
      <c r="Y139" s="37"/>
      <c r="Z139" s="37"/>
    </row>
    <row r="140" spans="1:26" ht="15.75" customHeight="1" x14ac:dyDescent="0.25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U140" s="37"/>
      <c r="V140" s="37"/>
      <c r="W140" s="37"/>
      <c r="X140" s="37"/>
      <c r="Y140" s="37"/>
      <c r="Z140" s="37"/>
    </row>
    <row r="141" spans="1:26" ht="15.75" customHeight="1" x14ac:dyDescent="0.25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U141" s="37"/>
      <c r="V141" s="37"/>
      <c r="W141" s="37"/>
      <c r="X141" s="37"/>
      <c r="Y141" s="37"/>
      <c r="Z141" s="37"/>
    </row>
    <row r="142" spans="1:26" ht="15.75" customHeight="1" x14ac:dyDescent="0.25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U142" s="37"/>
      <c r="V142" s="37"/>
      <c r="W142" s="37"/>
      <c r="X142" s="37"/>
      <c r="Y142" s="37"/>
      <c r="Z142" s="37"/>
    </row>
    <row r="143" spans="1:26" ht="15.75" customHeight="1" x14ac:dyDescent="0.25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U143" s="37"/>
      <c r="V143" s="37"/>
      <c r="W143" s="37"/>
      <c r="X143" s="37"/>
      <c r="Y143" s="37"/>
      <c r="Z143" s="37"/>
    </row>
    <row r="144" spans="1:26" ht="15.75" customHeight="1" x14ac:dyDescent="0.25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U144" s="37"/>
      <c r="V144" s="37"/>
      <c r="W144" s="37"/>
      <c r="X144" s="37"/>
      <c r="Y144" s="37"/>
      <c r="Z144" s="37"/>
    </row>
    <row r="145" spans="1:26" ht="15.75" customHeight="1" x14ac:dyDescent="0.25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U145" s="37"/>
      <c r="V145" s="37"/>
      <c r="W145" s="37"/>
      <c r="X145" s="37"/>
      <c r="Y145" s="37"/>
      <c r="Z145" s="37"/>
    </row>
    <row r="146" spans="1:26" ht="15.75" customHeight="1" x14ac:dyDescent="0.25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U146" s="37"/>
      <c r="V146" s="37"/>
      <c r="W146" s="37"/>
      <c r="X146" s="37"/>
      <c r="Y146" s="37"/>
      <c r="Z146" s="37"/>
    </row>
    <row r="147" spans="1:26" ht="15.75" customHeight="1" x14ac:dyDescent="0.25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U147" s="37"/>
      <c r="V147" s="37"/>
      <c r="W147" s="37"/>
      <c r="X147" s="37"/>
      <c r="Y147" s="37"/>
      <c r="Z147" s="37"/>
    </row>
    <row r="148" spans="1:26" ht="15.75" customHeight="1" x14ac:dyDescent="0.25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U148" s="37"/>
      <c r="V148" s="37"/>
      <c r="W148" s="37"/>
      <c r="X148" s="37"/>
      <c r="Y148" s="37"/>
      <c r="Z148" s="37"/>
    </row>
    <row r="149" spans="1:26" ht="15.75" customHeight="1" x14ac:dyDescent="0.25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U149" s="37"/>
      <c r="V149" s="37"/>
      <c r="W149" s="37"/>
      <c r="X149" s="37"/>
      <c r="Y149" s="37"/>
      <c r="Z149" s="37"/>
    </row>
    <row r="150" spans="1:26" ht="15.75" customHeight="1" x14ac:dyDescent="0.25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U150" s="37"/>
      <c r="V150" s="37"/>
      <c r="W150" s="37"/>
      <c r="X150" s="37"/>
      <c r="Y150" s="37"/>
      <c r="Z150" s="37"/>
    </row>
    <row r="151" spans="1:26" ht="15.75" customHeight="1" x14ac:dyDescent="0.25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U151" s="37"/>
      <c r="V151" s="37"/>
      <c r="W151" s="37"/>
      <c r="X151" s="37"/>
      <c r="Y151" s="37"/>
      <c r="Z151" s="37"/>
    </row>
    <row r="152" spans="1:26" ht="15.75" customHeight="1" x14ac:dyDescent="0.25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U152" s="37"/>
      <c r="V152" s="37"/>
      <c r="W152" s="37"/>
      <c r="X152" s="37"/>
      <c r="Y152" s="37"/>
      <c r="Z152" s="37"/>
    </row>
    <row r="153" spans="1:26" ht="15.75" customHeight="1" x14ac:dyDescent="0.25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U153" s="37"/>
      <c r="V153" s="37"/>
      <c r="W153" s="37"/>
      <c r="X153" s="37"/>
      <c r="Y153" s="37"/>
      <c r="Z153" s="37"/>
    </row>
    <row r="154" spans="1:26" ht="15.75" customHeight="1" x14ac:dyDescent="0.25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U154" s="37"/>
      <c r="V154" s="37"/>
      <c r="W154" s="37"/>
      <c r="X154" s="37"/>
      <c r="Y154" s="37"/>
      <c r="Z154" s="37"/>
    </row>
    <row r="155" spans="1:26" ht="15.75" customHeight="1" x14ac:dyDescent="0.25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U155" s="37"/>
      <c r="V155" s="37"/>
      <c r="W155" s="37"/>
      <c r="X155" s="37"/>
      <c r="Y155" s="37"/>
      <c r="Z155" s="37"/>
    </row>
    <row r="156" spans="1:26" ht="15.75" customHeight="1" x14ac:dyDescent="0.25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U156" s="37"/>
      <c r="V156" s="37"/>
      <c r="W156" s="37"/>
      <c r="X156" s="37"/>
      <c r="Y156" s="37"/>
      <c r="Z156" s="37"/>
    </row>
    <row r="157" spans="1:26" ht="15.75" customHeight="1" x14ac:dyDescent="0.25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U157" s="37"/>
      <c r="V157" s="37"/>
      <c r="W157" s="37"/>
      <c r="X157" s="37"/>
      <c r="Y157" s="37"/>
      <c r="Z157" s="37"/>
    </row>
    <row r="158" spans="1:26" ht="15.75" customHeight="1" x14ac:dyDescent="0.25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U158" s="37"/>
      <c r="V158" s="37"/>
      <c r="W158" s="37"/>
      <c r="X158" s="37"/>
      <c r="Y158" s="37"/>
      <c r="Z158" s="37"/>
    </row>
    <row r="159" spans="1:26" ht="15.75" customHeight="1" x14ac:dyDescent="0.25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U159" s="37"/>
      <c r="V159" s="37"/>
      <c r="W159" s="37"/>
      <c r="X159" s="37"/>
      <c r="Y159" s="37"/>
      <c r="Z159" s="37"/>
    </row>
    <row r="160" spans="1:26" ht="15.75" customHeight="1" x14ac:dyDescent="0.25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U160" s="37"/>
      <c r="V160" s="37"/>
      <c r="W160" s="37"/>
      <c r="X160" s="37"/>
      <c r="Y160" s="37"/>
      <c r="Z160" s="37"/>
    </row>
    <row r="161" spans="1:26" ht="15.75" customHeight="1" x14ac:dyDescent="0.25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U161" s="37"/>
      <c r="V161" s="37"/>
      <c r="W161" s="37"/>
      <c r="X161" s="37"/>
      <c r="Y161" s="37"/>
      <c r="Z161" s="37"/>
    </row>
    <row r="162" spans="1:26" ht="15.75" customHeight="1" x14ac:dyDescent="0.25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U162" s="37"/>
      <c r="V162" s="37"/>
      <c r="W162" s="37"/>
      <c r="X162" s="37"/>
      <c r="Y162" s="37"/>
      <c r="Z162" s="37"/>
    </row>
    <row r="163" spans="1:26" ht="15.75" customHeight="1" x14ac:dyDescent="0.25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U163" s="37"/>
      <c r="V163" s="37"/>
      <c r="W163" s="37"/>
      <c r="X163" s="37"/>
      <c r="Y163" s="37"/>
      <c r="Z163" s="37"/>
    </row>
    <row r="164" spans="1:26" ht="15.75" customHeight="1" x14ac:dyDescent="0.25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U164" s="37"/>
      <c r="V164" s="37"/>
      <c r="W164" s="37"/>
      <c r="X164" s="37"/>
      <c r="Y164" s="37"/>
      <c r="Z164" s="37"/>
    </row>
    <row r="165" spans="1:26" ht="15.75" customHeight="1" x14ac:dyDescent="0.25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U165" s="37"/>
      <c r="V165" s="37"/>
      <c r="W165" s="37"/>
      <c r="X165" s="37"/>
      <c r="Y165" s="37"/>
      <c r="Z165" s="37"/>
    </row>
    <row r="166" spans="1:26" ht="15.75" customHeight="1" x14ac:dyDescent="0.25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U166" s="37"/>
      <c r="V166" s="37"/>
      <c r="W166" s="37"/>
      <c r="X166" s="37"/>
      <c r="Y166" s="37"/>
      <c r="Z166" s="37"/>
    </row>
    <row r="167" spans="1:26" ht="15.75" customHeight="1" x14ac:dyDescent="0.25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U167" s="37"/>
      <c r="V167" s="37"/>
      <c r="W167" s="37"/>
      <c r="X167" s="37"/>
      <c r="Y167" s="37"/>
      <c r="Z167" s="37"/>
    </row>
    <row r="168" spans="1:26" ht="15.75" customHeight="1" x14ac:dyDescent="0.25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U168" s="37"/>
      <c r="V168" s="37"/>
      <c r="W168" s="37"/>
      <c r="X168" s="37"/>
      <c r="Y168" s="37"/>
      <c r="Z168" s="37"/>
    </row>
    <row r="169" spans="1:26" ht="15.75" customHeight="1" x14ac:dyDescent="0.25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U169" s="37"/>
      <c r="V169" s="37"/>
      <c r="W169" s="37"/>
      <c r="X169" s="37"/>
      <c r="Y169" s="37"/>
      <c r="Z169" s="37"/>
    </row>
    <row r="170" spans="1:26" ht="15.75" customHeight="1" x14ac:dyDescent="0.25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U170" s="37"/>
      <c r="V170" s="37"/>
      <c r="W170" s="37"/>
      <c r="X170" s="37"/>
      <c r="Y170" s="37"/>
      <c r="Z170" s="37"/>
    </row>
    <row r="171" spans="1:26" ht="15.75" customHeight="1" x14ac:dyDescent="0.25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U171" s="37"/>
      <c r="V171" s="37"/>
      <c r="W171" s="37"/>
      <c r="X171" s="37"/>
      <c r="Y171" s="37"/>
      <c r="Z171" s="37"/>
    </row>
    <row r="172" spans="1:26" ht="15.75" customHeight="1" x14ac:dyDescent="0.25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U172" s="37"/>
      <c r="V172" s="37"/>
      <c r="W172" s="37"/>
      <c r="X172" s="37"/>
      <c r="Y172" s="37"/>
      <c r="Z172" s="37"/>
    </row>
    <row r="173" spans="1:26" ht="15.75" customHeight="1" x14ac:dyDescent="0.25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U173" s="37"/>
      <c r="V173" s="37"/>
      <c r="W173" s="37"/>
      <c r="X173" s="37"/>
      <c r="Y173" s="37"/>
      <c r="Z173" s="37"/>
    </row>
    <row r="174" spans="1:26" ht="15.75" customHeight="1" x14ac:dyDescent="0.25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U174" s="37"/>
      <c r="V174" s="37"/>
      <c r="W174" s="37"/>
      <c r="X174" s="37"/>
      <c r="Y174" s="37"/>
      <c r="Z174" s="37"/>
    </row>
    <row r="175" spans="1:26" ht="15.75" customHeight="1" x14ac:dyDescent="0.25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U175" s="37"/>
      <c r="V175" s="37"/>
      <c r="W175" s="37"/>
      <c r="X175" s="37"/>
      <c r="Y175" s="37"/>
      <c r="Z175" s="37"/>
    </row>
    <row r="176" spans="1:26" ht="15.75" customHeight="1" x14ac:dyDescent="0.25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U176" s="37"/>
      <c r="V176" s="37"/>
      <c r="W176" s="37"/>
      <c r="X176" s="37"/>
      <c r="Y176" s="37"/>
      <c r="Z176" s="37"/>
    </row>
    <row r="177" spans="1:26" ht="15.75" customHeight="1" x14ac:dyDescent="0.25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U177" s="37"/>
      <c r="V177" s="37"/>
      <c r="W177" s="37"/>
      <c r="X177" s="37"/>
      <c r="Y177" s="37"/>
      <c r="Z177" s="37"/>
    </row>
    <row r="178" spans="1:26" ht="15.75" customHeight="1" x14ac:dyDescent="0.25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U178" s="37"/>
      <c r="V178" s="37"/>
      <c r="W178" s="37"/>
      <c r="X178" s="37"/>
      <c r="Y178" s="37"/>
      <c r="Z178" s="37"/>
    </row>
    <row r="179" spans="1:26" ht="15.75" customHeight="1" x14ac:dyDescent="0.25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U179" s="37"/>
      <c r="V179" s="37"/>
      <c r="W179" s="37"/>
      <c r="X179" s="37"/>
      <c r="Y179" s="37"/>
      <c r="Z179" s="37"/>
    </row>
    <row r="180" spans="1:26" ht="15.75" customHeight="1" x14ac:dyDescent="0.25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U180" s="37"/>
      <c r="V180" s="37"/>
      <c r="W180" s="37"/>
      <c r="X180" s="37"/>
      <c r="Y180" s="37"/>
      <c r="Z180" s="37"/>
    </row>
    <row r="181" spans="1:26" ht="15.75" customHeight="1" x14ac:dyDescent="0.25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U181" s="37"/>
      <c r="V181" s="37"/>
      <c r="W181" s="37"/>
      <c r="X181" s="37"/>
      <c r="Y181" s="37"/>
      <c r="Z181" s="37"/>
    </row>
    <row r="182" spans="1:26" ht="15.75" customHeight="1" x14ac:dyDescent="0.25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U182" s="37"/>
      <c r="V182" s="37"/>
      <c r="W182" s="37"/>
      <c r="X182" s="37"/>
      <c r="Y182" s="37"/>
      <c r="Z182" s="37"/>
    </row>
    <row r="183" spans="1:26" ht="15.75" customHeight="1" x14ac:dyDescent="0.25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U183" s="37"/>
      <c r="V183" s="37"/>
      <c r="W183" s="37"/>
      <c r="X183" s="37"/>
      <c r="Y183" s="37"/>
      <c r="Z183" s="37"/>
    </row>
    <row r="184" spans="1:26" ht="15.75" customHeight="1" x14ac:dyDescent="0.25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U184" s="37"/>
      <c r="V184" s="37"/>
      <c r="W184" s="37"/>
      <c r="X184" s="37"/>
      <c r="Y184" s="37"/>
      <c r="Z184" s="37"/>
    </row>
    <row r="185" spans="1:26" ht="15.75" customHeight="1" x14ac:dyDescent="0.25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U185" s="37"/>
      <c r="V185" s="37"/>
      <c r="W185" s="37"/>
      <c r="X185" s="37"/>
      <c r="Y185" s="37"/>
      <c r="Z185" s="37"/>
    </row>
    <row r="186" spans="1:26" ht="15.75" customHeight="1" x14ac:dyDescent="0.25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U186" s="37"/>
      <c r="V186" s="37"/>
      <c r="W186" s="37"/>
      <c r="X186" s="37"/>
      <c r="Y186" s="37"/>
      <c r="Z186" s="37"/>
    </row>
    <row r="187" spans="1:26" ht="15.75" customHeight="1" x14ac:dyDescent="0.25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U187" s="37"/>
      <c r="V187" s="37"/>
      <c r="W187" s="37"/>
      <c r="X187" s="37"/>
      <c r="Y187" s="37"/>
      <c r="Z187" s="37"/>
    </row>
    <row r="188" spans="1:26" ht="15.75" customHeight="1" x14ac:dyDescent="0.25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U188" s="37"/>
      <c r="V188" s="37"/>
      <c r="W188" s="37"/>
      <c r="X188" s="37"/>
      <c r="Y188" s="37"/>
      <c r="Z188" s="37"/>
    </row>
    <row r="189" spans="1:26" ht="15.75" customHeight="1" x14ac:dyDescent="0.25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U189" s="37"/>
      <c r="V189" s="37"/>
      <c r="W189" s="37"/>
      <c r="X189" s="37"/>
      <c r="Y189" s="37"/>
      <c r="Z189" s="37"/>
    </row>
    <row r="190" spans="1:26" ht="15.75" customHeight="1" x14ac:dyDescent="0.25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U190" s="37"/>
      <c r="V190" s="37"/>
      <c r="W190" s="37"/>
      <c r="X190" s="37"/>
      <c r="Y190" s="37"/>
      <c r="Z190" s="37"/>
    </row>
    <row r="191" spans="1:26" ht="15.75" customHeight="1" x14ac:dyDescent="0.25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U191" s="37"/>
      <c r="V191" s="37"/>
      <c r="W191" s="37"/>
      <c r="X191" s="37"/>
      <c r="Y191" s="37"/>
      <c r="Z191" s="37"/>
    </row>
    <row r="192" spans="1:26" ht="15.75" customHeight="1" x14ac:dyDescent="0.25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U192" s="37"/>
      <c r="V192" s="37"/>
      <c r="W192" s="37"/>
      <c r="X192" s="37"/>
      <c r="Y192" s="37"/>
      <c r="Z192" s="37"/>
    </row>
    <row r="193" spans="1:26" ht="15.75" customHeight="1" x14ac:dyDescent="0.25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U193" s="37"/>
      <c r="V193" s="37"/>
      <c r="W193" s="37"/>
      <c r="X193" s="37"/>
      <c r="Y193" s="37"/>
      <c r="Z193" s="37"/>
    </row>
    <row r="194" spans="1:26" ht="15.75" customHeight="1" x14ac:dyDescent="0.25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U194" s="37"/>
      <c r="V194" s="37"/>
      <c r="W194" s="37"/>
      <c r="X194" s="37"/>
      <c r="Y194" s="37"/>
      <c r="Z194" s="37"/>
    </row>
    <row r="195" spans="1:26" ht="15.75" customHeight="1" x14ac:dyDescent="0.25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U195" s="37"/>
      <c r="V195" s="37"/>
      <c r="W195" s="37"/>
      <c r="X195" s="37"/>
      <c r="Y195" s="37"/>
      <c r="Z195" s="37"/>
    </row>
    <row r="196" spans="1:26" ht="15.75" customHeight="1" x14ac:dyDescent="0.25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U196" s="37"/>
      <c r="V196" s="37"/>
      <c r="W196" s="37"/>
      <c r="X196" s="37"/>
      <c r="Y196" s="37"/>
      <c r="Z196" s="37"/>
    </row>
    <row r="197" spans="1:26" ht="15.75" customHeight="1" x14ac:dyDescent="0.25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U197" s="37"/>
      <c r="V197" s="37"/>
      <c r="W197" s="37"/>
      <c r="X197" s="37"/>
      <c r="Y197" s="37"/>
      <c r="Z197" s="37"/>
    </row>
    <row r="198" spans="1:26" ht="15.75" customHeight="1" x14ac:dyDescent="0.25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U198" s="37"/>
      <c r="V198" s="37"/>
      <c r="W198" s="37"/>
      <c r="X198" s="37"/>
      <c r="Y198" s="37"/>
      <c r="Z198" s="37"/>
    </row>
    <row r="199" spans="1:26" ht="15.75" customHeight="1" x14ac:dyDescent="0.25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U199" s="37"/>
      <c r="V199" s="37"/>
      <c r="W199" s="37"/>
      <c r="X199" s="37"/>
      <c r="Y199" s="37"/>
      <c r="Z199" s="37"/>
    </row>
    <row r="200" spans="1:26" ht="15.75" customHeight="1" x14ac:dyDescent="0.25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U200" s="37"/>
      <c r="V200" s="37"/>
      <c r="W200" s="37"/>
      <c r="X200" s="37"/>
      <c r="Y200" s="37"/>
      <c r="Z200" s="37"/>
    </row>
    <row r="201" spans="1:26" ht="15.75" customHeight="1" x14ac:dyDescent="0.25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U201" s="37"/>
      <c r="V201" s="37"/>
      <c r="W201" s="37"/>
      <c r="X201" s="37"/>
      <c r="Y201" s="37"/>
      <c r="Z201" s="37"/>
    </row>
    <row r="202" spans="1:26" ht="15.75" customHeight="1" x14ac:dyDescent="0.25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U202" s="37"/>
      <c r="V202" s="37"/>
      <c r="W202" s="37"/>
      <c r="X202" s="37"/>
      <c r="Y202" s="37"/>
      <c r="Z202" s="37"/>
    </row>
    <row r="203" spans="1:26" ht="15.75" customHeight="1" x14ac:dyDescent="0.25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U203" s="37"/>
      <c r="V203" s="37"/>
      <c r="W203" s="37"/>
      <c r="X203" s="37"/>
      <c r="Y203" s="37"/>
      <c r="Z203" s="37"/>
    </row>
    <row r="204" spans="1:26" ht="15.75" customHeight="1" x14ac:dyDescent="0.25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U204" s="37"/>
      <c r="V204" s="37"/>
      <c r="W204" s="37"/>
      <c r="X204" s="37"/>
      <c r="Y204" s="37"/>
      <c r="Z204" s="37"/>
    </row>
    <row r="205" spans="1:26" ht="15.75" customHeight="1" x14ac:dyDescent="0.25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U205" s="37"/>
      <c r="V205" s="37"/>
      <c r="W205" s="37"/>
      <c r="X205" s="37"/>
      <c r="Y205" s="37"/>
      <c r="Z205" s="37"/>
    </row>
    <row r="206" spans="1:26" ht="15.75" customHeight="1" x14ac:dyDescent="0.25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U206" s="37"/>
      <c r="V206" s="37"/>
      <c r="W206" s="37"/>
      <c r="X206" s="37"/>
      <c r="Y206" s="37"/>
      <c r="Z206" s="37"/>
    </row>
    <row r="207" spans="1:26" ht="15.75" customHeight="1" x14ac:dyDescent="0.25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U207" s="37"/>
      <c r="V207" s="37"/>
      <c r="W207" s="37"/>
      <c r="X207" s="37"/>
      <c r="Y207" s="37"/>
      <c r="Z207" s="37"/>
    </row>
    <row r="208" spans="1:26" ht="15.75" customHeight="1" x14ac:dyDescent="0.25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U208" s="37"/>
      <c r="V208" s="37"/>
      <c r="W208" s="37"/>
      <c r="X208" s="37"/>
      <c r="Y208" s="37"/>
      <c r="Z208" s="37"/>
    </row>
    <row r="209" spans="1:26" ht="15.75" customHeight="1" x14ac:dyDescent="0.25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U209" s="37"/>
      <c r="V209" s="37"/>
      <c r="W209" s="37"/>
      <c r="X209" s="37"/>
      <c r="Y209" s="37"/>
      <c r="Z209" s="37"/>
    </row>
    <row r="210" spans="1:26" ht="15.75" customHeight="1" x14ac:dyDescent="0.25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U210" s="37"/>
      <c r="V210" s="37"/>
      <c r="W210" s="37"/>
      <c r="X210" s="37"/>
      <c r="Y210" s="37"/>
      <c r="Z210" s="37"/>
    </row>
    <row r="211" spans="1:26" ht="15.75" customHeight="1" x14ac:dyDescent="0.25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U211" s="37"/>
      <c r="V211" s="37"/>
      <c r="W211" s="37"/>
      <c r="X211" s="37"/>
      <c r="Y211" s="37"/>
      <c r="Z211" s="37"/>
    </row>
    <row r="212" spans="1:26" ht="15.75" customHeight="1" x14ac:dyDescent="0.25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U212" s="37"/>
      <c r="V212" s="37"/>
      <c r="W212" s="37"/>
      <c r="X212" s="37"/>
      <c r="Y212" s="37"/>
      <c r="Z212" s="37"/>
    </row>
    <row r="213" spans="1:26" ht="15.75" customHeight="1" x14ac:dyDescent="0.25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U213" s="37"/>
      <c r="V213" s="37"/>
      <c r="W213" s="37"/>
      <c r="X213" s="37"/>
      <c r="Y213" s="37"/>
      <c r="Z213" s="37"/>
    </row>
    <row r="214" spans="1:26" ht="15.75" customHeight="1" x14ac:dyDescent="0.25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U214" s="37"/>
      <c r="V214" s="37"/>
      <c r="W214" s="37"/>
      <c r="X214" s="37"/>
      <c r="Y214" s="37"/>
      <c r="Z214" s="37"/>
    </row>
    <row r="215" spans="1:26" ht="15.75" customHeight="1" x14ac:dyDescent="0.25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U215" s="37"/>
      <c r="V215" s="37"/>
      <c r="W215" s="37"/>
      <c r="X215" s="37"/>
      <c r="Y215" s="37"/>
      <c r="Z215" s="37"/>
    </row>
    <row r="216" spans="1:26" ht="15.75" customHeight="1" x14ac:dyDescent="0.25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U216" s="37"/>
      <c r="V216" s="37"/>
      <c r="W216" s="37"/>
      <c r="X216" s="37"/>
      <c r="Y216" s="37"/>
      <c r="Z216" s="37"/>
    </row>
    <row r="217" spans="1:26" ht="15.75" customHeight="1" x14ac:dyDescent="0.25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U217" s="37"/>
      <c r="V217" s="37"/>
      <c r="W217" s="37"/>
      <c r="X217" s="37"/>
      <c r="Y217" s="37"/>
      <c r="Z217" s="37"/>
    </row>
    <row r="218" spans="1:26" ht="15.75" customHeight="1" x14ac:dyDescent="0.25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U218" s="37"/>
      <c r="V218" s="37"/>
      <c r="W218" s="37"/>
      <c r="X218" s="37"/>
      <c r="Y218" s="37"/>
      <c r="Z218" s="37"/>
    </row>
    <row r="219" spans="1:26" ht="15.75" customHeight="1" x14ac:dyDescent="0.25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U219" s="37"/>
      <c r="V219" s="37"/>
      <c r="W219" s="37"/>
      <c r="X219" s="37"/>
      <c r="Y219" s="37"/>
      <c r="Z219" s="37"/>
    </row>
    <row r="220" spans="1:26" ht="15.75" customHeight="1" x14ac:dyDescent="0.25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U220" s="37"/>
      <c r="V220" s="37"/>
      <c r="W220" s="37"/>
      <c r="X220" s="37"/>
      <c r="Y220" s="37"/>
      <c r="Z220" s="37"/>
    </row>
    <row r="221" spans="1:26" ht="15.75" customHeight="1" x14ac:dyDescent="0.25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U221" s="37"/>
      <c r="V221" s="37"/>
      <c r="W221" s="37"/>
      <c r="X221" s="37"/>
      <c r="Y221" s="37"/>
      <c r="Z221" s="37"/>
    </row>
    <row r="222" spans="1:26" ht="15.75" customHeight="1" x14ac:dyDescent="0.25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U222" s="37"/>
      <c r="V222" s="37"/>
      <c r="W222" s="37"/>
      <c r="X222" s="37"/>
      <c r="Y222" s="37"/>
      <c r="Z222" s="37"/>
    </row>
    <row r="223" spans="1:26" ht="15.75" customHeight="1" x14ac:dyDescent="0.25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U223" s="37"/>
      <c r="V223" s="37"/>
      <c r="W223" s="37"/>
      <c r="X223" s="37"/>
      <c r="Y223" s="37"/>
      <c r="Z223" s="37"/>
    </row>
    <row r="224" spans="1:26" ht="15.75" customHeight="1" x14ac:dyDescent="0.25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U224" s="37"/>
      <c r="V224" s="37"/>
      <c r="W224" s="37"/>
      <c r="X224" s="37"/>
      <c r="Y224" s="37"/>
      <c r="Z224" s="37"/>
    </row>
    <row r="225" spans="1:26" ht="15.75" customHeight="1" x14ac:dyDescent="0.25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U225" s="37"/>
      <c r="V225" s="37"/>
      <c r="W225" s="37"/>
      <c r="X225" s="37"/>
      <c r="Y225" s="37"/>
      <c r="Z225" s="37"/>
    </row>
    <row r="226" spans="1:26" ht="15.75" customHeight="1" x14ac:dyDescent="0.25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U226" s="37"/>
      <c r="V226" s="37"/>
      <c r="W226" s="37"/>
      <c r="X226" s="37"/>
      <c r="Y226" s="37"/>
      <c r="Z226" s="37"/>
    </row>
    <row r="227" spans="1:26" ht="15.75" customHeight="1" x14ac:dyDescent="0.25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U227" s="37"/>
      <c r="V227" s="37"/>
      <c r="W227" s="37"/>
      <c r="X227" s="37"/>
      <c r="Y227" s="37"/>
      <c r="Z227" s="37"/>
    </row>
    <row r="228" spans="1:26" ht="15.75" customHeight="1" x14ac:dyDescent="0.25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U228" s="37"/>
      <c r="V228" s="37"/>
      <c r="W228" s="37"/>
      <c r="X228" s="37"/>
      <c r="Y228" s="37"/>
      <c r="Z228" s="37"/>
    </row>
    <row r="229" spans="1:26" ht="15.75" customHeight="1" x14ac:dyDescent="0.25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U229" s="37"/>
      <c r="V229" s="37"/>
      <c r="W229" s="37"/>
      <c r="X229" s="37"/>
      <c r="Y229" s="37"/>
      <c r="Z229" s="37"/>
    </row>
    <row r="230" spans="1:26" ht="15.75" customHeight="1" x14ac:dyDescent="0.25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U230" s="37"/>
      <c r="V230" s="37"/>
      <c r="W230" s="37"/>
      <c r="X230" s="37"/>
      <c r="Y230" s="37"/>
      <c r="Z230" s="37"/>
    </row>
    <row r="231" spans="1:26" ht="15.75" customHeight="1" x14ac:dyDescent="0.25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U231" s="37"/>
      <c r="V231" s="37"/>
      <c r="W231" s="37"/>
      <c r="X231" s="37"/>
      <c r="Y231" s="37"/>
      <c r="Z231" s="37"/>
    </row>
    <row r="232" spans="1:26" ht="15.75" customHeight="1" x14ac:dyDescent="0.25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U232" s="37"/>
      <c r="V232" s="37"/>
      <c r="W232" s="37"/>
      <c r="X232" s="37"/>
      <c r="Y232" s="37"/>
      <c r="Z232" s="37"/>
    </row>
    <row r="233" spans="1:26" ht="15.75" customHeight="1" x14ac:dyDescent="0.25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U233" s="37"/>
      <c r="V233" s="37"/>
      <c r="W233" s="37"/>
      <c r="X233" s="37"/>
      <c r="Y233" s="37"/>
      <c r="Z233" s="37"/>
    </row>
    <row r="234" spans="1:26" ht="15.75" customHeight="1" x14ac:dyDescent="0.25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U234" s="37"/>
      <c r="V234" s="37"/>
      <c r="W234" s="37"/>
      <c r="X234" s="37"/>
      <c r="Y234" s="37"/>
      <c r="Z234" s="37"/>
    </row>
    <row r="235" spans="1:26" ht="15.75" customHeight="1" x14ac:dyDescent="0.25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U235" s="37"/>
      <c r="V235" s="37"/>
      <c r="W235" s="37"/>
      <c r="X235" s="37"/>
      <c r="Y235" s="37"/>
      <c r="Z235" s="37"/>
    </row>
    <row r="236" spans="1:26" ht="15.75" customHeight="1" x14ac:dyDescent="0.25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U236" s="37"/>
      <c r="V236" s="37"/>
      <c r="W236" s="37"/>
      <c r="X236" s="37"/>
      <c r="Y236" s="37"/>
      <c r="Z236" s="37"/>
    </row>
    <row r="237" spans="1:26" ht="15.75" customHeight="1" x14ac:dyDescent="0.25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U237" s="37"/>
      <c r="V237" s="37"/>
      <c r="W237" s="37"/>
      <c r="X237" s="37"/>
      <c r="Y237" s="37"/>
      <c r="Z237" s="37"/>
    </row>
    <row r="238" spans="1:26" ht="15.75" customHeight="1" x14ac:dyDescent="0.25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U238" s="37"/>
      <c r="V238" s="37"/>
      <c r="W238" s="37"/>
      <c r="X238" s="37"/>
      <c r="Y238" s="37"/>
      <c r="Z238" s="37"/>
    </row>
    <row r="239" spans="1:26" ht="15.75" customHeight="1" x14ac:dyDescent="0.25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U239" s="37"/>
      <c r="V239" s="37"/>
      <c r="W239" s="37"/>
      <c r="X239" s="37"/>
      <c r="Y239" s="37"/>
      <c r="Z239" s="37"/>
    </row>
    <row r="240" spans="1:26" ht="15.75" customHeight="1" x14ac:dyDescent="0.25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U240" s="37"/>
      <c r="V240" s="37"/>
      <c r="W240" s="37"/>
      <c r="X240" s="37"/>
      <c r="Y240" s="37"/>
      <c r="Z240" s="37"/>
    </row>
    <row r="241" spans="1:26" ht="15.75" customHeight="1" x14ac:dyDescent="0.25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U241" s="37"/>
      <c r="V241" s="37"/>
      <c r="W241" s="37"/>
      <c r="X241" s="37"/>
      <c r="Y241" s="37"/>
      <c r="Z241" s="37"/>
    </row>
    <row r="242" spans="1:26" ht="15.75" customHeight="1" x14ac:dyDescent="0.25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U242" s="37"/>
      <c r="V242" s="37"/>
      <c r="W242" s="37"/>
      <c r="X242" s="37"/>
      <c r="Y242" s="37"/>
      <c r="Z242" s="37"/>
    </row>
    <row r="243" spans="1:26" ht="15.75" customHeight="1" x14ac:dyDescent="0.25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U243" s="37"/>
      <c r="V243" s="37"/>
      <c r="W243" s="37"/>
      <c r="X243" s="37"/>
      <c r="Y243" s="37"/>
      <c r="Z243" s="37"/>
    </row>
    <row r="244" spans="1:26" ht="15.75" customHeight="1" x14ac:dyDescent="0.25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U244" s="37"/>
      <c r="V244" s="37"/>
      <c r="W244" s="37"/>
      <c r="X244" s="37"/>
      <c r="Y244" s="37"/>
      <c r="Z244" s="37"/>
    </row>
    <row r="245" spans="1:26" ht="15.75" customHeight="1" x14ac:dyDescent="0.25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U245" s="37"/>
      <c r="V245" s="37"/>
      <c r="W245" s="37"/>
      <c r="X245" s="37"/>
      <c r="Y245" s="37"/>
      <c r="Z245" s="37"/>
    </row>
    <row r="246" spans="1:26" ht="15.75" customHeight="1" x14ac:dyDescent="0.25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U246" s="37"/>
      <c r="V246" s="37"/>
      <c r="W246" s="37"/>
      <c r="X246" s="37"/>
      <c r="Y246" s="37"/>
      <c r="Z246" s="37"/>
    </row>
    <row r="247" spans="1:26" ht="15.75" customHeight="1" x14ac:dyDescent="0.25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U247" s="37"/>
      <c r="V247" s="37"/>
      <c r="W247" s="37"/>
      <c r="X247" s="37"/>
      <c r="Y247" s="37"/>
      <c r="Z247" s="37"/>
    </row>
    <row r="248" spans="1:26" ht="15.75" customHeight="1" x14ac:dyDescent="0.25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U248" s="37"/>
      <c r="V248" s="37"/>
      <c r="W248" s="37"/>
      <c r="X248" s="37"/>
      <c r="Y248" s="37"/>
      <c r="Z248" s="37"/>
    </row>
    <row r="249" spans="1:26" ht="15.75" customHeight="1" x14ac:dyDescent="0.25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U249" s="37"/>
      <c r="V249" s="37"/>
      <c r="W249" s="37"/>
      <c r="X249" s="37"/>
      <c r="Y249" s="37"/>
      <c r="Z249" s="37"/>
    </row>
    <row r="250" spans="1:26" ht="15.75" customHeight="1" x14ac:dyDescent="0.25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U250" s="37"/>
      <c r="V250" s="37"/>
      <c r="W250" s="37"/>
      <c r="X250" s="37"/>
      <c r="Y250" s="37"/>
      <c r="Z250" s="37"/>
    </row>
    <row r="251" spans="1:26" ht="15.75" customHeight="1" x14ac:dyDescent="0.25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U251" s="37"/>
      <c r="V251" s="37"/>
      <c r="W251" s="37"/>
      <c r="X251" s="37"/>
      <c r="Y251" s="37"/>
      <c r="Z251" s="37"/>
    </row>
    <row r="252" spans="1:26" ht="15.75" customHeight="1" x14ac:dyDescent="0.25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U252" s="37"/>
      <c r="V252" s="37"/>
      <c r="W252" s="37"/>
      <c r="X252" s="37"/>
      <c r="Y252" s="37"/>
      <c r="Z252" s="37"/>
    </row>
    <row r="253" spans="1:26" ht="15.75" customHeight="1" x14ac:dyDescent="0.25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U253" s="37"/>
      <c r="V253" s="37"/>
      <c r="W253" s="37"/>
      <c r="X253" s="37"/>
      <c r="Y253" s="37"/>
      <c r="Z253" s="37"/>
    </row>
    <row r="254" spans="1:26" ht="15.75" customHeight="1" x14ac:dyDescent="0.25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U254" s="37"/>
      <c r="V254" s="37"/>
      <c r="W254" s="37"/>
      <c r="X254" s="37"/>
      <c r="Y254" s="37"/>
      <c r="Z254" s="37"/>
    </row>
    <row r="255" spans="1:26" ht="15.75" customHeight="1" x14ac:dyDescent="0.25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U255" s="37"/>
      <c r="V255" s="37"/>
      <c r="W255" s="37"/>
      <c r="X255" s="37"/>
      <c r="Y255" s="37"/>
      <c r="Z255" s="37"/>
    </row>
    <row r="256" spans="1:26" ht="15.75" customHeight="1" x14ac:dyDescent="0.25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U256" s="37"/>
      <c r="V256" s="37"/>
      <c r="W256" s="37"/>
      <c r="X256" s="37"/>
      <c r="Y256" s="37"/>
      <c r="Z256" s="37"/>
    </row>
    <row r="257" spans="1:26" ht="15.75" customHeight="1" x14ac:dyDescent="0.25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U257" s="37"/>
      <c r="V257" s="37"/>
      <c r="W257" s="37"/>
      <c r="X257" s="37"/>
      <c r="Y257" s="37"/>
      <c r="Z257" s="37"/>
    </row>
    <row r="258" spans="1:26" ht="15.75" customHeight="1" x14ac:dyDescent="0.25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U258" s="37"/>
      <c r="V258" s="37"/>
      <c r="W258" s="37"/>
      <c r="X258" s="37"/>
      <c r="Y258" s="37"/>
      <c r="Z258" s="37"/>
    </row>
    <row r="259" spans="1:26" ht="15.75" customHeight="1" x14ac:dyDescent="0.25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U259" s="37"/>
      <c r="V259" s="37"/>
      <c r="W259" s="37"/>
      <c r="X259" s="37"/>
      <c r="Y259" s="37"/>
      <c r="Z259" s="37"/>
    </row>
    <row r="260" spans="1:26" ht="15.75" customHeight="1" x14ac:dyDescent="0.25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U260" s="37"/>
      <c r="V260" s="37"/>
      <c r="W260" s="37"/>
      <c r="X260" s="37"/>
      <c r="Y260" s="37"/>
      <c r="Z260" s="37"/>
    </row>
    <row r="261" spans="1:26" ht="15.75" customHeight="1" x14ac:dyDescent="0.25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U261" s="37"/>
      <c r="V261" s="37"/>
      <c r="W261" s="37"/>
      <c r="X261" s="37"/>
      <c r="Y261" s="37"/>
      <c r="Z261" s="37"/>
    </row>
    <row r="262" spans="1:26" ht="15.75" customHeight="1" x14ac:dyDescent="0.25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U262" s="37"/>
      <c r="V262" s="37"/>
      <c r="W262" s="37"/>
      <c r="X262" s="37"/>
      <c r="Y262" s="37"/>
      <c r="Z262" s="37"/>
    </row>
    <row r="263" spans="1:26" ht="15.75" customHeight="1" x14ac:dyDescent="0.25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U263" s="37"/>
      <c r="V263" s="37"/>
      <c r="W263" s="37"/>
      <c r="X263" s="37"/>
      <c r="Y263" s="37"/>
      <c r="Z263" s="37"/>
    </row>
    <row r="264" spans="1:26" ht="15.75" customHeight="1" x14ac:dyDescent="0.25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U264" s="37"/>
      <c r="V264" s="37"/>
      <c r="W264" s="37"/>
      <c r="X264" s="37"/>
      <c r="Y264" s="37"/>
      <c r="Z264" s="37"/>
    </row>
    <row r="265" spans="1:26" ht="15.75" customHeight="1" x14ac:dyDescent="0.2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U265" s="37"/>
      <c r="V265" s="37"/>
      <c r="W265" s="37"/>
      <c r="X265" s="37"/>
      <c r="Y265" s="37"/>
      <c r="Z265" s="37"/>
    </row>
    <row r="266" spans="1:26" ht="15.75" customHeight="1" x14ac:dyDescent="0.25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U266" s="37"/>
      <c r="V266" s="37"/>
      <c r="W266" s="37"/>
      <c r="X266" s="37"/>
      <c r="Y266" s="37"/>
      <c r="Z266" s="37"/>
    </row>
    <row r="267" spans="1:26" ht="15.75" customHeight="1" x14ac:dyDescent="0.25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U267" s="37"/>
      <c r="V267" s="37"/>
      <c r="W267" s="37"/>
      <c r="X267" s="37"/>
      <c r="Y267" s="37"/>
      <c r="Z267" s="37"/>
    </row>
    <row r="268" spans="1:26" ht="15.75" customHeight="1" x14ac:dyDescent="0.25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U268" s="37"/>
      <c r="V268" s="37"/>
      <c r="W268" s="37"/>
      <c r="X268" s="37"/>
      <c r="Y268" s="37"/>
      <c r="Z268" s="37"/>
    </row>
    <row r="269" spans="1:26" ht="15.75" customHeight="1" x14ac:dyDescent="0.25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U269" s="37"/>
      <c r="V269" s="37"/>
      <c r="W269" s="37"/>
      <c r="X269" s="37"/>
      <c r="Y269" s="37"/>
      <c r="Z269" s="37"/>
    </row>
    <row r="270" spans="1:26" ht="15.75" customHeight="1" x14ac:dyDescent="0.25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U270" s="37"/>
      <c r="V270" s="37"/>
      <c r="W270" s="37"/>
      <c r="X270" s="37"/>
      <c r="Y270" s="37"/>
      <c r="Z270" s="37"/>
    </row>
    <row r="271" spans="1:26" ht="15.75" customHeight="1" x14ac:dyDescent="0.25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U271" s="37"/>
      <c r="V271" s="37"/>
      <c r="W271" s="37"/>
      <c r="X271" s="37"/>
      <c r="Y271" s="37"/>
      <c r="Z271" s="37"/>
    </row>
    <row r="272" spans="1:26" ht="15.75" customHeight="1" x14ac:dyDescent="0.25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U272" s="37"/>
      <c r="V272" s="37"/>
      <c r="W272" s="37"/>
      <c r="X272" s="37"/>
      <c r="Y272" s="37"/>
      <c r="Z272" s="37"/>
    </row>
    <row r="273" spans="1:26" ht="15.75" customHeight="1" x14ac:dyDescent="0.25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U273" s="37"/>
      <c r="V273" s="37"/>
      <c r="W273" s="37"/>
      <c r="X273" s="37"/>
      <c r="Y273" s="37"/>
      <c r="Z273" s="37"/>
    </row>
    <row r="274" spans="1:26" ht="15.75" customHeight="1" x14ac:dyDescent="0.25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U274" s="37"/>
      <c r="V274" s="37"/>
      <c r="W274" s="37"/>
      <c r="X274" s="37"/>
      <c r="Y274" s="37"/>
      <c r="Z274" s="37"/>
    </row>
    <row r="275" spans="1:26" ht="15.75" customHeight="1" x14ac:dyDescent="0.2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U275" s="37"/>
      <c r="V275" s="37"/>
      <c r="W275" s="37"/>
      <c r="X275" s="37"/>
      <c r="Y275" s="37"/>
      <c r="Z275" s="37"/>
    </row>
    <row r="276" spans="1:26" ht="15.75" customHeight="1" x14ac:dyDescent="0.25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U276" s="37"/>
      <c r="V276" s="37"/>
      <c r="W276" s="37"/>
      <c r="X276" s="37"/>
      <c r="Y276" s="37"/>
      <c r="Z276" s="37"/>
    </row>
    <row r="277" spans="1:26" ht="15.75" customHeight="1" x14ac:dyDescent="0.25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U277" s="37"/>
      <c r="V277" s="37"/>
      <c r="W277" s="37"/>
      <c r="X277" s="37"/>
      <c r="Y277" s="37"/>
      <c r="Z277" s="37"/>
    </row>
    <row r="278" spans="1:26" ht="15.75" customHeight="1" x14ac:dyDescent="0.25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U278" s="37"/>
      <c r="V278" s="37"/>
      <c r="W278" s="37"/>
      <c r="X278" s="37"/>
      <c r="Y278" s="37"/>
      <c r="Z278" s="37"/>
    </row>
    <row r="279" spans="1:26" ht="15.75" customHeight="1" x14ac:dyDescent="0.25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U279" s="37"/>
      <c r="V279" s="37"/>
      <c r="W279" s="37"/>
      <c r="X279" s="37"/>
      <c r="Y279" s="37"/>
      <c r="Z279" s="37"/>
    </row>
    <row r="280" spans="1:26" ht="15.75" customHeight="1" x14ac:dyDescent="0.25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U280" s="37"/>
      <c r="V280" s="37"/>
      <c r="W280" s="37"/>
      <c r="X280" s="37"/>
      <c r="Y280" s="37"/>
      <c r="Z280" s="37"/>
    </row>
    <row r="281" spans="1:26" ht="15.75" customHeight="1" x14ac:dyDescent="0.25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U281" s="37"/>
      <c r="V281" s="37"/>
      <c r="W281" s="37"/>
      <c r="X281" s="37"/>
      <c r="Y281" s="37"/>
      <c r="Z281" s="37"/>
    </row>
    <row r="282" spans="1:26" ht="15.75" customHeight="1" x14ac:dyDescent="0.25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U282" s="37"/>
      <c r="V282" s="37"/>
      <c r="W282" s="37"/>
      <c r="X282" s="37"/>
      <c r="Y282" s="37"/>
      <c r="Z282" s="37"/>
    </row>
    <row r="283" spans="1:26" ht="15.75" customHeight="1" x14ac:dyDescent="0.25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U283" s="37"/>
      <c r="V283" s="37"/>
      <c r="W283" s="37"/>
      <c r="X283" s="37"/>
      <c r="Y283" s="37"/>
      <c r="Z283" s="37"/>
    </row>
    <row r="284" spans="1:26" ht="15.75" customHeight="1" x14ac:dyDescent="0.25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U284" s="37"/>
      <c r="V284" s="37"/>
      <c r="W284" s="37"/>
      <c r="X284" s="37"/>
      <c r="Y284" s="37"/>
      <c r="Z284" s="37"/>
    </row>
    <row r="285" spans="1:26" ht="15.75" customHeight="1" x14ac:dyDescent="0.2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U285" s="37"/>
      <c r="V285" s="37"/>
      <c r="W285" s="37"/>
      <c r="X285" s="37"/>
      <c r="Y285" s="37"/>
      <c r="Z285" s="37"/>
    </row>
    <row r="286" spans="1:26" ht="15.75" customHeight="1" x14ac:dyDescent="0.25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U286" s="37"/>
      <c r="V286" s="37"/>
      <c r="W286" s="37"/>
      <c r="X286" s="37"/>
      <c r="Y286" s="37"/>
      <c r="Z286" s="37"/>
    </row>
    <row r="287" spans="1:26" ht="15.75" customHeight="1" x14ac:dyDescent="0.25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U287" s="37"/>
      <c r="V287" s="37"/>
      <c r="W287" s="37"/>
      <c r="X287" s="37"/>
      <c r="Y287" s="37"/>
      <c r="Z287" s="37"/>
    </row>
    <row r="288" spans="1:26" ht="15.75" customHeight="1" x14ac:dyDescent="0.25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U288" s="37"/>
      <c r="V288" s="37"/>
      <c r="W288" s="37"/>
      <c r="X288" s="37"/>
      <c r="Y288" s="37"/>
      <c r="Z288" s="37"/>
    </row>
    <row r="289" spans="1:26" ht="15.75" customHeight="1" x14ac:dyDescent="0.25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U289" s="37"/>
      <c r="V289" s="37"/>
      <c r="W289" s="37"/>
      <c r="X289" s="37"/>
      <c r="Y289" s="37"/>
      <c r="Z289" s="37"/>
    </row>
    <row r="290" spans="1:26" ht="15.75" customHeight="1" x14ac:dyDescent="0.25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U290" s="37"/>
      <c r="V290" s="37"/>
      <c r="W290" s="37"/>
      <c r="X290" s="37"/>
      <c r="Y290" s="37"/>
      <c r="Z290" s="37"/>
    </row>
    <row r="291" spans="1:26" ht="15.75" customHeight="1" x14ac:dyDescent="0.25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U291" s="37"/>
      <c r="V291" s="37"/>
      <c r="W291" s="37"/>
      <c r="X291" s="37"/>
      <c r="Y291" s="37"/>
      <c r="Z291" s="37"/>
    </row>
    <row r="292" spans="1:26" ht="15.75" customHeight="1" x14ac:dyDescent="0.25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U292" s="37"/>
      <c r="V292" s="37"/>
      <c r="W292" s="37"/>
      <c r="X292" s="37"/>
      <c r="Y292" s="37"/>
      <c r="Z292" s="37"/>
    </row>
    <row r="293" spans="1:26" ht="15.75" customHeight="1" x14ac:dyDescent="0.25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U293" s="37"/>
      <c r="V293" s="37"/>
      <c r="W293" s="37"/>
      <c r="X293" s="37"/>
      <c r="Y293" s="37"/>
      <c r="Z293" s="37"/>
    </row>
    <row r="294" spans="1:26" ht="15.75" customHeight="1" x14ac:dyDescent="0.25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U294" s="37"/>
      <c r="V294" s="37"/>
      <c r="W294" s="37"/>
      <c r="X294" s="37"/>
      <c r="Y294" s="37"/>
      <c r="Z294" s="37"/>
    </row>
    <row r="295" spans="1:26" ht="15.75" customHeight="1" x14ac:dyDescent="0.2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U295" s="37"/>
      <c r="V295" s="37"/>
      <c r="W295" s="37"/>
      <c r="X295" s="37"/>
      <c r="Y295" s="37"/>
      <c r="Z295" s="37"/>
    </row>
    <row r="296" spans="1:26" ht="15.75" customHeight="1" x14ac:dyDescent="0.25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U296" s="37"/>
      <c r="V296" s="37"/>
      <c r="W296" s="37"/>
      <c r="X296" s="37"/>
      <c r="Y296" s="37"/>
      <c r="Z296" s="37"/>
    </row>
    <row r="297" spans="1:26" ht="15.75" customHeight="1" x14ac:dyDescent="0.25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U297" s="37"/>
      <c r="V297" s="37"/>
      <c r="W297" s="37"/>
      <c r="X297" s="37"/>
      <c r="Y297" s="37"/>
      <c r="Z297" s="37"/>
    </row>
    <row r="298" spans="1:26" ht="15.75" customHeight="1" x14ac:dyDescent="0.25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U298" s="37"/>
      <c r="V298" s="37"/>
      <c r="W298" s="37"/>
      <c r="X298" s="37"/>
      <c r="Y298" s="37"/>
      <c r="Z298" s="37"/>
    </row>
    <row r="299" spans="1:26" ht="15.75" customHeight="1" x14ac:dyDescent="0.25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U299" s="37"/>
      <c r="V299" s="37"/>
      <c r="W299" s="37"/>
      <c r="X299" s="37"/>
      <c r="Y299" s="37"/>
      <c r="Z299" s="37"/>
    </row>
    <row r="300" spans="1:26" ht="15.75" customHeight="1" x14ac:dyDescent="0.25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U300" s="37"/>
      <c r="V300" s="37"/>
      <c r="W300" s="37"/>
      <c r="X300" s="37"/>
      <c r="Y300" s="37"/>
      <c r="Z300" s="37"/>
    </row>
    <row r="301" spans="1:26" ht="15.75" customHeight="1" x14ac:dyDescent="0.25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U301" s="37"/>
      <c r="V301" s="37"/>
      <c r="W301" s="37"/>
      <c r="X301" s="37"/>
      <c r="Y301" s="37"/>
      <c r="Z301" s="37"/>
    </row>
    <row r="302" spans="1:26" ht="15.75" customHeight="1" x14ac:dyDescent="0.25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U302" s="37"/>
      <c r="V302" s="37"/>
      <c r="W302" s="37"/>
      <c r="X302" s="37"/>
      <c r="Y302" s="37"/>
      <c r="Z302" s="37"/>
    </row>
    <row r="303" spans="1:26" ht="15.75" customHeight="1" x14ac:dyDescent="0.25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U303" s="37"/>
      <c r="V303" s="37"/>
      <c r="W303" s="37"/>
      <c r="X303" s="37"/>
      <c r="Y303" s="37"/>
      <c r="Z303" s="37"/>
    </row>
    <row r="304" spans="1:26" ht="15.75" customHeight="1" x14ac:dyDescent="0.25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U304" s="37"/>
      <c r="V304" s="37"/>
      <c r="W304" s="37"/>
      <c r="X304" s="37"/>
      <c r="Y304" s="37"/>
      <c r="Z304" s="37"/>
    </row>
    <row r="305" spans="1:26" ht="15.75" customHeight="1" x14ac:dyDescent="0.25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U305" s="37"/>
      <c r="V305" s="37"/>
      <c r="W305" s="37"/>
      <c r="X305" s="37"/>
      <c r="Y305" s="37"/>
      <c r="Z305" s="37"/>
    </row>
    <row r="306" spans="1:26" ht="15.75" customHeight="1" x14ac:dyDescent="0.25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U306" s="37"/>
      <c r="V306" s="37"/>
      <c r="W306" s="37"/>
      <c r="X306" s="37"/>
      <c r="Y306" s="37"/>
      <c r="Z306" s="37"/>
    </row>
    <row r="307" spans="1:26" ht="15.75" customHeight="1" x14ac:dyDescent="0.25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U307" s="37"/>
      <c r="V307" s="37"/>
      <c r="W307" s="37"/>
      <c r="X307" s="37"/>
      <c r="Y307" s="37"/>
      <c r="Z307" s="37"/>
    </row>
    <row r="308" spans="1:26" ht="15.75" customHeight="1" x14ac:dyDescent="0.25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U308" s="37"/>
      <c r="V308" s="37"/>
      <c r="W308" s="37"/>
      <c r="X308" s="37"/>
      <c r="Y308" s="37"/>
      <c r="Z308" s="37"/>
    </row>
    <row r="309" spans="1:26" ht="15.75" customHeight="1" x14ac:dyDescent="0.25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U309" s="37"/>
      <c r="V309" s="37"/>
      <c r="W309" s="37"/>
      <c r="X309" s="37"/>
      <c r="Y309" s="37"/>
      <c r="Z309" s="37"/>
    </row>
    <row r="310" spans="1:26" ht="15.75" customHeight="1" x14ac:dyDescent="0.25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U310" s="37"/>
      <c r="V310" s="37"/>
      <c r="W310" s="37"/>
      <c r="X310" s="37"/>
      <c r="Y310" s="37"/>
      <c r="Z310" s="37"/>
    </row>
    <row r="311" spans="1:26" ht="15.75" customHeight="1" x14ac:dyDescent="0.25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U311" s="37"/>
      <c r="V311" s="37"/>
      <c r="W311" s="37"/>
      <c r="X311" s="37"/>
      <c r="Y311" s="37"/>
      <c r="Z311" s="37"/>
    </row>
    <row r="312" spans="1:26" ht="15.75" customHeight="1" x14ac:dyDescent="0.25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U312" s="37"/>
      <c r="V312" s="37"/>
      <c r="W312" s="37"/>
      <c r="X312" s="37"/>
      <c r="Y312" s="37"/>
      <c r="Z312" s="37"/>
    </row>
    <row r="313" spans="1:26" ht="15.75" customHeight="1" x14ac:dyDescent="0.25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U313" s="37"/>
      <c r="V313" s="37"/>
      <c r="W313" s="37"/>
      <c r="X313" s="37"/>
      <c r="Y313" s="37"/>
      <c r="Z313" s="37"/>
    </row>
    <row r="314" spans="1:26" ht="15.75" customHeight="1" x14ac:dyDescent="0.25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U314" s="37"/>
      <c r="V314" s="37"/>
      <c r="W314" s="37"/>
      <c r="X314" s="37"/>
      <c r="Y314" s="37"/>
      <c r="Z314" s="37"/>
    </row>
    <row r="315" spans="1:26" ht="15.75" customHeight="1" x14ac:dyDescent="0.2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U315" s="37"/>
      <c r="V315" s="37"/>
      <c r="W315" s="37"/>
      <c r="X315" s="37"/>
      <c r="Y315" s="37"/>
      <c r="Z315" s="37"/>
    </row>
    <row r="316" spans="1:26" ht="15.75" customHeight="1" x14ac:dyDescent="0.25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U316" s="37"/>
      <c r="V316" s="37"/>
      <c r="W316" s="37"/>
      <c r="X316" s="37"/>
      <c r="Y316" s="37"/>
      <c r="Z316" s="37"/>
    </row>
    <row r="317" spans="1:26" ht="15.75" customHeight="1" x14ac:dyDescent="0.25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U317" s="37"/>
      <c r="V317" s="37"/>
      <c r="W317" s="37"/>
      <c r="X317" s="37"/>
      <c r="Y317" s="37"/>
      <c r="Z317" s="37"/>
    </row>
    <row r="318" spans="1:26" ht="15.75" customHeight="1" x14ac:dyDescent="0.25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U318" s="37"/>
      <c r="V318" s="37"/>
      <c r="W318" s="37"/>
      <c r="X318" s="37"/>
      <c r="Y318" s="37"/>
      <c r="Z318" s="37"/>
    </row>
    <row r="319" spans="1:26" ht="15.75" customHeight="1" x14ac:dyDescent="0.25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U319" s="37"/>
      <c r="V319" s="37"/>
      <c r="W319" s="37"/>
      <c r="X319" s="37"/>
      <c r="Y319" s="37"/>
      <c r="Z319" s="37"/>
    </row>
    <row r="320" spans="1:26" ht="15.75" customHeight="1" x14ac:dyDescent="0.25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U320" s="37"/>
      <c r="V320" s="37"/>
      <c r="W320" s="37"/>
      <c r="X320" s="37"/>
      <c r="Y320" s="37"/>
      <c r="Z320" s="37"/>
    </row>
    <row r="321" spans="1:26" ht="15.75" customHeight="1" x14ac:dyDescent="0.25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U321" s="37"/>
      <c r="V321" s="37"/>
      <c r="W321" s="37"/>
      <c r="X321" s="37"/>
      <c r="Y321" s="37"/>
      <c r="Z321" s="37"/>
    </row>
    <row r="322" spans="1:26" ht="15.75" customHeight="1" x14ac:dyDescent="0.25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U322" s="37"/>
      <c r="V322" s="37"/>
      <c r="W322" s="37"/>
      <c r="X322" s="37"/>
      <c r="Y322" s="37"/>
      <c r="Z322" s="37"/>
    </row>
    <row r="323" spans="1:26" ht="15.75" customHeight="1" x14ac:dyDescent="0.25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U323" s="37"/>
      <c r="V323" s="37"/>
      <c r="W323" s="37"/>
      <c r="X323" s="37"/>
      <c r="Y323" s="37"/>
      <c r="Z323" s="37"/>
    </row>
    <row r="324" spans="1:26" ht="15.75" customHeight="1" x14ac:dyDescent="0.25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U324" s="37"/>
      <c r="V324" s="37"/>
      <c r="W324" s="37"/>
      <c r="X324" s="37"/>
      <c r="Y324" s="37"/>
      <c r="Z324" s="37"/>
    </row>
    <row r="325" spans="1:26" ht="15.75" customHeight="1" x14ac:dyDescent="0.2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U325" s="37"/>
      <c r="V325" s="37"/>
      <c r="W325" s="37"/>
      <c r="X325" s="37"/>
      <c r="Y325" s="37"/>
      <c r="Z325" s="37"/>
    </row>
    <row r="326" spans="1:26" ht="15.75" customHeight="1" x14ac:dyDescent="0.25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U326" s="37"/>
      <c r="V326" s="37"/>
      <c r="W326" s="37"/>
      <c r="X326" s="37"/>
      <c r="Y326" s="37"/>
      <c r="Z326" s="37"/>
    </row>
    <row r="327" spans="1:26" ht="15.75" customHeight="1" x14ac:dyDescent="0.25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U327" s="37"/>
      <c r="V327" s="37"/>
      <c r="W327" s="37"/>
      <c r="X327" s="37"/>
      <c r="Y327" s="37"/>
      <c r="Z327" s="37"/>
    </row>
    <row r="328" spans="1:26" ht="15.75" customHeight="1" x14ac:dyDescent="0.25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U328" s="37"/>
      <c r="V328" s="37"/>
      <c r="W328" s="37"/>
      <c r="X328" s="37"/>
      <c r="Y328" s="37"/>
      <c r="Z328" s="37"/>
    </row>
    <row r="329" spans="1:26" ht="15.75" customHeight="1" x14ac:dyDescent="0.25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U329" s="37"/>
      <c r="V329" s="37"/>
      <c r="W329" s="37"/>
      <c r="X329" s="37"/>
      <c r="Y329" s="37"/>
      <c r="Z329" s="37"/>
    </row>
    <row r="330" spans="1:26" ht="15.75" customHeight="1" x14ac:dyDescent="0.25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U330" s="37"/>
      <c r="V330" s="37"/>
      <c r="W330" s="37"/>
      <c r="X330" s="37"/>
      <c r="Y330" s="37"/>
      <c r="Z330" s="37"/>
    </row>
    <row r="331" spans="1:26" ht="15.75" customHeight="1" x14ac:dyDescent="0.25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U331" s="37"/>
      <c r="V331" s="37"/>
      <c r="W331" s="37"/>
      <c r="X331" s="37"/>
      <c r="Y331" s="37"/>
      <c r="Z331" s="37"/>
    </row>
    <row r="332" spans="1:26" ht="15.75" customHeight="1" x14ac:dyDescent="0.25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U332" s="37"/>
      <c r="V332" s="37"/>
      <c r="W332" s="37"/>
      <c r="X332" s="37"/>
      <c r="Y332" s="37"/>
      <c r="Z332" s="37"/>
    </row>
    <row r="333" spans="1:26" ht="15.75" customHeight="1" x14ac:dyDescent="0.25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U333" s="37"/>
      <c r="V333" s="37"/>
      <c r="W333" s="37"/>
      <c r="X333" s="37"/>
      <c r="Y333" s="37"/>
      <c r="Z333" s="37"/>
    </row>
    <row r="334" spans="1:26" ht="15.75" customHeight="1" x14ac:dyDescent="0.25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U334" s="37"/>
      <c r="V334" s="37"/>
      <c r="W334" s="37"/>
      <c r="X334" s="37"/>
      <c r="Y334" s="37"/>
      <c r="Z334" s="37"/>
    </row>
    <row r="335" spans="1:26" ht="15.75" customHeight="1" x14ac:dyDescent="0.25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U335" s="37"/>
      <c r="V335" s="37"/>
      <c r="W335" s="37"/>
      <c r="X335" s="37"/>
      <c r="Y335" s="37"/>
      <c r="Z335" s="37"/>
    </row>
    <row r="336" spans="1:26" ht="15.75" customHeight="1" x14ac:dyDescent="0.25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U336" s="37"/>
      <c r="V336" s="37"/>
      <c r="W336" s="37"/>
      <c r="X336" s="37"/>
      <c r="Y336" s="37"/>
      <c r="Z336" s="37"/>
    </row>
    <row r="337" spans="1:26" ht="15.75" customHeight="1" x14ac:dyDescent="0.25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U337" s="37"/>
      <c r="V337" s="37"/>
      <c r="W337" s="37"/>
      <c r="X337" s="37"/>
      <c r="Y337" s="37"/>
      <c r="Z337" s="37"/>
    </row>
    <row r="338" spans="1:26" ht="15.75" customHeight="1" x14ac:dyDescent="0.25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U338" s="37"/>
      <c r="V338" s="37"/>
      <c r="W338" s="37"/>
      <c r="X338" s="37"/>
      <c r="Y338" s="37"/>
      <c r="Z338" s="37"/>
    </row>
    <row r="339" spans="1:26" ht="15.75" customHeight="1" x14ac:dyDescent="0.25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U339" s="37"/>
      <c r="V339" s="37"/>
      <c r="W339" s="37"/>
      <c r="X339" s="37"/>
      <c r="Y339" s="37"/>
      <c r="Z339" s="37"/>
    </row>
    <row r="340" spans="1:26" ht="15.75" customHeight="1" x14ac:dyDescent="0.25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U340" s="37"/>
      <c r="V340" s="37"/>
      <c r="W340" s="37"/>
      <c r="X340" s="37"/>
      <c r="Y340" s="37"/>
      <c r="Z340" s="37"/>
    </row>
    <row r="341" spans="1:26" ht="15.75" customHeight="1" x14ac:dyDescent="0.25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U341" s="37"/>
      <c r="V341" s="37"/>
      <c r="W341" s="37"/>
      <c r="X341" s="37"/>
      <c r="Y341" s="37"/>
      <c r="Z341" s="37"/>
    </row>
    <row r="342" spans="1:26" ht="15.75" customHeight="1" x14ac:dyDescent="0.25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U342" s="37"/>
      <c r="V342" s="37"/>
      <c r="W342" s="37"/>
      <c r="X342" s="37"/>
      <c r="Y342" s="37"/>
      <c r="Z342" s="37"/>
    </row>
    <row r="343" spans="1:26" ht="15.75" customHeight="1" x14ac:dyDescent="0.25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U343" s="37"/>
      <c r="V343" s="37"/>
      <c r="W343" s="37"/>
      <c r="X343" s="37"/>
      <c r="Y343" s="37"/>
      <c r="Z343" s="37"/>
    </row>
    <row r="344" spans="1:26" ht="15.75" customHeight="1" x14ac:dyDescent="0.25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U344" s="37"/>
      <c r="V344" s="37"/>
      <c r="W344" s="37"/>
      <c r="X344" s="37"/>
      <c r="Y344" s="37"/>
      <c r="Z344" s="37"/>
    </row>
    <row r="345" spans="1:26" ht="15.75" customHeight="1" x14ac:dyDescent="0.25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U345" s="37"/>
      <c r="V345" s="37"/>
      <c r="W345" s="37"/>
      <c r="X345" s="37"/>
      <c r="Y345" s="37"/>
      <c r="Z345" s="37"/>
    </row>
    <row r="346" spans="1:26" ht="15.75" customHeight="1" x14ac:dyDescent="0.25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U346" s="37"/>
      <c r="V346" s="37"/>
      <c r="W346" s="37"/>
      <c r="X346" s="37"/>
      <c r="Y346" s="37"/>
      <c r="Z346" s="37"/>
    </row>
    <row r="347" spans="1:26" ht="15.75" customHeight="1" x14ac:dyDescent="0.25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U347" s="37"/>
      <c r="V347" s="37"/>
      <c r="W347" s="37"/>
      <c r="X347" s="37"/>
      <c r="Y347" s="37"/>
      <c r="Z347" s="37"/>
    </row>
    <row r="348" spans="1:26" ht="15.75" customHeight="1" x14ac:dyDescent="0.25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U348" s="37"/>
      <c r="V348" s="37"/>
      <c r="W348" s="37"/>
      <c r="X348" s="37"/>
      <c r="Y348" s="37"/>
      <c r="Z348" s="37"/>
    </row>
    <row r="349" spans="1:26" ht="15.75" customHeight="1" x14ac:dyDescent="0.25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U349" s="37"/>
      <c r="V349" s="37"/>
      <c r="W349" s="37"/>
      <c r="X349" s="37"/>
      <c r="Y349" s="37"/>
      <c r="Z349" s="37"/>
    </row>
    <row r="350" spans="1:26" ht="15.75" customHeight="1" x14ac:dyDescent="0.25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U350" s="37"/>
      <c r="V350" s="37"/>
      <c r="W350" s="37"/>
      <c r="X350" s="37"/>
      <c r="Y350" s="37"/>
      <c r="Z350" s="37"/>
    </row>
    <row r="351" spans="1:26" ht="15.75" customHeight="1" x14ac:dyDescent="0.25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U351" s="37"/>
      <c r="V351" s="37"/>
      <c r="W351" s="37"/>
      <c r="X351" s="37"/>
      <c r="Y351" s="37"/>
      <c r="Z351" s="37"/>
    </row>
    <row r="352" spans="1:26" ht="15.75" customHeight="1" x14ac:dyDescent="0.25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U352" s="37"/>
      <c r="V352" s="37"/>
      <c r="W352" s="37"/>
      <c r="X352" s="37"/>
      <c r="Y352" s="37"/>
      <c r="Z352" s="37"/>
    </row>
    <row r="353" spans="1:26" ht="15.75" customHeight="1" x14ac:dyDescent="0.25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U353" s="37"/>
      <c r="V353" s="37"/>
      <c r="W353" s="37"/>
      <c r="X353" s="37"/>
      <c r="Y353" s="37"/>
      <c r="Z353" s="37"/>
    </row>
    <row r="354" spans="1:26" ht="15.75" customHeight="1" x14ac:dyDescent="0.25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U354" s="37"/>
      <c r="V354" s="37"/>
      <c r="W354" s="37"/>
      <c r="X354" s="37"/>
      <c r="Y354" s="37"/>
      <c r="Z354" s="37"/>
    </row>
    <row r="355" spans="1:26" ht="15.75" customHeight="1" x14ac:dyDescent="0.25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U355" s="37"/>
      <c r="V355" s="37"/>
      <c r="W355" s="37"/>
      <c r="X355" s="37"/>
      <c r="Y355" s="37"/>
      <c r="Z355" s="37"/>
    </row>
    <row r="356" spans="1:26" ht="15.75" customHeight="1" x14ac:dyDescent="0.25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U356" s="37"/>
      <c r="V356" s="37"/>
      <c r="W356" s="37"/>
      <c r="X356" s="37"/>
      <c r="Y356" s="37"/>
      <c r="Z356" s="37"/>
    </row>
    <row r="357" spans="1:26" ht="15.75" customHeight="1" x14ac:dyDescent="0.25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U357" s="37"/>
      <c r="V357" s="37"/>
      <c r="W357" s="37"/>
      <c r="X357" s="37"/>
      <c r="Y357" s="37"/>
      <c r="Z357" s="37"/>
    </row>
    <row r="358" spans="1:26" ht="15.75" customHeight="1" x14ac:dyDescent="0.25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U358" s="37"/>
      <c r="V358" s="37"/>
      <c r="W358" s="37"/>
      <c r="X358" s="37"/>
      <c r="Y358" s="37"/>
      <c r="Z358" s="37"/>
    </row>
    <row r="359" spans="1:26" ht="15.75" customHeight="1" x14ac:dyDescent="0.25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U359" s="37"/>
      <c r="V359" s="37"/>
      <c r="W359" s="37"/>
      <c r="X359" s="37"/>
      <c r="Y359" s="37"/>
      <c r="Z359" s="37"/>
    </row>
    <row r="360" spans="1:26" ht="15.75" customHeight="1" x14ac:dyDescent="0.25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U360" s="37"/>
      <c r="V360" s="37"/>
      <c r="W360" s="37"/>
      <c r="X360" s="37"/>
      <c r="Y360" s="37"/>
      <c r="Z360" s="37"/>
    </row>
    <row r="361" spans="1:26" ht="15.75" customHeight="1" x14ac:dyDescent="0.25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U361" s="37"/>
      <c r="V361" s="37"/>
      <c r="W361" s="37"/>
      <c r="X361" s="37"/>
      <c r="Y361" s="37"/>
      <c r="Z361" s="37"/>
    </row>
    <row r="362" spans="1:26" ht="15.75" customHeight="1" x14ac:dyDescent="0.25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U362" s="37"/>
      <c r="V362" s="37"/>
      <c r="W362" s="37"/>
      <c r="X362" s="37"/>
      <c r="Y362" s="37"/>
      <c r="Z362" s="37"/>
    </row>
    <row r="363" spans="1:26" ht="15.75" customHeight="1" x14ac:dyDescent="0.25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U363" s="37"/>
      <c r="V363" s="37"/>
      <c r="W363" s="37"/>
      <c r="X363" s="37"/>
      <c r="Y363" s="37"/>
      <c r="Z363" s="37"/>
    </row>
    <row r="364" spans="1:26" ht="15.75" customHeight="1" x14ac:dyDescent="0.25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U364" s="37"/>
      <c r="V364" s="37"/>
      <c r="W364" s="37"/>
      <c r="X364" s="37"/>
      <c r="Y364" s="37"/>
      <c r="Z364" s="37"/>
    </row>
    <row r="365" spans="1:26" ht="15.75" customHeight="1" x14ac:dyDescent="0.25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U365" s="37"/>
      <c r="V365" s="37"/>
      <c r="W365" s="37"/>
      <c r="X365" s="37"/>
      <c r="Y365" s="37"/>
      <c r="Z365" s="37"/>
    </row>
    <row r="366" spans="1:26" ht="15.75" customHeight="1" x14ac:dyDescent="0.25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U366" s="37"/>
      <c r="V366" s="37"/>
      <c r="W366" s="37"/>
      <c r="X366" s="37"/>
      <c r="Y366" s="37"/>
      <c r="Z366" s="37"/>
    </row>
    <row r="367" spans="1:26" ht="15.75" customHeight="1" x14ac:dyDescent="0.25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U367" s="37"/>
      <c r="V367" s="37"/>
      <c r="W367" s="37"/>
      <c r="X367" s="37"/>
      <c r="Y367" s="37"/>
      <c r="Z367" s="37"/>
    </row>
    <row r="368" spans="1:26" ht="15.75" customHeight="1" x14ac:dyDescent="0.25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U368" s="37"/>
      <c r="V368" s="37"/>
      <c r="W368" s="37"/>
      <c r="X368" s="37"/>
      <c r="Y368" s="37"/>
      <c r="Z368" s="37"/>
    </row>
    <row r="369" spans="1:26" ht="15.75" customHeight="1" x14ac:dyDescent="0.25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U369" s="37"/>
      <c r="V369" s="37"/>
      <c r="W369" s="37"/>
      <c r="X369" s="37"/>
      <c r="Y369" s="37"/>
      <c r="Z369" s="37"/>
    </row>
    <row r="370" spans="1:26" ht="15.75" customHeight="1" x14ac:dyDescent="0.25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U370" s="37"/>
      <c r="V370" s="37"/>
      <c r="W370" s="37"/>
      <c r="X370" s="37"/>
      <c r="Y370" s="37"/>
      <c r="Z370" s="37"/>
    </row>
    <row r="371" spans="1:26" ht="15.75" customHeight="1" x14ac:dyDescent="0.25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U371" s="37"/>
      <c r="V371" s="37"/>
      <c r="W371" s="37"/>
      <c r="X371" s="37"/>
      <c r="Y371" s="37"/>
      <c r="Z371" s="37"/>
    </row>
    <row r="372" spans="1:26" ht="15.75" customHeight="1" x14ac:dyDescent="0.25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U372" s="37"/>
      <c r="V372" s="37"/>
      <c r="W372" s="37"/>
      <c r="X372" s="37"/>
      <c r="Y372" s="37"/>
      <c r="Z372" s="37"/>
    </row>
    <row r="373" spans="1:26" ht="15.75" customHeight="1" x14ac:dyDescent="0.25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U373" s="37"/>
      <c r="V373" s="37"/>
      <c r="W373" s="37"/>
      <c r="X373" s="37"/>
      <c r="Y373" s="37"/>
      <c r="Z373" s="37"/>
    </row>
    <row r="374" spans="1:26" ht="15.75" customHeight="1" x14ac:dyDescent="0.25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U374" s="37"/>
      <c r="V374" s="37"/>
      <c r="W374" s="37"/>
      <c r="X374" s="37"/>
      <c r="Y374" s="37"/>
      <c r="Z374" s="37"/>
    </row>
    <row r="375" spans="1:26" ht="15.75" customHeight="1" x14ac:dyDescent="0.25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U375" s="37"/>
      <c r="V375" s="37"/>
      <c r="W375" s="37"/>
      <c r="X375" s="37"/>
      <c r="Y375" s="37"/>
      <c r="Z375" s="37"/>
    </row>
    <row r="376" spans="1:26" ht="15.75" customHeight="1" x14ac:dyDescent="0.25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U376" s="37"/>
      <c r="V376" s="37"/>
      <c r="W376" s="37"/>
      <c r="X376" s="37"/>
      <c r="Y376" s="37"/>
      <c r="Z376" s="37"/>
    </row>
    <row r="377" spans="1:26" ht="15.75" customHeight="1" x14ac:dyDescent="0.25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U377" s="37"/>
      <c r="V377" s="37"/>
      <c r="W377" s="37"/>
      <c r="X377" s="37"/>
      <c r="Y377" s="37"/>
      <c r="Z377" s="37"/>
    </row>
    <row r="378" spans="1:26" ht="15.75" customHeight="1" x14ac:dyDescent="0.25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U378" s="37"/>
      <c r="V378" s="37"/>
      <c r="W378" s="37"/>
      <c r="X378" s="37"/>
      <c r="Y378" s="37"/>
      <c r="Z378" s="37"/>
    </row>
    <row r="379" spans="1:26" ht="15.75" customHeight="1" x14ac:dyDescent="0.25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U379" s="37"/>
      <c r="V379" s="37"/>
      <c r="W379" s="37"/>
      <c r="X379" s="37"/>
      <c r="Y379" s="37"/>
      <c r="Z379" s="37"/>
    </row>
    <row r="380" spans="1:26" ht="15.75" customHeight="1" x14ac:dyDescent="0.25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U380" s="37"/>
      <c r="V380" s="37"/>
      <c r="W380" s="37"/>
      <c r="X380" s="37"/>
      <c r="Y380" s="37"/>
      <c r="Z380" s="37"/>
    </row>
    <row r="381" spans="1:26" ht="15.75" customHeight="1" x14ac:dyDescent="0.25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U381" s="37"/>
      <c r="V381" s="37"/>
      <c r="W381" s="37"/>
      <c r="X381" s="37"/>
      <c r="Y381" s="37"/>
      <c r="Z381" s="37"/>
    </row>
    <row r="382" spans="1:26" ht="15.75" customHeight="1" x14ac:dyDescent="0.25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U382" s="37"/>
      <c r="V382" s="37"/>
      <c r="W382" s="37"/>
      <c r="X382" s="37"/>
      <c r="Y382" s="37"/>
      <c r="Z382" s="37"/>
    </row>
    <row r="383" spans="1:26" ht="15.75" customHeight="1" x14ac:dyDescent="0.25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U383" s="37"/>
      <c r="V383" s="37"/>
      <c r="W383" s="37"/>
      <c r="X383" s="37"/>
      <c r="Y383" s="37"/>
      <c r="Z383" s="37"/>
    </row>
    <row r="384" spans="1:26" ht="15.75" customHeight="1" x14ac:dyDescent="0.25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U384" s="37"/>
      <c r="V384" s="37"/>
      <c r="W384" s="37"/>
      <c r="X384" s="37"/>
      <c r="Y384" s="37"/>
      <c r="Z384" s="37"/>
    </row>
    <row r="385" spans="1:26" ht="15.75" customHeight="1" x14ac:dyDescent="0.25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U385" s="37"/>
      <c r="V385" s="37"/>
      <c r="W385" s="37"/>
      <c r="X385" s="37"/>
      <c r="Y385" s="37"/>
      <c r="Z385" s="37"/>
    </row>
    <row r="386" spans="1:26" ht="15.75" customHeight="1" x14ac:dyDescent="0.25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U386" s="37"/>
      <c r="V386" s="37"/>
      <c r="W386" s="37"/>
      <c r="X386" s="37"/>
      <c r="Y386" s="37"/>
      <c r="Z386" s="37"/>
    </row>
    <row r="387" spans="1:26" ht="15.75" customHeight="1" x14ac:dyDescent="0.25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U387" s="37"/>
      <c r="V387" s="37"/>
      <c r="W387" s="37"/>
      <c r="X387" s="37"/>
      <c r="Y387" s="37"/>
      <c r="Z387" s="37"/>
    </row>
    <row r="388" spans="1:26" ht="15.75" customHeight="1" x14ac:dyDescent="0.25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U388" s="37"/>
      <c r="V388" s="37"/>
      <c r="W388" s="37"/>
      <c r="X388" s="37"/>
      <c r="Y388" s="37"/>
      <c r="Z388" s="37"/>
    </row>
    <row r="389" spans="1:26" ht="15.75" customHeight="1" x14ac:dyDescent="0.25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U389" s="37"/>
      <c r="V389" s="37"/>
      <c r="W389" s="37"/>
      <c r="X389" s="37"/>
      <c r="Y389" s="37"/>
      <c r="Z389" s="37"/>
    </row>
    <row r="390" spans="1:26" ht="15.75" customHeight="1" x14ac:dyDescent="0.25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U390" s="37"/>
      <c r="V390" s="37"/>
      <c r="W390" s="37"/>
      <c r="X390" s="37"/>
      <c r="Y390" s="37"/>
      <c r="Z390" s="37"/>
    </row>
    <row r="391" spans="1:26" ht="15.75" customHeight="1" x14ac:dyDescent="0.25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U391" s="37"/>
      <c r="V391" s="37"/>
      <c r="W391" s="37"/>
      <c r="X391" s="37"/>
      <c r="Y391" s="37"/>
      <c r="Z391" s="37"/>
    </row>
    <row r="392" spans="1:26" ht="15.75" customHeight="1" x14ac:dyDescent="0.25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U392" s="37"/>
      <c r="V392" s="37"/>
      <c r="W392" s="37"/>
      <c r="X392" s="37"/>
      <c r="Y392" s="37"/>
      <c r="Z392" s="37"/>
    </row>
    <row r="393" spans="1:26" ht="15.75" customHeight="1" x14ac:dyDescent="0.25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U393" s="37"/>
      <c r="V393" s="37"/>
      <c r="W393" s="37"/>
      <c r="X393" s="37"/>
      <c r="Y393" s="37"/>
      <c r="Z393" s="37"/>
    </row>
    <row r="394" spans="1:26" ht="15.75" customHeight="1" x14ac:dyDescent="0.25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U394" s="37"/>
      <c r="V394" s="37"/>
      <c r="W394" s="37"/>
      <c r="X394" s="37"/>
      <c r="Y394" s="37"/>
      <c r="Z394" s="37"/>
    </row>
    <row r="395" spans="1:26" ht="15.75" customHeight="1" x14ac:dyDescent="0.25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U395" s="37"/>
      <c r="V395" s="37"/>
      <c r="W395" s="37"/>
      <c r="X395" s="37"/>
      <c r="Y395" s="37"/>
      <c r="Z395" s="37"/>
    </row>
    <row r="396" spans="1:26" ht="15.75" customHeight="1" x14ac:dyDescent="0.25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U396" s="37"/>
      <c r="V396" s="37"/>
      <c r="W396" s="37"/>
      <c r="X396" s="37"/>
      <c r="Y396" s="37"/>
      <c r="Z396" s="37"/>
    </row>
    <row r="397" spans="1:26" ht="15.75" customHeight="1" x14ac:dyDescent="0.25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U397" s="37"/>
      <c r="V397" s="37"/>
      <c r="W397" s="37"/>
      <c r="X397" s="37"/>
      <c r="Y397" s="37"/>
      <c r="Z397" s="37"/>
    </row>
    <row r="398" spans="1:26" ht="15.75" customHeight="1" x14ac:dyDescent="0.25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U398" s="37"/>
      <c r="V398" s="37"/>
      <c r="W398" s="37"/>
      <c r="X398" s="37"/>
      <c r="Y398" s="37"/>
      <c r="Z398" s="37"/>
    </row>
    <row r="399" spans="1:26" ht="15.75" customHeight="1" x14ac:dyDescent="0.25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U399" s="37"/>
      <c r="V399" s="37"/>
      <c r="W399" s="37"/>
      <c r="X399" s="37"/>
      <c r="Y399" s="37"/>
      <c r="Z399" s="37"/>
    </row>
    <row r="400" spans="1:26" ht="15.75" customHeight="1" x14ac:dyDescent="0.25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U400" s="37"/>
      <c r="V400" s="37"/>
      <c r="W400" s="37"/>
      <c r="X400" s="37"/>
      <c r="Y400" s="37"/>
      <c r="Z400" s="37"/>
    </row>
    <row r="401" spans="1:26" ht="15.75" customHeight="1" x14ac:dyDescent="0.25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U401" s="37"/>
      <c r="V401" s="37"/>
      <c r="W401" s="37"/>
      <c r="X401" s="37"/>
      <c r="Y401" s="37"/>
      <c r="Z401" s="37"/>
    </row>
    <row r="402" spans="1:26" ht="15.75" customHeight="1" x14ac:dyDescent="0.25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U402" s="37"/>
      <c r="V402" s="37"/>
      <c r="W402" s="37"/>
      <c r="X402" s="37"/>
      <c r="Y402" s="37"/>
      <c r="Z402" s="37"/>
    </row>
    <row r="403" spans="1:26" ht="15.75" customHeight="1" x14ac:dyDescent="0.25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U403" s="37"/>
      <c r="V403" s="37"/>
      <c r="W403" s="37"/>
      <c r="X403" s="37"/>
      <c r="Y403" s="37"/>
      <c r="Z403" s="37"/>
    </row>
    <row r="404" spans="1:26" ht="15.75" customHeight="1" x14ac:dyDescent="0.25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U404" s="37"/>
      <c r="V404" s="37"/>
      <c r="W404" s="37"/>
      <c r="X404" s="37"/>
      <c r="Y404" s="37"/>
      <c r="Z404" s="37"/>
    </row>
    <row r="405" spans="1:26" ht="15.75" customHeight="1" x14ac:dyDescent="0.25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U405" s="37"/>
      <c r="V405" s="37"/>
      <c r="W405" s="37"/>
      <c r="X405" s="37"/>
      <c r="Y405" s="37"/>
      <c r="Z405" s="37"/>
    </row>
    <row r="406" spans="1:26" ht="15.75" customHeight="1" x14ac:dyDescent="0.25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U406" s="37"/>
      <c r="V406" s="37"/>
      <c r="W406" s="37"/>
      <c r="X406" s="37"/>
      <c r="Y406" s="37"/>
      <c r="Z406" s="37"/>
    </row>
    <row r="407" spans="1:26" ht="15.75" customHeight="1" x14ac:dyDescent="0.25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U407" s="37"/>
      <c r="V407" s="37"/>
      <c r="W407" s="37"/>
      <c r="X407" s="37"/>
      <c r="Y407" s="37"/>
      <c r="Z407" s="37"/>
    </row>
    <row r="408" spans="1:26" ht="15.75" customHeight="1" x14ac:dyDescent="0.25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U408" s="37"/>
      <c r="V408" s="37"/>
      <c r="W408" s="37"/>
      <c r="X408" s="37"/>
      <c r="Y408" s="37"/>
      <c r="Z408" s="37"/>
    </row>
    <row r="409" spans="1:26" ht="15.75" customHeight="1" x14ac:dyDescent="0.25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U409" s="37"/>
      <c r="V409" s="37"/>
      <c r="W409" s="37"/>
      <c r="X409" s="37"/>
      <c r="Y409" s="37"/>
      <c r="Z409" s="37"/>
    </row>
    <row r="410" spans="1:26" ht="15.75" customHeight="1" x14ac:dyDescent="0.25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U410" s="37"/>
      <c r="V410" s="37"/>
      <c r="W410" s="37"/>
      <c r="X410" s="37"/>
      <c r="Y410" s="37"/>
      <c r="Z410" s="37"/>
    </row>
    <row r="411" spans="1:26" ht="15.75" customHeight="1" x14ac:dyDescent="0.25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U411" s="37"/>
      <c r="V411" s="37"/>
      <c r="W411" s="37"/>
      <c r="X411" s="37"/>
      <c r="Y411" s="37"/>
      <c r="Z411" s="37"/>
    </row>
    <row r="412" spans="1:26" ht="15.75" customHeight="1" x14ac:dyDescent="0.25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U412" s="37"/>
      <c r="V412" s="37"/>
      <c r="W412" s="37"/>
      <c r="X412" s="37"/>
      <c r="Y412" s="37"/>
      <c r="Z412" s="37"/>
    </row>
    <row r="413" spans="1:26" ht="15.75" customHeight="1" x14ac:dyDescent="0.25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U413" s="37"/>
      <c r="V413" s="37"/>
      <c r="W413" s="37"/>
      <c r="X413" s="37"/>
      <c r="Y413" s="37"/>
      <c r="Z413" s="37"/>
    </row>
    <row r="414" spans="1:26" ht="15.75" customHeight="1" x14ac:dyDescent="0.25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U414" s="37"/>
      <c r="V414" s="37"/>
      <c r="W414" s="37"/>
      <c r="X414" s="37"/>
      <c r="Y414" s="37"/>
      <c r="Z414" s="37"/>
    </row>
    <row r="415" spans="1:26" ht="15.75" customHeight="1" x14ac:dyDescent="0.25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U415" s="37"/>
      <c r="V415" s="37"/>
      <c r="W415" s="37"/>
      <c r="X415" s="37"/>
      <c r="Y415" s="37"/>
      <c r="Z415" s="37"/>
    </row>
    <row r="416" spans="1:26" ht="15.75" customHeight="1" x14ac:dyDescent="0.25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U416" s="37"/>
      <c r="V416" s="37"/>
      <c r="W416" s="37"/>
      <c r="X416" s="37"/>
      <c r="Y416" s="37"/>
      <c r="Z416" s="37"/>
    </row>
    <row r="417" spans="1:26" ht="15.75" customHeight="1" x14ac:dyDescent="0.25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U417" s="37"/>
      <c r="V417" s="37"/>
      <c r="W417" s="37"/>
      <c r="X417" s="37"/>
      <c r="Y417" s="37"/>
      <c r="Z417" s="37"/>
    </row>
    <row r="418" spans="1:26" ht="15.75" customHeight="1" x14ac:dyDescent="0.25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U418" s="37"/>
      <c r="V418" s="37"/>
      <c r="W418" s="37"/>
      <c r="X418" s="37"/>
      <c r="Y418" s="37"/>
      <c r="Z418" s="37"/>
    </row>
    <row r="419" spans="1:26" ht="15.75" customHeight="1" x14ac:dyDescent="0.25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U419" s="37"/>
      <c r="V419" s="37"/>
      <c r="W419" s="37"/>
      <c r="X419" s="37"/>
      <c r="Y419" s="37"/>
      <c r="Z419" s="37"/>
    </row>
    <row r="420" spans="1:26" ht="15.75" customHeight="1" x14ac:dyDescent="0.25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U420" s="37"/>
      <c r="V420" s="37"/>
      <c r="W420" s="37"/>
      <c r="X420" s="37"/>
      <c r="Y420" s="37"/>
      <c r="Z420" s="37"/>
    </row>
    <row r="421" spans="1:26" ht="15.75" customHeight="1" x14ac:dyDescent="0.25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U421" s="37"/>
      <c r="V421" s="37"/>
      <c r="W421" s="37"/>
      <c r="X421" s="37"/>
      <c r="Y421" s="37"/>
      <c r="Z421" s="37"/>
    </row>
    <row r="422" spans="1:26" ht="15.75" customHeight="1" x14ac:dyDescent="0.25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U422" s="37"/>
      <c r="V422" s="37"/>
      <c r="W422" s="37"/>
      <c r="X422" s="37"/>
      <c r="Y422" s="37"/>
      <c r="Z422" s="37"/>
    </row>
    <row r="423" spans="1:26" ht="15.75" customHeight="1" x14ac:dyDescent="0.25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U423" s="37"/>
      <c r="V423" s="37"/>
      <c r="W423" s="37"/>
      <c r="X423" s="37"/>
      <c r="Y423" s="37"/>
      <c r="Z423" s="37"/>
    </row>
    <row r="424" spans="1:26" ht="15.75" customHeight="1" x14ac:dyDescent="0.25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U424" s="37"/>
      <c r="V424" s="37"/>
      <c r="W424" s="37"/>
      <c r="X424" s="37"/>
      <c r="Y424" s="37"/>
      <c r="Z424" s="37"/>
    </row>
    <row r="425" spans="1:26" ht="15.75" customHeight="1" x14ac:dyDescent="0.25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U425" s="37"/>
      <c r="V425" s="37"/>
      <c r="W425" s="37"/>
      <c r="X425" s="37"/>
      <c r="Y425" s="37"/>
      <c r="Z425" s="37"/>
    </row>
    <row r="426" spans="1:26" ht="15.75" customHeight="1" x14ac:dyDescent="0.25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U426" s="37"/>
      <c r="V426" s="37"/>
      <c r="W426" s="37"/>
      <c r="X426" s="37"/>
      <c r="Y426" s="37"/>
      <c r="Z426" s="37"/>
    </row>
    <row r="427" spans="1:26" ht="15.75" customHeight="1" x14ac:dyDescent="0.25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U427" s="37"/>
      <c r="V427" s="37"/>
      <c r="W427" s="37"/>
      <c r="X427" s="37"/>
      <c r="Y427" s="37"/>
      <c r="Z427" s="37"/>
    </row>
    <row r="428" spans="1:26" ht="15.75" customHeight="1" x14ac:dyDescent="0.25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U428" s="37"/>
      <c r="V428" s="37"/>
      <c r="W428" s="37"/>
      <c r="X428" s="37"/>
      <c r="Y428" s="37"/>
      <c r="Z428" s="37"/>
    </row>
    <row r="429" spans="1:26" ht="15.75" customHeight="1" x14ac:dyDescent="0.25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U429" s="37"/>
      <c r="V429" s="37"/>
      <c r="W429" s="37"/>
      <c r="X429" s="37"/>
      <c r="Y429" s="37"/>
      <c r="Z429" s="37"/>
    </row>
    <row r="430" spans="1:26" ht="15.75" customHeight="1" x14ac:dyDescent="0.25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U430" s="37"/>
      <c r="V430" s="37"/>
      <c r="W430" s="37"/>
      <c r="X430" s="37"/>
      <c r="Y430" s="37"/>
      <c r="Z430" s="37"/>
    </row>
    <row r="431" spans="1:26" ht="15.75" customHeight="1" x14ac:dyDescent="0.25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U431" s="37"/>
      <c r="V431" s="37"/>
      <c r="W431" s="37"/>
      <c r="X431" s="37"/>
      <c r="Y431" s="37"/>
      <c r="Z431" s="37"/>
    </row>
    <row r="432" spans="1:26" ht="15.75" customHeight="1" x14ac:dyDescent="0.25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U432" s="37"/>
      <c r="V432" s="37"/>
      <c r="W432" s="37"/>
      <c r="X432" s="37"/>
      <c r="Y432" s="37"/>
      <c r="Z432" s="37"/>
    </row>
    <row r="433" spans="1:26" ht="15.75" customHeight="1" x14ac:dyDescent="0.25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U433" s="37"/>
      <c r="V433" s="37"/>
      <c r="W433" s="37"/>
      <c r="X433" s="37"/>
      <c r="Y433" s="37"/>
      <c r="Z433" s="37"/>
    </row>
    <row r="434" spans="1:26" ht="15.75" customHeight="1" x14ac:dyDescent="0.25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U434" s="37"/>
      <c r="V434" s="37"/>
      <c r="W434" s="37"/>
      <c r="X434" s="37"/>
      <c r="Y434" s="37"/>
      <c r="Z434" s="37"/>
    </row>
    <row r="435" spans="1:26" ht="15.75" customHeight="1" x14ac:dyDescent="0.25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U435" s="37"/>
      <c r="V435" s="37"/>
      <c r="W435" s="37"/>
      <c r="X435" s="37"/>
      <c r="Y435" s="37"/>
      <c r="Z435" s="37"/>
    </row>
    <row r="436" spans="1:26" ht="15.75" customHeight="1" x14ac:dyDescent="0.25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U436" s="37"/>
      <c r="V436" s="37"/>
      <c r="W436" s="37"/>
      <c r="X436" s="37"/>
      <c r="Y436" s="37"/>
      <c r="Z436" s="37"/>
    </row>
    <row r="437" spans="1:26" ht="15.75" customHeight="1" x14ac:dyDescent="0.25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U437" s="37"/>
      <c r="V437" s="37"/>
      <c r="W437" s="37"/>
      <c r="X437" s="37"/>
      <c r="Y437" s="37"/>
      <c r="Z437" s="37"/>
    </row>
    <row r="438" spans="1:26" ht="15.75" customHeight="1" x14ac:dyDescent="0.25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U438" s="37"/>
      <c r="V438" s="37"/>
      <c r="W438" s="37"/>
      <c r="X438" s="37"/>
      <c r="Y438" s="37"/>
      <c r="Z438" s="37"/>
    </row>
    <row r="439" spans="1:26" ht="15.75" customHeight="1" x14ac:dyDescent="0.25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U439" s="37"/>
      <c r="V439" s="37"/>
      <c r="W439" s="37"/>
      <c r="X439" s="37"/>
      <c r="Y439" s="37"/>
      <c r="Z439" s="37"/>
    </row>
    <row r="440" spans="1:26" ht="15.75" customHeight="1" x14ac:dyDescent="0.25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U440" s="37"/>
      <c r="V440" s="37"/>
      <c r="W440" s="37"/>
      <c r="X440" s="37"/>
      <c r="Y440" s="37"/>
      <c r="Z440" s="37"/>
    </row>
    <row r="441" spans="1:26" ht="15.75" customHeight="1" x14ac:dyDescent="0.25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U441" s="37"/>
      <c r="V441" s="37"/>
      <c r="W441" s="37"/>
      <c r="X441" s="37"/>
      <c r="Y441" s="37"/>
      <c r="Z441" s="37"/>
    </row>
    <row r="442" spans="1:26" ht="15.75" customHeight="1" x14ac:dyDescent="0.25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U442" s="37"/>
      <c r="V442" s="37"/>
      <c r="W442" s="37"/>
      <c r="X442" s="37"/>
      <c r="Y442" s="37"/>
      <c r="Z442" s="37"/>
    </row>
    <row r="443" spans="1:26" ht="15.75" customHeight="1" x14ac:dyDescent="0.25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U443" s="37"/>
      <c r="V443" s="37"/>
      <c r="W443" s="37"/>
      <c r="X443" s="37"/>
      <c r="Y443" s="37"/>
      <c r="Z443" s="37"/>
    </row>
    <row r="444" spans="1:26" ht="15.75" customHeight="1" x14ac:dyDescent="0.25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U444" s="37"/>
      <c r="V444" s="37"/>
      <c r="W444" s="37"/>
      <c r="X444" s="37"/>
      <c r="Y444" s="37"/>
      <c r="Z444" s="37"/>
    </row>
    <row r="445" spans="1:26" ht="15.75" customHeight="1" x14ac:dyDescent="0.25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U445" s="37"/>
      <c r="V445" s="37"/>
      <c r="W445" s="37"/>
      <c r="X445" s="37"/>
      <c r="Y445" s="37"/>
      <c r="Z445" s="37"/>
    </row>
    <row r="446" spans="1:26" ht="15.75" customHeight="1" x14ac:dyDescent="0.25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U446" s="37"/>
      <c r="V446" s="37"/>
      <c r="W446" s="37"/>
      <c r="X446" s="37"/>
      <c r="Y446" s="37"/>
      <c r="Z446" s="37"/>
    </row>
    <row r="447" spans="1:26" ht="15.75" customHeight="1" x14ac:dyDescent="0.25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U447" s="37"/>
      <c r="V447" s="37"/>
      <c r="W447" s="37"/>
      <c r="X447" s="37"/>
      <c r="Y447" s="37"/>
      <c r="Z447" s="37"/>
    </row>
    <row r="448" spans="1:26" ht="15.75" customHeight="1" x14ac:dyDescent="0.25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U448" s="37"/>
      <c r="V448" s="37"/>
      <c r="W448" s="37"/>
      <c r="X448" s="37"/>
      <c r="Y448" s="37"/>
      <c r="Z448" s="37"/>
    </row>
    <row r="449" spans="1:26" ht="15.75" customHeight="1" x14ac:dyDescent="0.25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U449" s="37"/>
      <c r="V449" s="37"/>
      <c r="W449" s="37"/>
      <c r="X449" s="37"/>
      <c r="Y449" s="37"/>
      <c r="Z449" s="37"/>
    </row>
    <row r="450" spans="1:26" ht="15.75" customHeight="1" x14ac:dyDescent="0.25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U450" s="37"/>
      <c r="V450" s="37"/>
      <c r="W450" s="37"/>
      <c r="X450" s="37"/>
      <c r="Y450" s="37"/>
      <c r="Z450" s="37"/>
    </row>
    <row r="451" spans="1:26" ht="15.75" customHeight="1" x14ac:dyDescent="0.25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U451" s="37"/>
      <c r="V451" s="37"/>
      <c r="W451" s="37"/>
      <c r="X451" s="37"/>
      <c r="Y451" s="37"/>
      <c r="Z451" s="37"/>
    </row>
    <row r="452" spans="1:26" ht="15.75" customHeight="1" x14ac:dyDescent="0.25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U452" s="37"/>
      <c r="V452" s="37"/>
      <c r="W452" s="37"/>
      <c r="X452" s="37"/>
      <c r="Y452" s="37"/>
      <c r="Z452" s="37"/>
    </row>
    <row r="453" spans="1:26" ht="15.75" customHeight="1" x14ac:dyDescent="0.25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U453" s="37"/>
      <c r="V453" s="37"/>
      <c r="W453" s="37"/>
      <c r="X453" s="37"/>
      <c r="Y453" s="37"/>
      <c r="Z453" s="37"/>
    </row>
    <row r="454" spans="1:26" ht="15.75" customHeight="1" x14ac:dyDescent="0.25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U454" s="37"/>
      <c r="V454" s="37"/>
      <c r="W454" s="37"/>
      <c r="X454" s="37"/>
      <c r="Y454" s="37"/>
      <c r="Z454" s="37"/>
    </row>
    <row r="455" spans="1:26" ht="15.75" customHeight="1" x14ac:dyDescent="0.25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U455" s="37"/>
      <c r="V455" s="37"/>
      <c r="W455" s="37"/>
      <c r="X455" s="37"/>
      <c r="Y455" s="37"/>
      <c r="Z455" s="37"/>
    </row>
    <row r="456" spans="1:26" ht="15.75" customHeight="1" x14ac:dyDescent="0.25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U456" s="37"/>
      <c r="V456" s="37"/>
      <c r="W456" s="37"/>
      <c r="X456" s="37"/>
      <c r="Y456" s="37"/>
      <c r="Z456" s="37"/>
    </row>
    <row r="457" spans="1:26" ht="15.75" customHeight="1" x14ac:dyDescent="0.25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U457" s="37"/>
      <c r="V457" s="37"/>
      <c r="W457" s="37"/>
      <c r="X457" s="37"/>
      <c r="Y457" s="37"/>
      <c r="Z457" s="37"/>
    </row>
    <row r="458" spans="1:26" ht="15.75" customHeight="1" x14ac:dyDescent="0.25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U458" s="37"/>
      <c r="V458" s="37"/>
      <c r="W458" s="37"/>
      <c r="X458" s="37"/>
      <c r="Y458" s="37"/>
      <c r="Z458" s="37"/>
    </row>
    <row r="459" spans="1:26" ht="15.75" customHeight="1" x14ac:dyDescent="0.25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U459" s="37"/>
      <c r="V459" s="37"/>
      <c r="W459" s="37"/>
      <c r="X459" s="37"/>
      <c r="Y459" s="37"/>
      <c r="Z459" s="37"/>
    </row>
    <row r="460" spans="1:26" ht="15.75" customHeight="1" x14ac:dyDescent="0.25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U460" s="37"/>
      <c r="V460" s="37"/>
      <c r="W460" s="37"/>
      <c r="X460" s="37"/>
      <c r="Y460" s="37"/>
      <c r="Z460" s="37"/>
    </row>
    <row r="461" spans="1:26" ht="15.75" customHeight="1" x14ac:dyDescent="0.25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U461" s="37"/>
      <c r="V461" s="37"/>
      <c r="W461" s="37"/>
      <c r="X461" s="37"/>
      <c r="Y461" s="37"/>
      <c r="Z461" s="37"/>
    </row>
    <row r="462" spans="1:26" ht="15.75" customHeight="1" x14ac:dyDescent="0.25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U462" s="37"/>
      <c r="V462" s="37"/>
      <c r="W462" s="37"/>
      <c r="X462" s="37"/>
      <c r="Y462" s="37"/>
      <c r="Z462" s="37"/>
    </row>
    <row r="463" spans="1:26" ht="15.75" customHeight="1" x14ac:dyDescent="0.25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U463" s="37"/>
      <c r="V463" s="37"/>
      <c r="W463" s="37"/>
      <c r="X463" s="37"/>
      <c r="Y463" s="37"/>
      <c r="Z463" s="37"/>
    </row>
    <row r="464" spans="1:26" ht="15.75" customHeight="1" x14ac:dyDescent="0.25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U464" s="37"/>
      <c r="V464" s="37"/>
      <c r="W464" s="37"/>
      <c r="X464" s="37"/>
      <c r="Y464" s="37"/>
      <c r="Z464" s="37"/>
    </row>
    <row r="465" spans="1:26" ht="15.75" customHeight="1" x14ac:dyDescent="0.25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U465" s="37"/>
      <c r="V465" s="37"/>
      <c r="W465" s="37"/>
      <c r="X465" s="37"/>
      <c r="Y465" s="37"/>
      <c r="Z465" s="37"/>
    </row>
    <row r="466" spans="1:26" ht="15.75" customHeight="1" x14ac:dyDescent="0.25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U466" s="37"/>
      <c r="V466" s="37"/>
      <c r="W466" s="37"/>
      <c r="X466" s="37"/>
      <c r="Y466" s="37"/>
      <c r="Z466" s="37"/>
    </row>
    <row r="467" spans="1:26" ht="15.75" customHeight="1" x14ac:dyDescent="0.25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U467" s="37"/>
      <c r="V467" s="37"/>
      <c r="W467" s="37"/>
      <c r="X467" s="37"/>
      <c r="Y467" s="37"/>
      <c r="Z467" s="37"/>
    </row>
    <row r="468" spans="1:26" ht="15.75" customHeight="1" x14ac:dyDescent="0.25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U468" s="37"/>
      <c r="V468" s="37"/>
      <c r="W468" s="37"/>
      <c r="X468" s="37"/>
      <c r="Y468" s="37"/>
      <c r="Z468" s="37"/>
    </row>
    <row r="469" spans="1:26" ht="15.75" customHeight="1" x14ac:dyDescent="0.25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U469" s="37"/>
      <c r="V469" s="37"/>
      <c r="W469" s="37"/>
      <c r="X469" s="37"/>
      <c r="Y469" s="37"/>
      <c r="Z469" s="37"/>
    </row>
    <row r="470" spans="1:26" ht="15.75" customHeight="1" x14ac:dyDescent="0.25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U470" s="37"/>
      <c r="V470" s="37"/>
      <c r="W470" s="37"/>
      <c r="X470" s="37"/>
      <c r="Y470" s="37"/>
      <c r="Z470" s="37"/>
    </row>
    <row r="471" spans="1:26" ht="15.75" customHeight="1" x14ac:dyDescent="0.25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U471" s="37"/>
      <c r="V471" s="37"/>
      <c r="W471" s="37"/>
      <c r="X471" s="37"/>
      <c r="Y471" s="37"/>
      <c r="Z471" s="37"/>
    </row>
    <row r="472" spans="1:26" ht="15.75" customHeight="1" x14ac:dyDescent="0.25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U472" s="37"/>
      <c r="V472" s="37"/>
      <c r="W472" s="37"/>
      <c r="X472" s="37"/>
      <c r="Y472" s="37"/>
      <c r="Z472" s="37"/>
    </row>
    <row r="473" spans="1:26" ht="15.75" customHeight="1" x14ac:dyDescent="0.25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U473" s="37"/>
      <c r="V473" s="37"/>
      <c r="W473" s="37"/>
      <c r="X473" s="37"/>
      <c r="Y473" s="37"/>
      <c r="Z473" s="37"/>
    </row>
    <row r="474" spans="1:26" ht="15.75" customHeight="1" x14ac:dyDescent="0.25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U474" s="37"/>
      <c r="V474" s="37"/>
      <c r="W474" s="37"/>
      <c r="X474" s="37"/>
      <c r="Y474" s="37"/>
      <c r="Z474" s="37"/>
    </row>
    <row r="475" spans="1:26" ht="15.75" customHeight="1" x14ac:dyDescent="0.25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U475" s="37"/>
      <c r="V475" s="37"/>
      <c r="W475" s="37"/>
      <c r="X475" s="37"/>
      <c r="Y475" s="37"/>
      <c r="Z475" s="37"/>
    </row>
    <row r="476" spans="1:26" ht="15.75" customHeight="1" x14ac:dyDescent="0.25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U476" s="37"/>
      <c r="V476" s="37"/>
      <c r="W476" s="37"/>
      <c r="X476" s="37"/>
      <c r="Y476" s="37"/>
      <c r="Z476" s="37"/>
    </row>
    <row r="477" spans="1:26" ht="15.75" customHeight="1" x14ac:dyDescent="0.25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U477" s="37"/>
      <c r="V477" s="37"/>
      <c r="W477" s="37"/>
      <c r="X477" s="37"/>
      <c r="Y477" s="37"/>
      <c r="Z477" s="37"/>
    </row>
    <row r="478" spans="1:26" ht="15.75" customHeight="1" x14ac:dyDescent="0.25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U478" s="37"/>
      <c r="V478" s="37"/>
      <c r="W478" s="37"/>
      <c r="X478" s="37"/>
      <c r="Y478" s="37"/>
      <c r="Z478" s="37"/>
    </row>
    <row r="479" spans="1:26" ht="15.75" customHeight="1" x14ac:dyDescent="0.25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U479" s="37"/>
      <c r="V479" s="37"/>
      <c r="W479" s="37"/>
      <c r="X479" s="37"/>
      <c r="Y479" s="37"/>
      <c r="Z479" s="37"/>
    </row>
    <row r="480" spans="1:26" ht="15.75" customHeight="1" x14ac:dyDescent="0.25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U480" s="37"/>
      <c r="V480" s="37"/>
      <c r="W480" s="37"/>
      <c r="X480" s="37"/>
      <c r="Y480" s="37"/>
      <c r="Z480" s="37"/>
    </row>
    <row r="481" spans="1:26" ht="15.75" customHeight="1" x14ac:dyDescent="0.25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U481" s="37"/>
      <c r="V481" s="37"/>
      <c r="W481" s="37"/>
      <c r="X481" s="37"/>
      <c r="Y481" s="37"/>
      <c r="Z481" s="37"/>
    </row>
    <row r="482" spans="1:26" ht="15.75" customHeight="1" x14ac:dyDescent="0.25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U482" s="37"/>
      <c r="V482" s="37"/>
      <c r="W482" s="37"/>
      <c r="X482" s="37"/>
      <c r="Y482" s="37"/>
      <c r="Z482" s="37"/>
    </row>
    <row r="483" spans="1:26" ht="15.75" customHeight="1" x14ac:dyDescent="0.25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U483" s="37"/>
      <c r="V483" s="37"/>
      <c r="W483" s="37"/>
      <c r="X483" s="37"/>
      <c r="Y483" s="37"/>
      <c r="Z483" s="37"/>
    </row>
    <row r="484" spans="1:26" ht="15.75" customHeight="1" x14ac:dyDescent="0.25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U484" s="37"/>
      <c r="V484" s="37"/>
      <c r="W484" s="37"/>
      <c r="X484" s="37"/>
      <c r="Y484" s="37"/>
      <c r="Z484" s="37"/>
    </row>
    <row r="485" spans="1:26" ht="15.75" customHeight="1" x14ac:dyDescent="0.25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U485" s="37"/>
      <c r="V485" s="37"/>
      <c r="W485" s="37"/>
      <c r="X485" s="37"/>
      <c r="Y485" s="37"/>
      <c r="Z485" s="37"/>
    </row>
    <row r="486" spans="1:26" ht="15.75" customHeight="1" x14ac:dyDescent="0.25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U486" s="37"/>
      <c r="V486" s="37"/>
      <c r="W486" s="37"/>
      <c r="X486" s="37"/>
      <c r="Y486" s="37"/>
      <c r="Z486" s="37"/>
    </row>
    <row r="487" spans="1:26" ht="15.75" customHeight="1" x14ac:dyDescent="0.25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U487" s="37"/>
      <c r="V487" s="37"/>
      <c r="W487" s="37"/>
      <c r="X487" s="37"/>
      <c r="Y487" s="37"/>
      <c r="Z487" s="37"/>
    </row>
    <row r="488" spans="1:26" ht="15.75" customHeight="1" x14ac:dyDescent="0.25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U488" s="37"/>
      <c r="V488" s="37"/>
      <c r="W488" s="37"/>
      <c r="X488" s="37"/>
      <c r="Y488" s="37"/>
      <c r="Z488" s="37"/>
    </row>
    <row r="489" spans="1:26" ht="15.75" customHeight="1" x14ac:dyDescent="0.25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U489" s="37"/>
      <c r="V489" s="37"/>
      <c r="W489" s="37"/>
      <c r="X489" s="37"/>
      <c r="Y489" s="37"/>
      <c r="Z489" s="37"/>
    </row>
    <row r="490" spans="1:26" ht="15.75" customHeight="1" x14ac:dyDescent="0.25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U490" s="37"/>
      <c r="V490" s="37"/>
      <c r="W490" s="37"/>
      <c r="X490" s="37"/>
      <c r="Y490" s="37"/>
      <c r="Z490" s="37"/>
    </row>
    <row r="491" spans="1:26" ht="15.75" customHeight="1" x14ac:dyDescent="0.25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U491" s="37"/>
      <c r="V491" s="37"/>
      <c r="W491" s="37"/>
      <c r="X491" s="37"/>
      <c r="Y491" s="37"/>
      <c r="Z491" s="37"/>
    </row>
    <row r="492" spans="1:26" ht="15.75" customHeight="1" x14ac:dyDescent="0.25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U492" s="37"/>
      <c r="V492" s="37"/>
      <c r="W492" s="37"/>
      <c r="X492" s="37"/>
      <c r="Y492" s="37"/>
      <c r="Z492" s="37"/>
    </row>
    <row r="493" spans="1:26" ht="15.75" customHeight="1" x14ac:dyDescent="0.25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U493" s="37"/>
      <c r="V493" s="37"/>
      <c r="W493" s="37"/>
      <c r="X493" s="37"/>
      <c r="Y493" s="37"/>
      <c r="Z493" s="37"/>
    </row>
    <row r="494" spans="1:26" ht="15.75" customHeight="1" x14ac:dyDescent="0.25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U494" s="37"/>
      <c r="V494" s="37"/>
      <c r="W494" s="37"/>
      <c r="X494" s="37"/>
      <c r="Y494" s="37"/>
      <c r="Z494" s="37"/>
    </row>
    <row r="495" spans="1:26" ht="15.75" customHeight="1" x14ac:dyDescent="0.25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U495" s="37"/>
      <c r="V495" s="37"/>
      <c r="W495" s="37"/>
      <c r="X495" s="37"/>
      <c r="Y495" s="37"/>
      <c r="Z495" s="37"/>
    </row>
    <row r="496" spans="1:26" ht="15.75" customHeight="1" x14ac:dyDescent="0.25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U496" s="37"/>
      <c r="V496" s="37"/>
      <c r="W496" s="37"/>
      <c r="X496" s="37"/>
      <c r="Y496" s="37"/>
      <c r="Z496" s="37"/>
    </row>
    <row r="497" spans="1:26" ht="15.75" customHeight="1" x14ac:dyDescent="0.25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U497" s="37"/>
      <c r="V497" s="37"/>
      <c r="W497" s="37"/>
      <c r="X497" s="37"/>
      <c r="Y497" s="37"/>
      <c r="Z497" s="37"/>
    </row>
    <row r="498" spans="1:26" ht="15.75" customHeight="1" x14ac:dyDescent="0.25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U498" s="37"/>
      <c r="V498" s="37"/>
      <c r="W498" s="37"/>
      <c r="X498" s="37"/>
      <c r="Y498" s="37"/>
      <c r="Z498" s="37"/>
    </row>
    <row r="499" spans="1:26" ht="15.75" customHeight="1" x14ac:dyDescent="0.25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U499" s="37"/>
      <c r="V499" s="37"/>
      <c r="W499" s="37"/>
      <c r="X499" s="37"/>
      <c r="Y499" s="37"/>
      <c r="Z499" s="37"/>
    </row>
    <row r="500" spans="1:26" ht="15.75" customHeight="1" x14ac:dyDescent="0.25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U500" s="37"/>
      <c r="V500" s="37"/>
      <c r="W500" s="37"/>
      <c r="X500" s="37"/>
      <c r="Y500" s="37"/>
      <c r="Z500" s="37"/>
    </row>
    <row r="501" spans="1:26" ht="15.75" customHeight="1" x14ac:dyDescent="0.25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U501" s="37"/>
      <c r="V501" s="37"/>
      <c r="W501" s="37"/>
      <c r="X501" s="37"/>
      <c r="Y501" s="37"/>
      <c r="Z501" s="37"/>
    </row>
    <row r="502" spans="1:26" ht="15.75" customHeight="1" x14ac:dyDescent="0.25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U502" s="37"/>
      <c r="V502" s="37"/>
      <c r="W502" s="37"/>
      <c r="X502" s="37"/>
      <c r="Y502" s="37"/>
      <c r="Z502" s="37"/>
    </row>
    <row r="503" spans="1:26" ht="15.75" customHeight="1" x14ac:dyDescent="0.25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U503" s="37"/>
      <c r="V503" s="37"/>
      <c r="W503" s="37"/>
      <c r="X503" s="37"/>
      <c r="Y503" s="37"/>
      <c r="Z503" s="37"/>
    </row>
    <row r="504" spans="1:26" ht="15.75" customHeight="1" x14ac:dyDescent="0.25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U504" s="37"/>
      <c r="V504" s="37"/>
      <c r="W504" s="37"/>
      <c r="X504" s="37"/>
      <c r="Y504" s="37"/>
      <c r="Z504" s="37"/>
    </row>
    <row r="505" spans="1:26" ht="15.75" customHeight="1" x14ac:dyDescent="0.25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U505" s="37"/>
      <c r="V505" s="37"/>
      <c r="W505" s="37"/>
      <c r="X505" s="37"/>
      <c r="Y505" s="37"/>
      <c r="Z505" s="37"/>
    </row>
    <row r="506" spans="1:26" ht="15.75" customHeight="1" x14ac:dyDescent="0.25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U506" s="37"/>
      <c r="V506" s="37"/>
      <c r="W506" s="37"/>
      <c r="X506" s="37"/>
      <c r="Y506" s="37"/>
      <c r="Z506" s="37"/>
    </row>
    <row r="507" spans="1:26" ht="15.75" customHeight="1" x14ac:dyDescent="0.25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U507" s="37"/>
      <c r="V507" s="37"/>
      <c r="W507" s="37"/>
      <c r="X507" s="37"/>
      <c r="Y507" s="37"/>
      <c r="Z507" s="37"/>
    </row>
    <row r="508" spans="1:26" ht="15.75" customHeight="1" x14ac:dyDescent="0.25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U508" s="37"/>
      <c r="V508" s="37"/>
      <c r="W508" s="37"/>
      <c r="X508" s="37"/>
      <c r="Y508" s="37"/>
      <c r="Z508" s="37"/>
    </row>
    <row r="509" spans="1:26" ht="15.75" customHeight="1" x14ac:dyDescent="0.25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U509" s="37"/>
      <c r="V509" s="37"/>
      <c r="W509" s="37"/>
      <c r="X509" s="37"/>
      <c r="Y509" s="37"/>
      <c r="Z509" s="37"/>
    </row>
    <row r="510" spans="1:26" ht="15.75" customHeight="1" x14ac:dyDescent="0.25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U510" s="37"/>
      <c r="V510" s="37"/>
      <c r="W510" s="37"/>
      <c r="X510" s="37"/>
      <c r="Y510" s="37"/>
      <c r="Z510" s="37"/>
    </row>
    <row r="511" spans="1:26" ht="15.75" customHeight="1" x14ac:dyDescent="0.25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U511" s="37"/>
      <c r="V511" s="37"/>
      <c r="W511" s="37"/>
      <c r="X511" s="37"/>
      <c r="Y511" s="37"/>
      <c r="Z511" s="37"/>
    </row>
    <row r="512" spans="1:26" ht="15.75" customHeight="1" x14ac:dyDescent="0.25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U512" s="37"/>
      <c r="V512" s="37"/>
      <c r="W512" s="37"/>
      <c r="X512" s="37"/>
      <c r="Y512" s="37"/>
      <c r="Z512" s="37"/>
    </row>
    <row r="513" spans="1:26" ht="15.75" customHeight="1" x14ac:dyDescent="0.25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U513" s="37"/>
      <c r="V513" s="37"/>
      <c r="W513" s="37"/>
      <c r="X513" s="37"/>
      <c r="Y513" s="37"/>
      <c r="Z513" s="37"/>
    </row>
    <row r="514" spans="1:26" ht="15.75" customHeight="1" x14ac:dyDescent="0.25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U514" s="37"/>
      <c r="V514" s="37"/>
      <c r="W514" s="37"/>
      <c r="X514" s="37"/>
      <c r="Y514" s="37"/>
      <c r="Z514" s="37"/>
    </row>
    <row r="515" spans="1:26" ht="15.75" customHeight="1" x14ac:dyDescent="0.25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U515" s="37"/>
      <c r="V515" s="37"/>
      <c r="W515" s="37"/>
      <c r="X515" s="37"/>
      <c r="Y515" s="37"/>
      <c r="Z515" s="37"/>
    </row>
    <row r="516" spans="1:26" ht="15.75" customHeight="1" x14ac:dyDescent="0.25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U516" s="37"/>
      <c r="V516" s="37"/>
      <c r="W516" s="37"/>
      <c r="X516" s="37"/>
      <c r="Y516" s="37"/>
      <c r="Z516" s="37"/>
    </row>
    <row r="517" spans="1:26" ht="15.75" customHeight="1" x14ac:dyDescent="0.25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U517" s="37"/>
      <c r="V517" s="37"/>
      <c r="W517" s="37"/>
      <c r="X517" s="37"/>
      <c r="Y517" s="37"/>
      <c r="Z517" s="37"/>
    </row>
    <row r="518" spans="1:26" ht="15.75" customHeight="1" x14ac:dyDescent="0.25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U518" s="37"/>
      <c r="V518" s="37"/>
      <c r="W518" s="37"/>
      <c r="X518" s="37"/>
      <c r="Y518" s="37"/>
      <c r="Z518" s="37"/>
    </row>
    <row r="519" spans="1:26" ht="15.75" customHeight="1" x14ac:dyDescent="0.25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U519" s="37"/>
      <c r="V519" s="37"/>
      <c r="W519" s="37"/>
      <c r="X519" s="37"/>
      <c r="Y519" s="37"/>
      <c r="Z519" s="37"/>
    </row>
    <row r="520" spans="1:26" ht="15.75" customHeight="1" x14ac:dyDescent="0.25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U520" s="37"/>
      <c r="V520" s="37"/>
      <c r="W520" s="37"/>
      <c r="X520" s="37"/>
      <c r="Y520" s="37"/>
      <c r="Z520" s="37"/>
    </row>
    <row r="521" spans="1:26" ht="15.75" customHeight="1" x14ac:dyDescent="0.25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U521" s="37"/>
      <c r="V521" s="37"/>
      <c r="W521" s="37"/>
      <c r="X521" s="37"/>
      <c r="Y521" s="37"/>
      <c r="Z521" s="37"/>
    </row>
    <row r="522" spans="1:26" ht="15.75" customHeight="1" x14ac:dyDescent="0.25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U522" s="37"/>
      <c r="V522" s="37"/>
      <c r="W522" s="37"/>
      <c r="X522" s="37"/>
      <c r="Y522" s="37"/>
      <c r="Z522" s="37"/>
    </row>
    <row r="523" spans="1:26" ht="15.75" customHeight="1" x14ac:dyDescent="0.25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U523" s="37"/>
      <c r="V523" s="37"/>
      <c r="W523" s="37"/>
      <c r="X523" s="37"/>
      <c r="Y523" s="37"/>
      <c r="Z523" s="37"/>
    </row>
    <row r="524" spans="1:26" ht="15.75" customHeight="1" x14ac:dyDescent="0.25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U524" s="37"/>
      <c r="V524" s="37"/>
      <c r="W524" s="37"/>
      <c r="X524" s="37"/>
      <c r="Y524" s="37"/>
      <c r="Z524" s="37"/>
    </row>
    <row r="525" spans="1:26" ht="15.75" customHeight="1" x14ac:dyDescent="0.25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U525" s="37"/>
      <c r="V525" s="37"/>
      <c r="W525" s="37"/>
      <c r="X525" s="37"/>
      <c r="Y525" s="37"/>
      <c r="Z525" s="37"/>
    </row>
    <row r="526" spans="1:26" ht="15.75" customHeight="1" x14ac:dyDescent="0.25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U526" s="37"/>
      <c r="V526" s="37"/>
      <c r="W526" s="37"/>
      <c r="X526" s="37"/>
      <c r="Y526" s="37"/>
      <c r="Z526" s="37"/>
    </row>
    <row r="527" spans="1:26" ht="15.75" customHeight="1" x14ac:dyDescent="0.25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U527" s="37"/>
      <c r="V527" s="37"/>
      <c r="W527" s="37"/>
      <c r="X527" s="37"/>
      <c r="Y527" s="37"/>
      <c r="Z527" s="37"/>
    </row>
    <row r="528" spans="1:26" ht="15.75" customHeight="1" x14ac:dyDescent="0.25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U528" s="37"/>
      <c r="V528" s="37"/>
      <c r="W528" s="37"/>
      <c r="X528" s="37"/>
      <c r="Y528" s="37"/>
      <c r="Z528" s="37"/>
    </row>
    <row r="529" spans="1:26" ht="15.75" customHeight="1" x14ac:dyDescent="0.25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U529" s="37"/>
      <c r="V529" s="37"/>
      <c r="W529" s="37"/>
      <c r="X529" s="37"/>
      <c r="Y529" s="37"/>
      <c r="Z529" s="37"/>
    </row>
    <row r="530" spans="1:26" ht="15.75" customHeight="1" x14ac:dyDescent="0.25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U530" s="37"/>
      <c r="V530" s="37"/>
      <c r="W530" s="37"/>
      <c r="X530" s="37"/>
      <c r="Y530" s="37"/>
      <c r="Z530" s="37"/>
    </row>
    <row r="531" spans="1:26" ht="15.75" customHeight="1" x14ac:dyDescent="0.25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U531" s="37"/>
      <c r="V531" s="37"/>
      <c r="W531" s="37"/>
      <c r="X531" s="37"/>
      <c r="Y531" s="37"/>
      <c r="Z531" s="37"/>
    </row>
    <row r="532" spans="1:26" ht="15.75" customHeight="1" x14ac:dyDescent="0.25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U532" s="37"/>
      <c r="V532" s="37"/>
      <c r="W532" s="37"/>
      <c r="X532" s="37"/>
      <c r="Y532" s="37"/>
      <c r="Z532" s="37"/>
    </row>
    <row r="533" spans="1:26" ht="15.75" customHeight="1" x14ac:dyDescent="0.25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U533" s="37"/>
      <c r="V533" s="37"/>
      <c r="W533" s="37"/>
      <c r="X533" s="37"/>
      <c r="Y533" s="37"/>
      <c r="Z533" s="37"/>
    </row>
    <row r="534" spans="1:26" ht="15.75" customHeight="1" x14ac:dyDescent="0.25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U534" s="37"/>
      <c r="V534" s="37"/>
      <c r="W534" s="37"/>
      <c r="X534" s="37"/>
      <c r="Y534" s="37"/>
      <c r="Z534" s="37"/>
    </row>
    <row r="535" spans="1:26" ht="15.75" customHeight="1" x14ac:dyDescent="0.25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U535" s="37"/>
      <c r="V535" s="37"/>
      <c r="W535" s="37"/>
      <c r="X535" s="37"/>
      <c r="Y535" s="37"/>
      <c r="Z535" s="37"/>
    </row>
    <row r="536" spans="1:26" ht="15.75" customHeight="1" x14ac:dyDescent="0.25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U536" s="37"/>
      <c r="V536" s="37"/>
      <c r="W536" s="37"/>
      <c r="X536" s="37"/>
      <c r="Y536" s="37"/>
      <c r="Z536" s="37"/>
    </row>
    <row r="537" spans="1:26" ht="15.75" customHeight="1" x14ac:dyDescent="0.25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U537" s="37"/>
      <c r="V537" s="37"/>
      <c r="W537" s="37"/>
      <c r="X537" s="37"/>
      <c r="Y537" s="37"/>
      <c r="Z537" s="37"/>
    </row>
    <row r="538" spans="1:26" ht="15.75" customHeight="1" x14ac:dyDescent="0.25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U538" s="37"/>
      <c r="V538" s="37"/>
      <c r="W538" s="37"/>
      <c r="X538" s="37"/>
      <c r="Y538" s="37"/>
      <c r="Z538" s="37"/>
    </row>
    <row r="539" spans="1:26" ht="15.75" customHeight="1" x14ac:dyDescent="0.25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U539" s="37"/>
      <c r="V539" s="37"/>
      <c r="W539" s="37"/>
      <c r="X539" s="37"/>
      <c r="Y539" s="37"/>
      <c r="Z539" s="37"/>
    </row>
    <row r="540" spans="1:26" ht="15.75" customHeight="1" x14ac:dyDescent="0.25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U540" s="37"/>
      <c r="V540" s="37"/>
      <c r="W540" s="37"/>
      <c r="X540" s="37"/>
      <c r="Y540" s="37"/>
      <c r="Z540" s="37"/>
    </row>
    <row r="541" spans="1:26" ht="15.75" customHeight="1" x14ac:dyDescent="0.25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U541" s="37"/>
      <c r="V541" s="37"/>
      <c r="W541" s="37"/>
      <c r="X541" s="37"/>
      <c r="Y541" s="37"/>
      <c r="Z541" s="37"/>
    </row>
    <row r="542" spans="1:26" ht="15.75" customHeight="1" x14ac:dyDescent="0.25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U542" s="37"/>
      <c r="V542" s="37"/>
      <c r="W542" s="37"/>
      <c r="X542" s="37"/>
      <c r="Y542" s="37"/>
      <c r="Z542" s="37"/>
    </row>
    <row r="543" spans="1:26" ht="15.75" customHeight="1" x14ac:dyDescent="0.25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U543" s="37"/>
      <c r="V543" s="37"/>
      <c r="W543" s="37"/>
      <c r="X543" s="37"/>
      <c r="Y543" s="37"/>
      <c r="Z543" s="37"/>
    </row>
    <row r="544" spans="1:26" ht="15.75" customHeight="1" x14ac:dyDescent="0.25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U544" s="37"/>
      <c r="V544" s="37"/>
      <c r="W544" s="37"/>
      <c r="X544" s="37"/>
      <c r="Y544" s="37"/>
      <c r="Z544" s="37"/>
    </row>
    <row r="545" spans="1:26" ht="15.75" customHeight="1" x14ac:dyDescent="0.25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U545" s="37"/>
      <c r="V545" s="37"/>
      <c r="W545" s="37"/>
      <c r="X545" s="37"/>
      <c r="Y545" s="37"/>
      <c r="Z545" s="37"/>
    </row>
    <row r="546" spans="1:26" ht="15.75" customHeight="1" x14ac:dyDescent="0.25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U546" s="37"/>
      <c r="V546" s="37"/>
      <c r="W546" s="37"/>
      <c r="X546" s="37"/>
      <c r="Y546" s="37"/>
      <c r="Z546" s="37"/>
    </row>
    <row r="547" spans="1:26" ht="15.75" customHeight="1" x14ac:dyDescent="0.25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U547" s="37"/>
      <c r="V547" s="37"/>
      <c r="W547" s="37"/>
      <c r="X547" s="37"/>
      <c r="Y547" s="37"/>
      <c r="Z547" s="37"/>
    </row>
    <row r="548" spans="1:26" ht="15.75" customHeight="1" x14ac:dyDescent="0.25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U548" s="37"/>
      <c r="V548" s="37"/>
      <c r="W548" s="37"/>
      <c r="X548" s="37"/>
      <c r="Y548" s="37"/>
      <c r="Z548" s="37"/>
    </row>
    <row r="549" spans="1:26" ht="15.75" customHeight="1" x14ac:dyDescent="0.25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U549" s="37"/>
      <c r="V549" s="37"/>
      <c r="W549" s="37"/>
      <c r="X549" s="37"/>
      <c r="Y549" s="37"/>
      <c r="Z549" s="37"/>
    </row>
    <row r="550" spans="1:26" ht="15.75" customHeight="1" x14ac:dyDescent="0.25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U550" s="37"/>
      <c r="V550" s="37"/>
      <c r="W550" s="37"/>
      <c r="X550" s="37"/>
      <c r="Y550" s="37"/>
      <c r="Z550" s="37"/>
    </row>
    <row r="551" spans="1:26" ht="15.75" customHeight="1" x14ac:dyDescent="0.25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U551" s="37"/>
      <c r="V551" s="37"/>
      <c r="W551" s="37"/>
      <c r="X551" s="37"/>
      <c r="Y551" s="37"/>
      <c r="Z551" s="37"/>
    </row>
    <row r="552" spans="1:26" ht="15.75" customHeight="1" x14ac:dyDescent="0.25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U552" s="37"/>
      <c r="V552" s="37"/>
      <c r="W552" s="37"/>
      <c r="X552" s="37"/>
      <c r="Y552" s="37"/>
      <c r="Z552" s="37"/>
    </row>
    <row r="553" spans="1:26" ht="15.75" customHeight="1" x14ac:dyDescent="0.25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U553" s="37"/>
      <c r="V553" s="37"/>
      <c r="W553" s="37"/>
      <c r="X553" s="37"/>
      <c r="Y553" s="37"/>
      <c r="Z553" s="37"/>
    </row>
    <row r="554" spans="1:26" ht="15.75" customHeight="1" x14ac:dyDescent="0.25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U554" s="37"/>
      <c r="V554" s="37"/>
      <c r="W554" s="37"/>
      <c r="X554" s="37"/>
      <c r="Y554" s="37"/>
      <c r="Z554" s="37"/>
    </row>
    <row r="555" spans="1:26" ht="15.75" customHeight="1" x14ac:dyDescent="0.25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U555" s="37"/>
      <c r="V555" s="37"/>
      <c r="W555" s="37"/>
      <c r="X555" s="37"/>
      <c r="Y555" s="37"/>
      <c r="Z555" s="37"/>
    </row>
    <row r="556" spans="1:26" ht="15.75" customHeight="1" x14ac:dyDescent="0.25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U556" s="37"/>
      <c r="V556" s="37"/>
      <c r="W556" s="37"/>
      <c r="X556" s="37"/>
      <c r="Y556" s="37"/>
      <c r="Z556" s="37"/>
    </row>
    <row r="557" spans="1:26" ht="15.75" customHeight="1" x14ac:dyDescent="0.25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U557" s="37"/>
      <c r="V557" s="37"/>
      <c r="W557" s="37"/>
      <c r="X557" s="37"/>
      <c r="Y557" s="37"/>
      <c r="Z557" s="37"/>
    </row>
    <row r="558" spans="1:26" ht="15.75" customHeight="1" x14ac:dyDescent="0.25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U558" s="37"/>
      <c r="V558" s="37"/>
      <c r="W558" s="37"/>
      <c r="X558" s="37"/>
      <c r="Y558" s="37"/>
      <c r="Z558" s="37"/>
    </row>
    <row r="559" spans="1:26" ht="15.75" customHeight="1" x14ac:dyDescent="0.25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U559" s="37"/>
      <c r="V559" s="37"/>
      <c r="W559" s="37"/>
      <c r="X559" s="37"/>
      <c r="Y559" s="37"/>
      <c r="Z559" s="37"/>
    </row>
    <row r="560" spans="1:26" ht="15.75" customHeight="1" x14ac:dyDescent="0.25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U560" s="37"/>
      <c r="V560" s="37"/>
      <c r="W560" s="37"/>
      <c r="X560" s="37"/>
      <c r="Y560" s="37"/>
      <c r="Z560" s="37"/>
    </row>
    <row r="561" spans="1:26" ht="15.75" customHeight="1" x14ac:dyDescent="0.25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U561" s="37"/>
      <c r="V561" s="37"/>
      <c r="W561" s="37"/>
      <c r="X561" s="37"/>
      <c r="Y561" s="37"/>
      <c r="Z561" s="37"/>
    </row>
    <row r="562" spans="1:26" ht="15.75" customHeight="1" x14ac:dyDescent="0.25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U562" s="37"/>
      <c r="V562" s="37"/>
      <c r="W562" s="37"/>
      <c r="X562" s="37"/>
      <c r="Y562" s="37"/>
      <c r="Z562" s="37"/>
    </row>
    <row r="563" spans="1:26" ht="15.75" customHeight="1" x14ac:dyDescent="0.25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U563" s="37"/>
      <c r="V563" s="37"/>
      <c r="W563" s="37"/>
      <c r="X563" s="37"/>
      <c r="Y563" s="37"/>
      <c r="Z563" s="37"/>
    </row>
    <row r="564" spans="1:26" ht="15.75" customHeight="1" x14ac:dyDescent="0.25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U564" s="37"/>
      <c r="V564" s="37"/>
      <c r="W564" s="37"/>
      <c r="X564" s="37"/>
      <c r="Y564" s="37"/>
      <c r="Z564" s="37"/>
    </row>
    <row r="565" spans="1:26" ht="15.75" customHeight="1" x14ac:dyDescent="0.25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U565" s="37"/>
      <c r="V565" s="37"/>
      <c r="W565" s="37"/>
      <c r="X565" s="37"/>
      <c r="Y565" s="37"/>
      <c r="Z565" s="37"/>
    </row>
    <row r="566" spans="1:26" ht="15.75" customHeight="1" x14ac:dyDescent="0.25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U566" s="37"/>
      <c r="V566" s="37"/>
      <c r="W566" s="37"/>
      <c r="X566" s="37"/>
      <c r="Y566" s="37"/>
      <c r="Z566" s="37"/>
    </row>
    <row r="567" spans="1:26" ht="15.75" customHeight="1" x14ac:dyDescent="0.25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U567" s="37"/>
      <c r="V567" s="37"/>
      <c r="W567" s="37"/>
      <c r="X567" s="37"/>
      <c r="Y567" s="37"/>
      <c r="Z567" s="37"/>
    </row>
    <row r="568" spans="1:26" ht="15.75" customHeight="1" x14ac:dyDescent="0.25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U568" s="37"/>
      <c r="V568" s="37"/>
      <c r="W568" s="37"/>
      <c r="X568" s="37"/>
      <c r="Y568" s="37"/>
      <c r="Z568" s="37"/>
    </row>
    <row r="569" spans="1:26" ht="15.75" customHeight="1" x14ac:dyDescent="0.25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U569" s="37"/>
      <c r="V569" s="37"/>
      <c r="W569" s="37"/>
      <c r="X569" s="37"/>
      <c r="Y569" s="37"/>
      <c r="Z569" s="37"/>
    </row>
    <row r="570" spans="1:26" ht="15.75" customHeight="1" x14ac:dyDescent="0.25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U570" s="37"/>
      <c r="V570" s="37"/>
      <c r="W570" s="37"/>
      <c r="X570" s="37"/>
      <c r="Y570" s="37"/>
      <c r="Z570" s="37"/>
    </row>
    <row r="571" spans="1:26" ht="15.75" customHeight="1" x14ac:dyDescent="0.25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U571" s="37"/>
      <c r="V571" s="37"/>
      <c r="W571" s="37"/>
      <c r="X571" s="37"/>
      <c r="Y571" s="37"/>
      <c r="Z571" s="37"/>
    </row>
    <row r="572" spans="1:26" ht="15.75" customHeight="1" x14ac:dyDescent="0.25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U572" s="37"/>
      <c r="V572" s="37"/>
      <c r="W572" s="37"/>
      <c r="X572" s="37"/>
      <c r="Y572" s="37"/>
      <c r="Z572" s="37"/>
    </row>
    <row r="573" spans="1:26" ht="15.75" customHeight="1" x14ac:dyDescent="0.25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U573" s="37"/>
      <c r="V573" s="37"/>
      <c r="W573" s="37"/>
      <c r="X573" s="37"/>
      <c r="Y573" s="37"/>
      <c r="Z573" s="37"/>
    </row>
    <row r="574" spans="1:26" ht="15.75" customHeight="1" x14ac:dyDescent="0.25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U574" s="37"/>
      <c r="V574" s="37"/>
      <c r="W574" s="37"/>
      <c r="X574" s="37"/>
      <c r="Y574" s="37"/>
      <c r="Z574" s="37"/>
    </row>
    <row r="575" spans="1:26" ht="15.75" customHeight="1" x14ac:dyDescent="0.25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U575" s="37"/>
      <c r="V575" s="37"/>
      <c r="W575" s="37"/>
      <c r="X575" s="37"/>
      <c r="Y575" s="37"/>
      <c r="Z575" s="37"/>
    </row>
    <row r="576" spans="1:26" ht="15.75" customHeight="1" x14ac:dyDescent="0.25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U576" s="37"/>
      <c r="V576" s="37"/>
      <c r="W576" s="37"/>
      <c r="X576" s="37"/>
      <c r="Y576" s="37"/>
      <c r="Z576" s="37"/>
    </row>
    <row r="577" spans="1:26" ht="15.75" customHeight="1" x14ac:dyDescent="0.25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U577" s="37"/>
      <c r="V577" s="37"/>
      <c r="W577" s="37"/>
      <c r="X577" s="37"/>
      <c r="Y577" s="37"/>
      <c r="Z577" s="37"/>
    </row>
    <row r="578" spans="1:26" ht="15.75" customHeight="1" x14ac:dyDescent="0.25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U578" s="37"/>
      <c r="V578" s="37"/>
      <c r="W578" s="37"/>
      <c r="X578" s="37"/>
      <c r="Y578" s="37"/>
      <c r="Z578" s="37"/>
    </row>
    <row r="579" spans="1:26" ht="15.75" customHeight="1" x14ac:dyDescent="0.25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U579" s="37"/>
      <c r="V579" s="37"/>
      <c r="W579" s="37"/>
      <c r="X579" s="37"/>
      <c r="Y579" s="37"/>
      <c r="Z579" s="37"/>
    </row>
    <row r="580" spans="1:26" ht="15.75" customHeight="1" x14ac:dyDescent="0.25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U580" s="37"/>
      <c r="V580" s="37"/>
      <c r="W580" s="37"/>
      <c r="X580" s="37"/>
      <c r="Y580" s="37"/>
      <c r="Z580" s="37"/>
    </row>
    <row r="581" spans="1:26" ht="15.75" customHeight="1" x14ac:dyDescent="0.25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U581" s="37"/>
      <c r="V581" s="37"/>
      <c r="W581" s="37"/>
      <c r="X581" s="37"/>
      <c r="Y581" s="37"/>
      <c r="Z581" s="37"/>
    </row>
    <row r="582" spans="1:26" ht="15.75" customHeight="1" x14ac:dyDescent="0.25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U582" s="37"/>
      <c r="V582" s="37"/>
      <c r="W582" s="37"/>
      <c r="X582" s="37"/>
      <c r="Y582" s="37"/>
      <c r="Z582" s="37"/>
    </row>
    <row r="583" spans="1:26" ht="15.75" customHeight="1" x14ac:dyDescent="0.25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U583" s="37"/>
      <c r="V583" s="37"/>
      <c r="W583" s="37"/>
      <c r="X583" s="37"/>
      <c r="Y583" s="37"/>
      <c r="Z583" s="37"/>
    </row>
    <row r="584" spans="1:26" ht="15.75" customHeight="1" x14ac:dyDescent="0.25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U584" s="37"/>
      <c r="V584" s="37"/>
      <c r="W584" s="37"/>
      <c r="X584" s="37"/>
      <c r="Y584" s="37"/>
      <c r="Z584" s="37"/>
    </row>
    <row r="585" spans="1:26" ht="15.75" customHeight="1" x14ac:dyDescent="0.25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U585" s="37"/>
      <c r="V585" s="37"/>
      <c r="W585" s="37"/>
      <c r="X585" s="37"/>
      <c r="Y585" s="37"/>
      <c r="Z585" s="37"/>
    </row>
    <row r="586" spans="1:26" ht="15.75" customHeight="1" x14ac:dyDescent="0.25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U586" s="37"/>
      <c r="V586" s="37"/>
      <c r="W586" s="37"/>
      <c r="X586" s="37"/>
      <c r="Y586" s="37"/>
      <c r="Z586" s="37"/>
    </row>
    <row r="587" spans="1:26" ht="15.75" customHeight="1" x14ac:dyDescent="0.25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U587" s="37"/>
      <c r="V587" s="37"/>
      <c r="W587" s="37"/>
      <c r="X587" s="37"/>
      <c r="Y587" s="37"/>
      <c r="Z587" s="37"/>
    </row>
    <row r="588" spans="1:26" ht="15.75" customHeight="1" x14ac:dyDescent="0.25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U588" s="37"/>
      <c r="V588" s="37"/>
      <c r="W588" s="37"/>
      <c r="X588" s="37"/>
      <c r="Y588" s="37"/>
      <c r="Z588" s="37"/>
    </row>
    <row r="589" spans="1:26" ht="15.75" customHeight="1" x14ac:dyDescent="0.25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U589" s="37"/>
      <c r="V589" s="37"/>
      <c r="W589" s="37"/>
      <c r="X589" s="37"/>
      <c r="Y589" s="37"/>
      <c r="Z589" s="37"/>
    </row>
    <row r="590" spans="1:26" ht="15.75" customHeight="1" x14ac:dyDescent="0.25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U590" s="37"/>
      <c r="V590" s="37"/>
      <c r="W590" s="37"/>
      <c r="X590" s="37"/>
      <c r="Y590" s="37"/>
      <c r="Z590" s="37"/>
    </row>
    <row r="591" spans="1:26" ht="15.75" customHeight="1" x14ac:dyDescent="0.25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U591" s="37"/>
      <c r="V591" s="37"/>
      <c r="W591" s="37"/>
      <c r="X591" s="37"/>
      <c r="Y591" s="37"/>
      <c r="Z591" s="37"/>
    </row>
    <row r="592" spans="1:26" ht="15.75" customHeight="1" x14ac:dyDescent="0.25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U592" s="37"/>
      <c r="V592" s="37"/>
      <c r="W592" s="37"/>
      <c r="X592" s="37"/>
      <c r="Y592" s="37"/>
      <c r="Z592" s="37"/>
    </row>
    <row r="593" spans="1:26" ht="15.75" customHeight="1" x14ac:dyDescent="0.25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U593" s="37"/>
      <c r="V593" s="37"/>
      <c r="W593" s="37"/>
      <c r="X593" s="37"/>
      <c r="Y593" s="37"/>
      <c r="Z593" s="37"/>
    </row>
    <row r="594" spans="1:26" ht="15.75" customHeight="1" x14ac:dyDescent="0.25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U594" s="37"/>
      <c r="V594" s="37"/>
      <c r="W594" s="37"/>
      <c r="X594" s="37"/>
      <c r="Y594" s="37"/>
      <c r="Z594" s="37"/>
    </row>
    <row r="595" spans="1:26" ht="15.75" customHeight="1" x14ac:dyDescent="0.25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U595" s="37"/>
      <c r="V595" s="37"/>
      <c r="W595" s="37"/>
      <c r="X595" s="37"/>
      <c r="Y595" s="37"/>
      <c r="Z595" s="37"/>
    </row>
    <row r="596" spans="1:26" ht="15.75" customHeight="1" x14ac:dyDescent="0.25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U596" s="37"/>
      <c r="V596" s="37"/>
      <c r="W596" s="37"/>
      <c r="X596" s="37"/>
      <c r="Y596" s="37"/>
      <c r="Z596" s="37"/>
    </row>
    <row r="597" spans="1:26" ht="15.75" customHeight="1" x14ac:dyDescent="0.25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U597" s="37"/>
      <c r="V597" s="37"/>
      <c r="W597" s="37"/>
      <c r="X597" s="37"/>
      <c r="Y597" s="37"/>
      <c r="Z597" s="37"/>
    </row>
    <row r="598" spans="1:26" ht="15.75" customHeight="1" x14ac:dyDescent="0.25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U598" s="37"/>
      <c r="V598" s="37"/>
      <c r="W598" s="37"/>
      <c r="X598" s="37"/>
      <c r="Y598" s="37"/>
      <c r="Z598" s="37"/>
    </row>
    <row r="599" spans="1:26" ht="15.75" customHeight="1" x14ac:dyDescent="0.25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U599" s="37"/>
      <c r="V599" s="37"/>
      <c r="W599" s="37"/>
      <c r="X599" s="37"/>
      <c r="Y599" s="37"/>
      <c r="Z599" s="37"/>
    </row>
    <row r="600" spans="1:26" ht="15.75" customHeight="1" x14ac:dyDescent="0.25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U600" s="37"/>
      <c r="V600" s="37"/>
      <c r="W600" s="37"/>
      <c r="X600" s="37"/>
      <c r="Y600" s="37"/>
      <c r="Z600" s="37"/>
    </row>
    <row r="601" spans="1:26" ht="15.75" customHeight="1" x14ac:dyDescent="0.25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U601" s="37"/>
      <c r="V601" s="37"/>
      <c r="W601" s="37"/>
      <c r="X601" s="37"/>
      <c r="Y601" s="37"/>
      <c r="Z601" s="37"/>
    </row>
    <row r="602" spans="1:26" ht="15.75" customHeight="1" x14ac:dyDescent="0.25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U602" s="37"/>
      <c r="V602" s="37"/>
      <c r="W602" s="37"/>
      <c r="X602" s="37"/>
      <c r="Y602" s="37"/>
      <c r="Z602" s="37"/>
    </row>
    <row r="603" spans="1:26" ht="15.75" customHeight="1" x14ac:dyDescent="0.25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U603" s="37"/>
      <c r="V603" s="37"/>
      <c r="W603" s="37"/>
      <c r="X603" s="37"/>
      <c r="Y603" s="37"/>
      <c r="Z603" s="37"/>
    </row>
    <row r="604" spans="1:26" ht="15.75" customHeight="1" x14ac:dyDescent="0.25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U604" s="37"/>
      <c r="V604" s="37"/>
      <c r="W604" s="37"/>
      <c r="X604" s="37"/>
      <c r="Y604" s="37"/>
      <c r="Z604" s="37"/>
    </row>
    <row r="605" spans="1:26" ht="15.75" customHeight="1" x14ac:dyDescent="0.25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U605" s="37"/>
      <c r="V605" s="37"/>
      <c r="W605" s="37"/>
      <c r="X605" s="37"/>
      <c r="Y605" s="37"/>
      <c r="Z605" s="37"/>
    </row>
    <row r="606" spans="1:26" ht="15.75" customHeight="1" x14ac:dyDescent="0.25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U606" s="37"/>
      <c r="V606" s="37"/>
      <c r="W606" s="37"/>
      <c r="X606" s="37"/>
      <c r="Y606" s="37"/>
      <c r="Z606" s="37"/>
    </row>
    <row r="607" spans="1:26" ht="15.75" customHeight="1" x14ac:dyDescent="0.25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U607" s="37"/>
      <c r="V607" s="37"/>
      <c r="W607" s="37"/>
      <c r="X607" s="37"/>
      <c r="Y607" s="37"/>
      <c r="Z607" s="37"/>
    </row>
    <row r="608" spans="1:26" ht="15.75" customHeight="1" x14ac:dyDescent="0.25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U608" s="37"/>
      <c r="V608" s="37"/>
      <c r="W608" s="37"/>
      <c r="X608" s="37"/>
      <c r="Y608" s="37"/>
      <c r="Z608" s="37"/>
    </row>
    <row r="609" spans="1:26" ht="15.75" customHeight="1" x14ac:dyDescent="0.25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U609" s="37"/>
      <c r="V609" s="37"/>
      <c r="W609" s="37"/>
      <c r="X609" s="37"/>
      <c r="Y609" s="37"/>
      <c r="Z609" s="37"/>
    </row>
    <row r="610" spans="1:26" ht="15.75" customHeight="1" x14ac:dyDescent="0.25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U610" s="37"/>
      <c r="V610" s="37"/>
      <c r="W610" s="37"/>
      <c r="X610" s="37"/>
      <c r="Y610" s="37"/>
      <c r="Z610" s="37"/>
    </row>
    <row r="611" spans="1:26" ht="15.75" customHeight="1" x14ac:dyDescent="0.25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U611" s="37"/>
      <c r="V611" s="37"/>
      <c r="W611" s="37"/>
      <c r="X611" s="37"/>
      <c r="Y611" s="37"/>
      <c r="Z611" s="37"/>
    </row>
    <row r="612" spans="1:26" ht="15.75" customHeight="1" x14ac:dyDescent="0.25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U612" s="37"/>
      <c r="V612" s="37"/>
      <c r="W612" s="37"/>
      <c r="X612" s="37"/>
      <c r="Y612" s="37"/>
      <c r="Z612" s="37"/>
    </row>
    <row r="613" spans="1:26" ht="15.75" customHeight="1" x14ac:dyDescent="0.25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U613" s="37"/>
      <c r="V613" s="37"/>
      <c r="W613" s="37"/>
      <c r="X613" s="37"/>
      <c r="Y613" s="37"/>
      <c r="Z613" s="37"/>
    </row>
    <row r="614" spans="1:26" ht="15.75" customHeight="1" x14ac:dyDescent="0.25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U614" s="37"/>
      <c r="V614" s="37"/>
      <c r="W614" s="37"/>
      <c r="X614" s="37"/>
      <c r="Y614" s="37"/>
      <c r="Z614" s="37"/>
    </row>
    <row r="615" spans="1:26" ht="15.75" customHeight="1" x14ac:dyDescent="0.25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U615" s="37"/>
      <c r="V615" s="37"/>
      <c r="W615" s="37"/>
      <c r="X615" s="37"/>
      <c r="Y615" s="37"/>
      <c r="Z615" s="37"/>
    </row>
    <row r="616" spans="1:26" ht="15.75" customHeight="1" x14ac:dyDescent="0.25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U616" s="37"/>
      <c r="V616" s="37"/>
      <c r="W616" s="37"/>
      <c r="X616" s="37"/>
      <c r="Y616" s="37"/>
      <c r="Z616" s="37"/>
    </row>
    <row r="617" spans="1:26" ht="15.75" customHeight="1" x14ac:dyDescent="0.25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U617" s="37"/>
      <c r="V617" s="37"/>
      <c r="W617" s="37"/>
      <c r="X617" s="37"/>
      <c r="Y617" s="37"/>
      <c r="Z617" s="37"/>
    </row>
    <row r="618" spans="1:26" ht="15.75" customHeight="1" x14ac:dyDescent="0.25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U618" s="37"/>
      <c r="V618" s="37"/>
      <c r="W618" s="37"/>
      <c r="X618" s="37"/>
      <c r="Y618" s="37"/>
      <c r="Z618" s="37"/>
    </row>
    <row r="619" spans="1:26" ht="15.75" customHeight="1" x14ac:dyDescent="0.25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U619" s="37"/>
      <c r="V619" s="37"/>
      <c r="W619" s="37"/>
      <c r="X619" s="37"/>
      <c r="Y619" s="37"/>
      <c r="Z619" s="37"/>
    </row>
    <row r="620" spans="1:26" ht="15.75" customHeight="1" x14ac:dyDescent="0.25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U620" s="37"/>
      <c r="V620" s="37"/>
      <c r="W620" s="37"/>
      <c r="X620" s="37"/>
      <c r="Y620" s="37"/>
      <c r="Z620" s="37"/>
    </row>
    <row r="621" spans="1:26" ht="15.75" customHeight="1" x14ac:dyDescent="0.25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U621" s="37"/>
      <c r="V621" s="37"/>
      <c r="W621" s="37"/>
      <c r="X621" s="37"/>
      <c r="Y621" s="37"/>
      <c r="Z621" s="37"/>
    </row>
    <row r="622" spans="1:26" ht="15.75" customHeight="1" x14ac:dyDescent="0.25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U622" s="37"/>
      <c r="V622" s="37"/>
      <c r="W622" s="37"/>
      <c r="X622" s="37"/>
      <c r="Y622" s="37"/>
      <c r="Z622" s="37"/>
    </row>
    <row r="623" spans="1:26" ht="15.75" customHeight="1" x14ac:dyDescent="0.25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U623" s="37"/>
      <c r="V623" s="37"/>
      <c r="W623" s="37"/>
      <c r="X623" s="37"/>
      <c r="Y623" s="37"/>
      <c r="Z623" s="37"/>
    </row>
    <row r="624" spans="1:26" ht="15.75" customHeight="1" x14ac:dyDescent="0.25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U624" s="37"/>
      <c r="V624" s="37"/>
      <c r="W624" s="37"/>
      <c r="X624" s="37"/>
      <c r="Y624" s="37"/>
      <c r="Z624" s="37"/>
    </row>
    <row r="625" spans="1:26" ht="15.75" customHeight="1" x14ac:dyDescent="0.25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U625" s="37"/>
      <c r="V625" s="37"/>
      <c r="W625" s="37"/>
      <c r="X625" s="37"/>
      <c r="Y625" s="37"/>
      <c r="Z625" s="37"/>
    </row>
    <row r="626" spans="1:26" ht="15.75" customHeight="1" x14ac:dyDescent="0.25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U626" s="37"/>
      <c r="V626" s="37"/>
      <c r="W626" s="37"/>
      <c r="X626" s="37"/>
      <c r="Y626" s="37"/>
      <c r="Z626" s="37"/>
    </row>
    <row r="627" spans="1:26" ht="15.75" customHeight="1" x14ac:dyDescent="0.25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U627" s="37"/>
      <c r="V627" s="37"/>
      <c r="W627" s="37"/>
      <c r="X627" s="37"/>
      <c r="Y627" s="37"/>
      <c r="Z627" s="37"/>
    </row>
    <row r="628" spans="1:26" ht="15.75" customHeight="1" x14ac:dyDescent="0.25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U628" s="37"/>
      <c r="V628" s="37"/>
      <c r="W628" s="37"/>
      <c r="X628" s="37"/>
      <c r="Y628" s="37"/>
      <c r="Z628" s="37"/>
    </row>
    <row r="629" spans="1:26" ht="15.75" customHeight="1" x14ac:dyDescent="0.25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U629" s="37"/>
      <c r="V629" s="37"/>
      <c r="W629" s="37"/>
      <c r="X629" s="37"/>
      <c r="Y629" s="37"/>
      <c r="Z629" s="37"/>
    </row>
    <row r="630" spans="1:26" ht="15.75" customHeight="1" x14ac:dyDescent="0.25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U630" s="37"/>
      <c r="V630" s="37"/>
      <c r="W630" s="37"/>
      <c r="X630" s="37"/>
      <c r="Y630" s="37"/>
      <c r="Z630" s="37"/>
    </row>
    <row r="631" spans="1:26" ht="15.75" customHeight="1" x14ac:dyDescent="0.25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U631" s="37"/>
      <c r="V631" s="37"/>
      <c r="W631" s="37"/>
      <c r="X631" s="37"/>
      <c r="Y631" s="37"/>
      <c r="Z631" s="37"/>
    </row>
    <row r="632" spans="1:26" ht="15.75" customHeight="1" x14ac:dyDescent="0.25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U632" s="37"/>
      <c r="V632" s="37"/>
      <c r="W632" s="37"/>
      <c r="X632" s="37"/>
      <c r="Y632" s="37"/>
      <c r="Z632" s="37"/>
    </row>
    <row r="633" spans="1:26" ht="15.75" customHeight="1" x14ac:dyDescent="0.25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U633" s="37"/>
      <c r="V633" s="37"/>
      <c r="W633" s="37"/>
      <c r="X633" s="37"/>
      <c r="Y633" s="37"/>
      <c r="Z633" s="37"/>
    </row>
    <row r="634" spans="1:26" ht="15.75" customHeight="1" x14ac:dyDescent="0.25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U634" s="37"/>
      <c r="V634" s="37"/>
      <c r="W634" s="37"/>
      <c r="X634" s="37"/>
      <c r="Y634" s="37"/>
      <c r="Z634" s="37"/>
    </row>
    <row r="635" spans="1:26" ht="15.75" customHeight="1" x14ac:dyDescent="0.25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U635" s="37"/>
      <c r="V635" s="37"/>
      <c r="W635" s="37"/>
      <c r="X635" s="37"/>
      <c r="Y635" s="37"/>
      <c r="Z635" s="37"/>
    </row>
    <row r="636" spans="1:26" ht="15.75" customHeight="1" x14ac:dyDescent="0.25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U636" s="37"/>
      <c r="V636" s="37"/>
      <c r="W636" s="37"/>
      <c r="X636" s="37"/>
      <c r="Y636" s="37"/>
      <c r="Z636" s="37"/>
    </row>
    <row r="637" spans="1:26" ht="15.75" customHeight="1" x14ac:dyDescent="0.25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U637" s="37"/>
      <c r="V637" s="37"/>
      <c r="W637" s="37"/>
      <c r="X637" s="37"/>
      <c r="Y637" s="37"/>
      <c r="Z637" s="37"/>
    </row>
    <row r="638" spans="1:26" ht="15.75" customHeight="1" x14ac:dyDescent="0.25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U638" s="37"/>
      <c r="V638" s="37"/>
      <c r="W638" s="37"/>
      <c r="X638" s="37"/>
      <c r="Y638" s="37"/>
      <c r="Z638" s="37"/>
    </row>
    <row r="639" spans="1:26" ht="15.75" customHeight="1" x14ac:dyDescent="0.25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U639" s="37"/>
      <c r="V639" s="37"/>
      <c r="W639" s="37"/>
      <c r="X639" s="37"/>
      <c r="Y639" s="37"/>
      <c r="Z639" s="37"/>
    </row>
    <row r="640" spans="1:26" ht="15.75" customHeight="1" x14ac:dyDescent="0.25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U640" s="37"/>
      <c r="V640" s="37"/>
      <c r="W640" s="37"/>
      <c r="X640" s="37"/>
      <c r="Y640" s="37"/>
      <c r="Z640" s="37"/>
    </row>
    <row r="641" spans="1:26" ht="15.75" customHeight="1" x14ac:dyDescent="0.25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U641" s="37"/>
      <c r="V641" s="37"/>
      <c r="W641" s="37"/>
      <c r="X641" s="37"/>
      <c r="Y641" s="37"/>
      <c r="Z641" s="37"/>
    </row>
    <row r="642" spans="1:26" ht="15.75" customHeight="1" x14ac:dyDescent="0.25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U642" s="37"/>
      <c r="V642" s="37"/>
      <c r="W642" s="37"/>
      <c r="X642" s="37"/>
      <c r="Y642" s="37"/>
      <c r="Z642" s="37"/>
    </row>
    <row r="643" spans="1:26" ht="15.75" customHeight="1" x14ac:dyDescent="0.25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U643" s="37"/>
      <c r="V643" s="37"/>
      <c r="W643" s="37"/>
      <c r="X643" s="37"/>
      <c r="Y643" s="37"/>
      <c r="Z643" s="37"/>
    </row>
    <row r="644" spans="1:26" ht="15.75" customHeight="1" x14ac:dyDescent="0.25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U644" s="37"/>
      <c r="V644" s="37"/>
      <c r="W644" s="37"/>
      <c r="X644" s="37"/>
      <c r="Y644" s="37"/>
      <c r="Z644" s="37"/>
    </row>
    <row r="645" spans="1:26" ht="15.75" customHeight="1" x14ac:dyDescent="0.25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U645" s="37"/>
      <c r="V645" s="37"/>
      <c r="W645" s="37"/>
      <c r="X645" s="37"/>
      <c r="Y645" s="37"/>
      <c r="Z645" s="37"/>
    </row>
    <row r="646" spans="1:26" ht="15.75" customHeight="1" x14ac:dyDescent="0.25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U646" s="37"/>
      <c r="V646" s="37"/>
      <c r="W646" s="37"/>
      <c r="X646" s="37"/>
      <c r="Y646" s="37"/>
      <c r="Z646" s="37"/>
    </row>
    <row r="647" spans="1:26" ht="15.75" customHeight="1" x14ac:dyDescent="0.25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U647" s="37"/>
      <c r="V647" s="37"/>
      <c r="W647" s="37"/>
      <c r="X647" s="37"/>
      <c r="Y647" s="37"/>
      <c r="Z647" s="37"/>
    </row>
    <row r="648" spans="1:26" ht="15.75" customHeight="1" x14ac:dyDescent="0.25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U648" s="37"/>
      <c r="V648" s="37"/>
      <c r="W648" s="37"/>
      <c r="X648" s="37"/>
      <c r="Y648" s="37"/>
      <c r="Z648" s="37"/>
    </row>
    <row r="649" spans="1:26" ht="15.75" customHeight="1" x14ac:dyDescent="0.25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U649" s="37"/>
      <c r="V649" s="37"/>
      <c r="W649" s="37"/>
      <c r="X649" s="37"/>
      <c r="Y649" s="37"/>
      <c r="Z649" s="37"/>
    </row>
    <row r="650" spans="1:26" ht="15.75" customHeight="1" x14ac:dyDescent="0.25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U650" s="37"/>
      <c r="V650" s="37"/>
      <c r="W650" s="37"/>
      <c r="X650" s="37"/>
      <c r="Y650" s="37"/>
      <c r="Z650" s="37"/>
    </row>
    <row r="651" spans="1:26" ht="15.75" customHeight="1" x14ac:dyDescent="0.25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U651" s="37"/>
      <c r="V651" s="37"/>
      <c r="W651" s="37"/>
      <c r="X651" s="37"/>
      <c r="Y651" s="37"/>
      <c r="Z651" s="37"/>
    </row>
    <row r="652" spans="1:26" ht="15.75" customHeight="1" x14ac:dyDescent="0.25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U652" s="37"/>
      <c r="V652" s="37"/>
      <c r="W652" s="37"/>
      <c r="X652" s="37"/>
      <c r="Y652" s="37"/>
      <c r="Z652" s="37"/>
    </row>
    <row r="653" spans="1:26" ht="15.75" customHeight="1" x14ac:dyDescent="0.25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U653" s="37"/>
      <c r="V653" s="37"/>
      <c r="W653" s="37"/>
      <c r="X653" s="37"/>
      <c r="Y653" s="37"/>
      <c r="Z653" s="37"/>
    </row>
    <row r="654" spans="1:26" ht="15.75" customHeight="1" x14ac:dyDescent="0.25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U654" s="37"/>
      <c r="V654" s="37"/>
      <c r="W654" s="37"/>
      <c r="X654" s="37"/>
      <c r="Y654" s="37"/>
      <c r="Z654" s="37"/>
    </row>
    <row r="655" spans="1:26" ht="15.75" customHeight="1" x14ac:dyDescent="0.25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U655" s="37"/>
      <c r="V655" s="37"/>
      <c r="W655" s="37"/>
      <c r="X655" s="37"/>
      <c r="Y655" s="37"/>
      <c r="Z655" s="37"/>
    </row>
    <row r="656" spans="1:26" ht="15.75" customHeight="1" x14ac:dyDescent="0.25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U656" s="37"/>
      <c r="V656" s="37"/>
      <c r="W656" s="37"/>
      <c r="X656" s="37"/>
      <c r="Y656" s="37"/>
      <c r="Z656" s="37"/>
    </row>
    <row r="657" spans="1:26" ht="15.75" customHeight="1" x14ac:dyDescent="0.25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U657" s="37"/>
      <c r="V657" s="37"/>
      <c r="W657" s="37"/>
      <c r="X657" s="37"/>
      <c r="Y657" s="37"/>
      <c r="Z657" s="37"/>
    </row>
    <row r="658" spans="1:26" ht="15.75" customHeight="1" x14ac:dyDescent="0.25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U658" s="37"/>
      <c r="V658" s="37"/>
      <c r="W658" s="37"/>
      <c r="X658" s="37"/>
      <c r="Y658" s="37"/>
      <c r="Z658" s="37"/>
    </row>
    <row r="659" spans="1:26" ht="15.75" customHeight="1" x14ac:dyDescent="0.25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U659" s="37"/>
      <c r="V659" s="37"/>
      <c r="W659" s="37"/>
      <c r="X659" s="37"/>
      <c r="Y659" s="37"/>
      <c r="Z659" s="37"/>
    </row>
    <row r="660" spans="1:26" ht="15.75" customHeight="1" x14ac:dyDescent="0.25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U660" s="37"/>
      <c r="V660" s="37"/>
      <c r="W660" s="37"/>
      <c r="X660" s="37"/>
      <c r="Y660" s="37"/>
      <c r="Z660" s="37"/>
    </row>
    <row r="661" spans="1:26" ht="15.75" customHeight="1" x14ac:dyDescent="0.25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U661" s="37"/>
      <c r="V661" s="37"/>
      <c r="W661" s="37"/>
      <c r="X661" s="37"/>
      <c r="Y661" s="37"/>
      <c r="Z661" s="37"/>
    </row>
    <row r="662" spans="1:26" ht="15.75" customHeight="1" x14ac:dyDescent="0.25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U662" s="37"/>
      <c r="V662" s="37"/>
      <c r="W662" s="37"/>
      <c r="X662" s="37"/>
      <c r="Y662" s="37"/>
      <c r="Z662" s="37"/>
    </row>
    <row r="663" spans="1:26" ht="15.75" customHeight="1" x14ac:dyDescent="0.25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U663" s="37"/>
      <c r="V663" s="37"/>
      <c r="W663" s="37"/>
      <c r="X663" s="37"/>
      <c r="Y663" s="37"/>
      <c r="Z663" s="37"/>
    </row>
    <row r="664" spans="1:26" ht="15.75" customHeight="1" x14ac:dyDescent="0.25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U664" s="37"/>
      <c r="V664" s="37"/>
      <c r="W664" s="37"/>
      <c r="X664" s="37"/>
      <c r="Y664" s="37"/>
      <c r="Z664" s="37"/>
    </row>
    <row r="665" spans="1:26" ht="15.75" customHeight="1" x14ac:dyDescent="0.25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U665" s="37"/>
      <c r="V665" s="37"/>
      <c r="W665" s="37"/>
      <c r="X665" s="37"/>
      <c r="Y665" s="37"/>
      <c r="Z665" s="37"/>
    </row>
    <row r="666" spans="1:26" ht="15.75" customHeight="1" x14ac:dyDescent="0.25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U666" s="37"/>
      <c r="V666" s="37"/>
      <c r="W666" s="37"/>
      <c r="X666" s="37"/>
      <c r="Y666" s="37"/>
      <c r="Z666" s="37"/>
    </row>
    <row r="667" spans="1:26" ht="15.75" customHeight="1" x14ac:dyDescent="0.25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U667" s="37"/>
      <c r="V667" s="37"/>
      <c r="W667" s="37"/>
      <c r="X667" s="37"/>
      <c r="Y667" s="37"/>
      <c r="Z667" s="37"/>
    </row>
    <row r="668" spans="1:26" ht="15.75" customHeight="1" x14ac:dyDescent="0.25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U668" s="37"/>
      <c r="V668" s="37"/>
      <c r="W668" s="37"/>
      <c r="X668" s="37"/>
      <c r="Y668" s="37"/>
      <c r="Z668" s="37"/>
    </row>
    <row r="669" spans="1:26" ht="15.75" customHeight="1" x14ac:dyDescent="0.25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U669" s="37"/>
      <c r="V669" s="37"/>
      <c r="W669" s="37"/>
      <c r="X669" s="37"/>
      <c r="Y669" s="37"/>
      <c r="Z669" s="37"/>
    </row>
    <row r="670" spans="1:26" ht="15.75" customHeight="1" x14ac:dyDescent="0.25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U670" s="37"/>
      <c r="V670" s="37"/>
      <c r="W670" s="37"/>
      <c r="X670" s="37"/>
      <c r="Y670" s="37"/>
      <c r="Z670" s="37"/>
    </row>
    <row r="671" spans="1:26" ht="15.75" customHeight="1" x14ac:dyDescent="0.25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U671" s="37"/>
      <c r="V671" s="37"/>
      <c r="W671" s="37"/>
      <c r="X671" s="37"/>
      <c r="Y671" s="37"/>
      <c r="Z671" s="37"/>
    </row>
    <row r="672" spans="1:26" ht="15.75" customHeight="1" x14ac:dyDescent="0.25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U672" s="37"/>
      <c r="V672" s="37"/>
      <c r="W672" s="37"/>
      <c r="X672" s="37"/>
      <c r="Y672" s="37"/>
      <c r="Z672" s="37"/>
    </row>
    <row r="673" spans="1:26" ht="15.75" customHeight="1" x14ac:dyDescent="0.25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U673" s="37"/>
      <c r="V673" s="37"/>
      <c r="W673" s="37"/>
      <c r="X673" s="37"/>
      <c r="Y673" s="37"/>
      <c r="Z673" s="37"/>
    </row>
    <row r="674" spans="1:26" ht="15.75" customHeight="1" x14ac:dyDescent="0.25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U674" s="37"/>
      <c r="V674" s="37"/>
      <c r="W674" s="37"/>
      <c r="X674" s="37"/>
      <c r="Y674" s="37"/>
      <c r="Z674" s="37"/>
    </row>
    <row r="675" spans="1:26" ht="15.75" customHeight="1" x14ac:dyDescent="0.25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U675" s="37"/>
      <c r="V675" s="37"/>
      <c r="W675" s="37"/>
      <c r="X675" s="37"/>
      <c r="Y675" s="37"/>
      <c r="Z675" s="37"/>
    </row>
    <row r="676" spans="1:26" ht="15.75" customHeight="1" x14ac:dyDescent="0.25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U676" s="37"/>
      <c r="V676" s="37"/>
      <c r="W676" s="37"/>
      <c r="X676" s="37"/>
      <c r="Y676" s="37"/>
      <c r="Z676" s="37"/>
    </row>
    <row r="677" spans="1:26" ht="15.75" customHeight="1" x14ac:dyDescent="0.25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U677" s="37"/>
      <c r="V677" s="37"/>
      <c r="W677" s="37"/>
      <c r="X677" s="37"/>
      <c r="Y677" s="37"/>
      <c r="Z677" s="37"/>
    </row>
    <row r="678" spans="1:26" ht="15.75" customHeight="1" x14ac:dyDescent="0.25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U678" s="37"/>
      <c r="V678" s="37"/>
      <c r="W678" s="37"/>
      <c r="X678" s="37"/>
      <c r="Y678" s="37"/>
      <c r="Z678" s="37"/>
    </row>
    <row r="679" spans="1:26" ht="15.75" customHeight="1" x14ac:dyDescent="0.25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U679" s="37"/>
      <c r="V679" s="37"/>
      <c r="W679" s="37"/>
      <c r="X679" s="37"/>
      <c r="Y679" s="37"/>
      <c r="Z679" s="37"/>
    </row>
    <row r="680" spans="1:26" ht="15.75" customHeight="1" x14ac:dyDescent="0.25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U680" s="37"/>
      <c r="V680" s="37"/>
      <c r="W680" s="37"/>
      <c r="X680" s="37"/>
      <c r="Y680" s="37"/>
      <c r="Z680" s="37"/>
    </row>
    <row r="681" spans="1:26" ht="15.75" customHeight="1" x14ac:dyDescent="0.25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U681" s="37"/>
      <c r="V681" s="37"/>
      <c r="W681" s="37"/>
      <c r="X681" s="37"/>
      <c r="Y681" s="37"/>
      <c r="Z681" s="37"/>
    </row>
    <row r="682" spans="1:26" ht="15.75" customHeight="1" x14ac:dyDescent="0.25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U682" s="37"/>
      <c r="V682" s="37"/>
      <c r="W682" s="37"/>
      <c r="X682" s="37"/>
      <c r="Y682" s="37"/>
      <c r="Z682" s="37"/>
    </row>
    <row r="683" spans="1:26" ht="15.75" customHeight="1" x14ac:dyDescent="0.25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U683" s="37"/>
      <c r="V683" s="37"/>
      <c r="W683" s="37"/>
      <c r="X683" s="37"/>
      <c r="Y683" s="37"/>
      <c r="Z683" s="37"/>
    </row>
    <row r="684" spans="1:26" ht="15.75" customHeight="1" x14ac:dyDescent="0.25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U684" s="37"/>
      <c r="V684" s="37"/>
      <c r="W684" s="37"/>
      <c r="X684" s="37"/>
      <c r="Y684" s="37"/>
      <c r="Z684" s="37"/>
    </row>
    <row r="685" spans="1:26" ht="15.75" customHeight="1" x14ac:dyDescent="0.25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U685" s="37"/>
      <c r="V685" s="37"/>
      <c r="W685" s="37"/>
      <c r="X685" s="37"/>
      <c r="Y685" s="37"/>
      <c r="Z685" s="37"/>
    </row>
    <row r="686" spans="1:26" ht="15.75" customHeight="1" x14ac:dyDescent="0.25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U686" s="37"/>
      <c r="V686" s="37"/>
      <c r="W686" s="37"/>
      <c r="X686" s="37"/>
      <c r="Y686" s="37"/>
      <c r="Z686" s="37"/>
    </row>
    <row r="687" spans="1:26" ht="15.75" customHeight="1" x14ac:dyDescent="0.25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U687" s="37"/>
      <c r="V687" s="37"/>
      <c r="W687" s="37"/>
      <c r="X687" s="37"/>
      <c r="Y687" s="37"/>
      <c r="Z687" s="37"/>
    </row>
    <row r="688" spans="1:26" ht="15.75" customHeight="1" x14ac:dyDescent="0.25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U688" s="37"/>
      <c r="V688" s="37"/>
      <c r="W688" s="37"/>
      <c r="X688" s="37"/>
      <c r="Y688" s="37"/>
      <c r="Z688" s="37"/>
    </row>
    <row r="689" spans="1:26" ht="15.75" customHeight="1" x14ac:dyDescent="0.25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U689" s="37"/>
      <c r="V689" s="37"/>
      <c r="W689" s="37"/>
      <c r="X689" s="37"/>
      <c r="Y689" s="37"/>
      <c r="Z689" s="37"/>
    </row>
    <row r="690" spans="1:26" ht="15.75" customHeight="1" x14ac:dyDescent="0.25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U690" s="37"/>
      <c r="V690" s="37"/>
      <c r="W690" s="37"/>
      <c r="X690" s="37"/>
      <c r="Y690" s="37"/>
      <c r="Z690" s="37"/>
    </row>
    <row r="691" spans="1:26" ht="15.75" customHeight="1" x14ac:dyDescent="0.25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U691" s="37"/>
      <c r="V691" s="37"/>
      <c r="W691" s="37"/>
      <c r="X691" s="37"/>
      <c r="Y691" s="37"/>
      <c r="Z691" s="37"/>
    </row>
    <row r="692" spans="1:26" ht="15.75" customHeight="1" x14ac:dyDescent="0.25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U692" s="37"/>
      <c r="V692" s="37"/>
      <c r="W692" s="37"/>
      <c r="X692" s="37"/>
      <c r="Y692" s="37"/>
      <c r="Z692" s="37"/>
    </row>
    <row r="693" spans="1:26" ht="15.75" customHeight="1" x14ac:dyDescent="0.25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U693" s="37"/>
      <c r="V693" s="37"/>
      <c r="W693" s="37"/>
      <c r="X693" s="37"/>
      <c r="Y693" s="37"/>
      <c r="Z693" s="37"/>
    </row>
    <row r="694" spans="1:26" ht="15.75" customHeight="1" x14ac:dyDescent="0.25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U694" s="37"/>
      <c r="V694" s="37"/>
      <c r="W694" s="37"/>
      <c r="X694" s="37"/>
      <c r="Y694" s="37"/>
      <c r="Z694" s="37"/>
    </row>
    <row r="695" spans="1:26" ht="15.75" customHeight="1" x14ac:dyDescent="0.25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U695" s="37"/>
      <c r="V695" s="37"/>
      <c r="W695" s="37"/>
      <c r="X695" s="37"/>
      <c r="Y695" s="37"/>
      <c r="Z695" s="37"/>
    </row>
    <row r="696" spans="1:26" ht="15.75" customHeight="1" x14ac:dyDescent="0.25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U696" s="37"/>
      <c r="V696" s="37"/>
      <c r="W696" s="37"/>
      <c r="X696" s="37"/>
      <c r="Y696" s="37"/>
      <c r="Z696" s="37"/>
    </row>
    <row r="697" spans="1:26" ht="15.75" customHeight="1" x14ac:dyDescent="0.25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U697" s="37"/>
      <c r="V697" s="37"/>
      <c r="W697" s="37"/>
      <c r="X697" s="37"/>
      <c r="Y697" s="37"/>
      <c r="Z697" s="37"/>
    </row>
    <row r="698" spans="1:26" ht="15.75" customHeight="1" x14ac:dyDescent="0.25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U698" s="37"/>
      <c r="V698" s="37"/>
      <c r="W698" s="37"/>
      <c r="X698" s="37"/>
      <c r="Y698" s="37"/>
      <c r="Z698" s="37"/>
    </row>
    <row r="699" spans="1:26" ht="15.75" customHeight="1" x14ac:dyDescent="0.25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U699" s="37"/>
      <c r="V699" s="37"/>
      <c r="W699" s="37"/>
      <c r="X699" s="37"/>
      <c r="Y699" s="37"/>
      <c r="Z699" s="37"/>
    </row>
    <row r="700" spans="1:26" ht="15.75" customHeight="1" x14ac:dyDescent="0.25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U700" s="37"/>
      <c r="V700" s="37"/>
      <c r="W700" s="37"/>
      <c r="X700" s="37"/>
      <c r="Y700" s="37"/>
      <c r="Z700" s="37"/>
    </row>
    <row r="701" spans="1:26" ht="15.75" customHeight="1" x14ac:dyDescent="0.25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U701" s="37"/>
      <c r="V701" s="37"/>
      <c r="W701" s="37"/>
      <c r="X701" s="37"/>
      <c r="Y701" s="37"/>
      <c r="Z701" s="37"/>
    </row>
    <row r="702" spans="1:26" ht="15.75" customHeight="1" x14ac:dyDescent="0.25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U702" s="37"/>
      <c r="V702" s="37"/>
      <c r="W702" s="37"/>
      <c r="X702" s="37"/>
      <c r="Y702" s="37"/>
      <c r="Z702" s="37"/>
    </row>
    <row r="703" spans="1:26" ht="15.75" customHeight="1" x14ac:dyDescent="0.25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U703" s="37"/>
      <c r="V703" s="37"/>
      <c r="W703" s="37"/>
      <c r="X703" s="37"/>
      <c r="Y703" s="37"/>
      <c r="Z703" s="37"/>
    </row>
    <row r="704" spans="1:26" ht="15.75" customHeight="1" x14ac:dyDescent="0.25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U704" s="37"/>
      <c r="V704" s="37"/>
      <c r="W704" s="37"/>
      <c r="X704" s="37"/>
      <c r="Y704" s="37"/>
      <c r="Z704" s="37"/>
    </row>
    <row r="705" spans="1:26" ht="15.75" customHeight="1" x14ac:dyDescent="0.25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U705" s="37"/>
      <c r="V705" s="37"/>
      <c r="W705" s="37"/>
      <c r="X705" s="37"/>
      <c r="Y705" s="37"/>
      <c r="Z705" s="37"/>
    </row>
    <row r="706" spans="1:26" ht="15.75" customHeight="1" x14ac:dyDescent="0.25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U706" s="37"/>
      <c r="V706" s="37"/>
      <c r="W706" s="37"/>
      <c r="X706" s="37"/>
      <c r="Y706" s="37"/>
      <c r="Z706" s="37"/>
    </row>
    <row r="707" spans="1:26" ht="15.75" customHeight="1" x14ac:dyDescent="0.25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U707" s="37"/>
      <c r="V707" s="37"/>
      <c r="W707" s="37"/>
      <c r="X707" s="37"/>
      <c r="Y707" s="37"/>
      <c r="Z707" s="37"/>
    </row>
    <row r="708" spans="1:26" ht="15.75" customHeight="1" x14ac:dyDescent="0.25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U708" s="37"/>
      <c r="V708" s="37"/>
      <c r="W708" s="37"/>
      <c r="X708" s="37"/>
      <c r="Y708" s="37"/>
      <c r="Z708" s="37"/>
    </row>
    <row r="709" spans="1:26" ht="15.75" customHeight="1" x14ac:dyDescent="0.25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U709" s="37"/>
      <c r="V709" s="37"/>
      <c r="W709" s="37"/>
      <c r="X709" s="37"/>
      <c r="Y709" s="37"/>
      <c r="Z709" s="37"/>
    </row>
    <row r="710" spans="1:26" ht="15.75" customHeight="1" x14ac:dyDescent="0.25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U710" s="37"/>
      <c r="V710" s="37"/>
      <c r="W710" s="37"/>
      <c r="X710" s="37"/>
      <c r="Y710" s="37"/>
      <c r="Z710" s="37"/>
    </row>
    <row r="711" spans="1:26" ht="15.75" customHeight="1" x14ac:dyDescent="0.25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U711" s="37"/>
      <c r="V711" s="37"/>
      <c r="W711" s="37"/>
      <c r="X711" s="37"/>
      <c r="Y711" s="37"/>
      <c r="Z711" s="37"/>
    </row>
    <row r="712" spans="1:26" ht="15.75" customHeight="1" x14ac:dyDescent="0.25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U712" s="37"/>
      <c r="V712" s="37"/>
      <c r="W712" s="37"/>
      <c r="X712" s="37"/>
      <c r="Y712" s="37"/>
      <c r="Z712" s="37"/>
    </row>
    <row r="713" spans="1:26" ht="15.75" customHeight="1" x14ac:dyDescent="0.25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U713" s="37"/>
      <c r="V713" s="37"/>
      <c r="W713" s="37"/>
      <c r="X713" s="37"/>
      <c r="Y713" s="37"/>
      <c r="Z713" s="37"/>
    </row>
    <row r="714" spans="1:26" ht="15.75" customHeight="1" x14ac:dyDescent="0.25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U714" s="37"/>
      <c r="V714" s="37"/>
      <c r="W714" s="37"/>
      <c r="X714" s="37"/>
      <c r="Y714" s="37"/>
      <c r="Z714" s="37"/>
    </row>
    <row r="715" spans="1:26" ht="15.75" customHeight="1" x14ac:dyDescent="0.25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U715" s="37"/>
      <c r="V715" s="37"/>
      <c r="W715" s="37"/>
      <c r="X715" s="37"/>
      <c r="Y715" s="37"/>
      <c r="Z715" s="37"/>
    </row>
    <row r="716" spans="1:26" ht="15.75" customHeight="1" x14ac:dyDescent="0.25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U716" s="37"/>
      <c r="V716" s="37"/>
      <c r="W716" s="37"/>
      <c r="X716" s="37"/>
      <c r="Y716" s="37"/>
      <c r="Z716" s="37"/>
    </row>
    <row r="717" spans="1:26" ht="15.75" customHeight="1" x14ac:dyDescent="0.25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U717" s="37"/>
      <c r="V717" s="37"/>
      <c r="W717" s="37"/>
      <c r="X717" s="37"/>
      <c r="Y717" s="37"/>
      <c r="Z717" s="37"/>
    </row>
    <row r="718" spans="1:26" ht="15.75" customHeight="1" x14ac:dyDescent="0.25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U718" s="37"/>
      <c r="V718" s="37"/>
      <c r="W718" s="37"/>
      <c r="X718" s="37"/>
      <c r="Y718" s="37"/>
      <c r="Z718" s="37"/>
    </row>
    <row r="719" spans="1:26" ht="15.75" customHeight="1" x14ac:dyDescent="0.25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U719" s="37"/>
      <c r="V719" s="37"/>
      <c r="W719" s="37"/>
      <c r="X719" s="37"/>
      <c r="Y719" s="37"/>
      <c r="Z719" s="37"/>
    </row>
    <row r="720" spans="1:26" ht="15.75" customHeight="1" x14ac:dyDescent="0.25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U720" s="37"/>
      <c r="V720" s="37"/>
      <c r="W720" s="37"/>
      <c r="X720" s="37"/>
      <c r="Y720" s="37"/>
      <c r="Z720" s="37"/>
    </row>
    <row r="721" spans="1:26" ht="15.75" customHeight="1" x14ac:dyDescent="0.25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U721" s="37"/>
      <c r="V721" s="37"/>
      <c r="W721" s="37"/>
      <c r="X721" s="37"/>
      <c r="Y721" s="37"/>
      <c r="Z721" s="37"/>
    </row>
    <row r="722" spans="1:26" ht="15.75" customHeight="1" x14ac:dyDescent="0.25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U722" s="37"/>
      <c r="V722" s="37"/>
      <c r="W722" s="37"/>
      <c r="X722" s="37"/>
      <c r="Y722" s="37"/>
      <c r="Z722" s="37"/>
    </row>
    <row r="723" spans="1:26" ht="15.75" customHeight="1" x14ac:dyDescent="0.25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U723" s="37"/>
      <c r="V723" s="37"/>
      <c r="W723" s="37"/>
      <c r="X723" s="37"/>
      <c r="Y723" s="37"/>
      <c r="Z723" s="37"/>
    </row>
    <row r="724" spans="1:26" ht="15.75" customHeight="1" x14ac:dyDescent="0.25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U724" s="37"/>
      <c r="V724" s="37"/>
      <c r="W724" s="37"/>
      <c r="X724" s="37"/>
      <c r="Y724" s="37"/>
      <c r="Z724" s="37"/>
    </row>
    <row r="725" spans="1:26" ht="15.75" customHeight="1" x14ac:dyDescent="0.25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U725" s="37"/>
      <c r="V725" s="37"/>
      <c r="W725" s="37"/>
      <c r="X725" s="37"/>
      <c r="Y725" s="37"/>
      <c r="Z725" s="37"/>
    </row>
    <row r="726" spans="1:26" ht="15.75" customHeight="1" x14ac:dyDescent="0.25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U726" s="37"/>
      <c r="V726" s="37"/>
      <c r="W726" s="37"/>
      <c r="X726" s="37"/>
      <c r="Y726" s="37"/>
      <c r="Z726" s="37"/>
    </row>
    <row r="727" spans="1:26" ht="15.75" customHeight="1" x14ac:dyDescent="0.25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U727" s="37"/>
      <c r="V727" s="37"/>
      <c r="W727" s="37"/>
      <c r="X727" s="37"/>
      <c r="Y727" s="37"/>
      <c r="Z727" s="37"/>
    </row>
    <row r="728" spans="1:26" ht="15.75" customHeight="1" x14ac:dyDescent="0.25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U728" s="37"/>
      <c r="V728" s="37"/>
      <c r="W728" s="37"/>
      <c r="X728" s="37"/>
      <c r="Y728" s="37"/>
      <c r="Z728" s="37"/>
    </row>
    <row r="729" spans="1:26" ht="15.75" customHeight="1" x14ac:dyDescent="0.25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U729" s="37"/>
      <c r="V729" s="37"/>
      <c r="W729" s="37"/>
      <c r="X729" s="37"/>
      <c r="Y729" s="37"/>
      <c r="Z729" s="37"/>
    </row>
    <row r="730" spans="1:26" ht="15.75" customHeight="1" x14ac:dyDescent="0.25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U730" s="37"/>
      <c r="V730" s="37"/>
      <c r="W730" s="37"/>
      <c r="X730" s="37"/>
      <c r="Y730" s="37"/>
      <c r="Z730" s="37"/>
    </row>
    <row r="731" spans="1:26" ht="15.75" customHeight="1" x14ac:dyDescent="0.25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U731" s="37"/>
      <c r="V731" s="37"/>
      <c r="W731" s="37"/>
      <c r="X731" s="37"/>
      <c r="Y731" s="37"/>
      <c r="Z731" s="37"/>
    </row>
    <row r="732" spans="1:26" ht="15.75" customHeight="1" x14ac:dyDescent="0.25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U732" s="37"/>
      <c r="V732" s="37"/>
      <c r="W732" s="37"/>
      <c r="X732" s="37"/>
      <c r="Y732" s="37"/>
      <c r="Z732" s="37"/>
    </row>
    <row r="733" spans="1:26" ht="15.75" customHeight="1" x14ac:dyDescent="0.25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U733" s="37"/>
      <c r="V733" s="37"/>
      <c r="W733" s="37"/>
      <c r="X733" s="37"/>
      <c r="Y733" s="37"/>
      <c r="Z733" s="37"/>
    </row>
    <row r="734" spans="1:26" ht="15.75" customHeight="1" x14ac:dyDescent="0.25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U734" s="37"/>
      <c r="V734" s="37"/>
      <c r="W734" s="37"/>
      <c r="X734" s="37"/>
      <c r="Y734" s="37"/>
      <c r="Z734" s="37"/>
    </row>
    <row r="735" spans="1:26" ht="15.75" customHeight="1" x14ac:dyDescent="0.25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U735" s="37"/>
      <c r="V735" s="37"/>
      <c r="W735" s="37"/>
      <c r="X735" s="37"/>
      <c r="Y735" s="37"/>
      <c r="Z735" s="37"/>
    </row>
    <row r="736" spans="1:26" ht="15.75" customHeight="1" x14ac:dyDescent="0.25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U736" s="37"/>
      <c r="V736" s="37"/>
      <c r="W736" s="37"/>
      <c r="X736" s="37"/>
      <c r="Y736" s="37"/>
      <c r="Z736" s="37"/>
    </row>
    <row r="737" spans="1:26" ht="15.75" customHeight="1" x14ac:dyDescent="0.25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U737" s="37"/>
      <c r="V737" s="37"/>
      <c r="W737" s="37"/>
      <c r="X737" s="37"/>
      <c r="Y737" s="37"/>
      <c r="Z737" s="37"/>
    </row>
    <row r="738" spans="1:26" ht="15.75" customHeight="1" x14ac:dyDescent="0.25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U738" s="37"/>
      <c r="V738" s="37"/>
      <c r="W738" s="37"/>
      <c r="X738" s="37"/>
      <c r="Y738" s="37"/>
      <c r="Z738" s="37"/>
    </row>
    <row r="739" spans="1:26" ht="15.75" customHeight="1" x14ac:dyDescent="0.25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U739" s="37"/>
      <c r="V739" s="37"/>
      <c r="W739" s="37"/>
      <c r="X739" s="37"/>
      <c r="Y739" s="37"/>
      <c r="Z739" s="37"/>
    </row>
    <row r="740" spans="1:26" ht="15.75" customHeight="1" x14ac:dyDescent="0.25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U740" s="37"/>
      <c r="V740" s="37"/>
      <c r="W740" s="37"/>
      <c r="X740" s="37"/>
      <c r="Y740" s="37"/>
      <c r="Z740" s="37"/>
    </row>
    <row r="741" spans="1:26" ht="15.75" customHeight="1" x14ac:dyDescent="0.25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U741" s="37"/>
      <c r="V741" s="37"/>
      <c r="W741" s="37"/>
      <c r="X741" s="37"/>
      <c r="Y741" s="37"/>
      <c r="Z741" s="37"/>
    </row>
    <row r="742" spans="1:26" ht="15.75" customHeight="1" x14ac:dyDescent="0.25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U742" s="37"/>
      <c r="V742" s="37"/>
      <c r="W742" s="37"/>
      <c r="X742" s="37"/>
      <c r="Y742" s="37"/>
      <c r="Z742" s="37"/>
    </row>
    <row r="743" spans="1:26" ht="15.75" customHeight="1" x14ac:dyDescent="0.25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U743" s="37"/>
      <c r="V743" s="37"/>
      <c r="W743" s="37"/>
      <c r="X743" s="37"/>
      <c r="Y743" s="37"/>
      <c r="Z743" s="37"/>
    </row>
    <row r="744" spans="1:26" ht="15.75" customHeight="1" x14ac:dyDescent="0.25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U744" s="37"/>
      <c r="V744" s="37"/>
      <c r="W744" s="37"/>
      <c r="X744" s="37"/>
      <c r="Y744" s="37"/>
      <c r="Z744" s="37"/>
    </row>
    <row r="745" spans="1:26" ht="15.75" customHeight="1" x14ac:dyDescent="0.25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U745" s="37"/>
      <c r="V745" s="37"/>
      <c r="W745" s="37"/>
      <c r="X745" s="37"/>
      <c r="Y745" s="37"/>
      <c r="Z745" s="37"/>
    </row>
    <row r="746" spans="1:26" ht="15.75" customHeight="1" x14ac:dyDescent="0.25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U746" s="37"/>
      <c r="V746" s="37"/>
      <c r="W746" s="37"/>
      <c r="X746" s="37"/>
      <c r="Y746" s="37"/>
      <c r="Z746" s="37"/>
    </row>
    <row r="747" spans="1:26" ht="15.75" customHeight="1" x14ac:dyDescent="0.25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U747" s="37"/>
      <c r="V747" s="37"/>
      <c r="W747" s="37"/>
      <c r="X747" s="37"/>
      <c r="Y747" s="37"/>
      <c r="Z747" s="37"/>
    </row>
    <row r="748" spans="1:26" ht="15.75" customHeight="1" x14ac:dyDescent="0.25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U748" s="37"/>
      <c r="V748" s="37"/>
      <c r="W748" s="37"/>
      <c r="X748" s="37"/>
      <c r="Y748" s="37"/>
      <c r="Z748" s="37"/>
    </row>
    <row r="749" spans="1:26" ht="15.75" customHeight="1" x14ac:dyDescent="0.25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U749" s="37"/>
      <c r="V749" s="37"/>
      <c r="W749" s="37"/>
      <c r="X749" s="37"/>
      <c r="Y749" s="37"/>
      <c r="Z749" s="37"/>
    </row>
    <row r="750" spans="1:26" ht="15.75" customHeight="1" x14ac:dyDescent="0.25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U750" s="37"/>
      <c r="V750" s="37"/>
      <c r="W750" s="37"/>
      <c r="X750" s="37"/>
      <c r="Y750" s="37"/>
      <c r="Z750" s="37"/>
    </row>
    <row r="751" spans="1:26" ht="15.75" customHeight="1" x14ac:dyDescent="0.25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U751" s="37"/>
      <c r="V751" s="37"/>
      <c r="W751" s="37"/>
      <c r="X751" s="37"/>
      <c r="Y751" s="37"/>
      <c r="Z751" s="37"/>
    </row>
    <row r="752" spans="1:26" ht="15.75" customHeight="1" x14ac:dyDescent="0.25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U752" s="37"/>
      <c r="V752" s="37"/>
      <c r="W752" s="37"/>
      <c r="X752" s="37"/>
      <c r="Y752" s="37"/>
      <c r="Z752" s="37"/>
    </row>
    <row r="753" spans="1:26" ht="15.75" customHeight="1" x14ac:dyDescent="0.25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U753" s="37"/>
      <c r="V753" s="37"/>
      <c r="W753" s="37"/>
      <c r="X753" s="37"/>
      <c r="Y753" s="37"/>
      <c r="Z753" s="37"/>
    </row>
    <row r="754" spans="1:26" ht="15.75" customHeight="1" x14ac:dyDescent="0.25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U754" s="37"/>
      <c r="V754" s="37"/>
      <c r="W754" s="37"/>
      <c r="X754" s="37"/>
      <c r="Y754" s="37"/>
      <c r="Z754" s="37"/>
    </row>
    <row r="755" spans="1:26" ht="15.75" customHeight="1" x14ac:dyDescent="0.25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U755" s="37"/>
      <c r="V755" s="37"/>
      <c r="W755" s="37"/>
      <c r="X755" s="37"/>
      <c r="Y755" s="37"/>
      <c r="Z755" s="37"/>
    </row>
    <row r="756" spans="1:26" ht="15.75" customHeight="1" x14ac:dyDescent="0.25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U756" s="37"/>
      <c r="V756" s="37"/>
      <c r="W756" s="37"/>
      <c r="X756" s="37"/>
      <c r="Y756" s="37"/>
      <c r="Z756" s="37"/>
    </row>
    <row r="757" spans="1:26" ht="15.75" customHeight="1" x14ac:dyDescent="0.25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U757" s="37"/>
      <c r="V757" s="37"/>
      <c r="W757" s="37"/>
      <c r="X757" s="37"/>
      <c r="Y757" s="37"/>
      <c r="Z757" s="37"/>
    </row>
    <row r="758" spans="1:26" ht="15.75" customHeight="1" x14ac:dyDescent="0.25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U758" s="37"/>
      <c r="V758" s="37"/>
      <c r="W758" s="37"/>
      <c r="X758" s="37"/>
      <c r="Y758" s="37"/>
      <c r="Z758" s="37"/>
    </row>
    <row r="759" spans="1:26" ht="15.75" customHeight="1" x14ac:dyDescent="0.25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U759" s="37"/>
      <c r="V759" s="37"/>
      <c r="W759" s="37"/>
      <c r="X759" s="37"/>
      <c r="Y759" s="37"/>
      <c r="Z759" s="37"/>
    </row>
    <row r="760" spans="1:26" ht="15.75" customHeight="1" x14ac:dyDescent="0.25">
      <c r="A760" s="37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U760" s="37"/>
      <c r="V760" s="37"/>
      <c r="W760" s="37"/>
      <c r="X760" s="37"/>
      <c r="Y760" s="37"/>
      <c r="Z760" s="37"/>
    </row>
    <row r="761" spans="1:26" ht="15.75" customHeight="1" x14ac:dyDescent="0.25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U761" s="37"/>
      <c r="V761" s="37"/>
      <c r="W761" s="37"/>
      <c r="X761" s="37"/>
      <c r="Y761" s="37"/>
      <c r="Z761" s="37"/>
    </row>
    <row r="762" spans="1:26" ht="15.75" customHeight="1" x14ac:dyDescent="0.25">
      <c r="A762" s="37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U762" s="37"/>
      <c r="V762" s="37"/>
      <c r="W762" s="37"/>
      <c r="X762" s="37"/>
      <c r="Y762" s="37"/>
      <c r="Z762" s="37"/>
    </row>
    <row r="763" spans="1:26" ht="15.75" customHeight="1" x14ac:dyDescent="0.25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U763" s="37"/>
      <c r="V763" s="37"/>
      <c r="W763" s="37"/>
      <c r="X763" s="37"/>
      <c r="Y763" s="37"/>
      <c r="Z763" s="37"/>
    </row>
    <row r="764" spans="1:26" ht="15.75" customHeight="1" x14ac:dyDescent="0.25">
      <c r="A764" s="37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U764" s="37"/>
      <c r="V764" s="37"/>
      <c r="W764" s="37"/>
      <c r="X764" s="37"/>
      <c r="Y764" s="37"/>
      <c r="Z764" s="37"/>
    </row>
    <row r="765" spans="1:26" ht="15.75" customHeight="1" x14ac:dyDescent="0.25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U765" s="37"/>
      <c r="V765" s="37"/>
      <c r="W765" s="37"/>
      <c r="X765" s="37"/>
      <c r="Y765" s="37"/>
      <c r="Z765" s="37"/>
    </row>
    <row r="766" spans="1:26" ht="15.75" customHeight="1" x14ac:dyDescent="0.25">
      <c r="A766" s="37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U766" s="37"/>
      <c r="V766" s="37"/>
      <c r="W766" s="37"/>
      <c r="X766" s="37"/>
      <c r="Y766" s="37"/>
      <c r="Z766" s="37"/>
    </row>
    <row r="767" spans="1:26" ht="15.75" customHeight="1" x14ac:dyDescent="0.25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U767" s="37"/>
      <c r="V767" s="37"/>
      <c r="W767" s="37"/>
      <c r="X767" s="37"/>
      <c r="Y767" s="37"/>
      <c r="Z767" s="37"/>
    </row>
    <row r="768" spans="1:26" ht="15.75" customHeight="1" x14ac:dyDescent="0.25">
      <c r="A768" s="37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U768" s="37"/>
      <c r="V768" s="37"/>
      <c r="W768" s="37"/>
      <c r="X768" s="37"/>
      <c r="Y768" s="37"/>
      <c r="Z768" s="37"/>
    </row>
    <row r="769" spans="1:26" ht="15.75" customHeight="1" x14ac:dyDescent="0.25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U769" s="37"/>
      <c r="V769" s="37"/>
      <c r="W769" s="37"/>
      <c r="X769" s="37"/>
      <c r="Y769" s="37"/>
      <c r="Z769" s="37"/>
    </row>
    <row r="770" spans="1:26" ht="15.75" customHeight="1" x14ac:dyDescent="0.25">
      <c r="A770" s="37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U770" s="37"/>
      <c r="V770" s="37"/>
      <c r="W770" s="37"/>
      <c r="X770" s="37"/>
      <c r="Y770" s="37"/>
      <c r="Z770" s="37"/>
    </row>
    <row r="771" spans="1:26" ht="15.75" customHeight="1" x14ac:dyDescent="0.25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U771" s="37"/>
      <c r="V771" s="37"/>
      <c r="W771" s="37"/>
      <c r="X771" s="37"/>
      <c r="Y771" s="37"/>
      <c r="Z771" s="37"/>
    </row>
    <row r="772" spans="1:26" ht="15.75" customHeight="1" x14ac:dyDescent="0.25">
      <c r="A772" s="37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U772" s="37"/>
      <c r="V772" s="37"/>
      <c r="W772" s="37"/>
      <c r="X772" s="37"/>
      <c r="Y772" s="37"/>
      <c r="Z772" s="37"/>
    </row>
    <row r="773" spans="1:26" ht="15.75" customHeight="1" x14ac:dyDescent="0.25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U773" s="37"/>
      <c r="V773" s="37"/>
      <c r="W773" s="37"/>
      <c r="X773" s="37"/>
      <c r="Y773" s="37"/>
      <c r="Z773" s="37"/>
    </row>
    <row r="774" spans="1:26" ht="15.75" customHeight="1" x14ac:dyDescent="0.25">
      <c r="A774" s="37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U774" s="37"/>
      <c r="V774" s="37"/>
      <c r="W774" s="37"/>
      <c r="X774" s="37"/>
      <c r="Y774" s="37"/>
      <c r="Z774" s="37"/>
    </row>
    <row r="775" spans="1:26" ht="15.75" customHeight="1" x14ac:dyDescent="0.25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U775" s="37"/>
      <c r="V775" s="37"/>
      <c r="W775" s="37"/>
      <c r="X775" s="37"/>
      <c r="Y775" s="37"/>
      <c r="Z775" s="37"/>
    </row>
    <row r="776" spans="1:26" ht="15.75" customHeight="1" x14ac:dyDescent="0.25">
      <c r="A776" s="37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U776" s="37"/>
      <c r="V776" s="37"/>
      <c r="W776" s="37"/>
      <c r="X776" s="37"/>
      <c r="Y776" s="37"/>
      <c r="Z776" s="37"/>
    </row>
    <row r="777" spans="1:26" ht="15.75" customHeight="1" x14ac:dyDescent="0.25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U777" s="37"/>
      <c r="V777" s="37"/>
      <c r="W777" s="37"/>
      <c r="X777" s="37"/>
      <c r="Y777" s="37"/>
      <c r="Z777" s="37"/>
    </row>
    <row r="778" spans="1:26" ht="15.75" customHeight="1" x14ac:dyDescent="0.25">
      <c r="A778" s="37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U778" s="37"/>
      <c r="V778" s="37"/>
      <c r="W778" s="37"/>
      <c r="X778" s="37"/>
      <c r="Y778" s="37"/>
      <c r="Z778" s="37"/>
    </row>
    <row r="779" spans="1:26" ht="15.75" customHeight="1" x14ac:dyDescent="0.25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U779" s="37"/>
      <c r="V779" s="37"/>
      <c r="W779" s="37"/>
      <c r="X779" s="37"/>
      <c r="Y779" s="37"/>
      <c r="Z779" s="37"/>
    </row>
    <row r="780" spans="1:26" ht="15.75" customHeight="1" x14ac:dyDescent="0.25">
      <c r="A780" s="37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U780" s="37"/>
      <c r="V780" s="37"/>
      <c r="W780" s="37"/>
      <c r="X780" s="37"/>
      <c r="Y780" s="37"/>
      <c r="Z780" s="37"/>
    </row>
    <row r="781" spans="1:26" ht="15.75" customHeight="1" x14ac:dyDescent="0.25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U781" s="37"/>
      <c r="V781" s="37"/>
      <c r="W781" s="37"/>
      <c r="X781" s="37"/>
      <c r="Y781" s="37"/>
      <c r="Z781" s="37"/>
    </row>
    <row r="782" spans="1:26" ht="15.75" customHeight="1" x14ac:dyDescent="0.25">
      <c r="A782" s="37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U782" s="37"/>
      <c r="V782" s="37"/>
      <c r="W782" s="37"/>
      <c r="X782" s="37"/>
      <c r="Y782" s="37"/>
      <c r="Z782" s="37"/>
    </row>
    <row r="783" spans="1:26" ht="15.75" customHeight="1" x14ac:dyDescent="0.25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U783" s="37"/>
      <c r="V783" s="37"/>
      <c r="W783" s="37"/>
      <c r="X783" s="37"/>
      <c r="Y783" s="37"/>
      <c r="Z783" s="37"/>
    </row>
    <row r="784" spans="1:26" ht="15.75" customHeight="1" x14ac:dyDescent="0.25">
      <c r="A784" s="37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U784" s="37"/>
      <c r="V784" s="37"/>
      <c r="W784" s="37"/>
      <c r="X784" s="37"/>
      <c r="Y784" s="37"/>
      <c r="Z784" s="37"/>
    </row>
    <row r="785" spans="1:26" ht="15.75" customHeight="1" x14ac:dyDescent="0.25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U785" s="37"/>
      <c r="V785" s="37"/>
      <c r="W785" s="37"/>
      <c r="X785" s="37"/>
      <c r="Y785" s="37"/>
      <c r="Z785" s="37"/>
    </row>
    <row r="786" spans="1:26" ht="15.75" customHeight="1" x14ac:dyDescent="0.25">
      <c r="A786" s="37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U786" s="37"/>
      <c r="V786" s="37"/>
      <c r="W786" s="37"/>
      <c r="X786" s="37"/>
      <c r="Y786" s="37"/>
      <c r="Z786" s="37"/>
    </row>
    <row r="787" spans="1:26" ht="15.75" customHeight="1" x14ac:dyDescent="0.25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U787" s="37"/>
      <c r="V787" s="37"/>
      <c r="W787" s="37"/>
      <c r="X787" s="37"/>
      <c r="Y787" s="37"/>
      <c r="Z787" s="37"/>
    </row>
    <row r="788" spans="1:26" ht="15.75" customHeight="1" x14ac:dyDescent="0.25">
      <c r="A788" s="37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U788" s="37"/>
      <c r="V788" s="37"/>
      <c r="W788" s="37"/>
      <c r="X788" s="37"/>
      <c r="Y788" s="37"/>
      <c r="Z788" s="37"/>
    </row>
    <row r="789" spans="1:26" ht="15.75" customHeight="1" x14ac:dyDescent="0.25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U789" s="37"/>
      <c r="V789" s="37"/>
      <c r="W789" s="37"/>
      <c r="X789" s="37"/>
      <c r="Y789" s="37"/>
      <c r="Z789" s="37"/>
    </row>
    <row r="790" spans="1:26" ht="15.75" customHeight="1" x14ac:dyDescent="0.25">
      <c r="A790" s="37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U790" s="37"/>
      <c r="V790" s="37"/>
      <c r="W790" s="37"/>
      <c r="X790" s="37"/>
      <c r="Y790" s="37"/>
      <c r="Z790" s="37"/>
    </row>
    <row r="791" spans="1:26" ht="15.75" customHeight="1" x14ac:dyDescent="0.25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U791" s="37"/>
      <c r="V791" s="37"/>
      <c r="W791" s="37"/>
      <c r="X791" s="37"/>
      <c r="Y791" s="37"/>
      <c r="Z791" s="37"/>
    </row>
    <row r="792" spans="1:26" ht="15.75" customHeight="1" x14ac:dyDescent="0.25">
      <c r="A792" s="37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U792" s="37"/>
      <c r="V792" s="37"/>
      <c r="W792" s="37"/>
      <c r="X792" s="37"/>
      <c r="Y792" s="37"/>
      <c r="Z792" s="37"/>
    </row>
    <row r="793" spans="1:26" ht="15.75" customHeight="1" x14ac:dyDescent="0.25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U793" s="37"/>
      <c r="V793" s="37"/>
      <c r="W793" s="37"/>
      <c r="X793" s="37"/>
      <c r="Y793" s="37"/>
      <c r="Z793" s="37"/>
    </row>
    <row r="794" spans="1:26" ht="15.75" customHeight="1" x14ac:dyDescent="0.25">
      <c r="A794" s="37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U794" s="37"/>
      <c r="V794" s="37"/>
      <c r="W794" s="37"/>
      <c r="X794" s="37"/>
      <c r="Y794" s="37"/>
      <c r="Z794" s="37"/>
    </row>
    <row r="795" spans="1:26" ht="15.75" customHeight="1" x14ac:dyDescent="0.25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U795" s="37"/>
      <c r="V795" s="37"/>
      <c r="W795" s="37"/>
      <c r="X795" s="37"/>
      <c r="Y795" s="37"/>
      <c r="Z795" s="37"/>
    </row>
    <row r="796" spans="1:26" ht="15.75" customHeight="1" x14ac:dyDescent="0.25">
      <c r="A796" s="37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U796" s="37"/>
      <c r="V796" s="37"/>
      <c r="W796" s="37"/>
      <c r="X796" s="37"/>
      <c r="Y796" s="37"/>
      <c r="Z796" s="37"/>
    </row>
    <row r="797" spans="1:26" ht="15.75" customHeight="1" x14ac:dyDescent="0.25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U797" s="37"/>
      <c r="V797" s="37"/>
      <c r="W797" s="37"/>
      <c r="X797" s="37"/>
      <c r="Y797" s="37"/>
      <c r="Z797" s="37"/>
    </row>
    <row r="798" spans="1:26" ht="15.75" customHeight="1" x14ac:dyDescent="0.25">
      <c r="A798" s="37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U798" s="37"/>
      <c r="V798" s="37"/>
      <c r="W798" s="37"/>
      <c r="X798" s="37"/>
      <c r="Y798" s="37"/>
      <c r="Z798" s="37"/>
    </row>
    <row r="799" spans="1:26" ht="15.75" customHeight="1" x14ac:dyDescent="0.25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U799" s="37"/>
      <c r="V799" s="37"/>
      <c r="W799" s="37"/>
      <c r="X799" s="37"/>
      <c r="Y799" s="37"/>
      <c r="Z799" s="37"/>
    </row>
    <row r="800" spans="1:26" ht="15.75" customHeight="1" x14ac:dyDescent="0.25">
      <c r="A800" s="37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U800" s="37"/>
      <c r="V800" s="37"/>
      <c r="W800" s="37"/>
      <c r="X800" s="37"/>
      <c r="Y800" s="37"/>
      <c r="Z800" s="37"/>
    </row>
    <row r="801" spans="1:26" ht="15.75" customHeight="1" x14ac:dyDescent="0.25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U801" s="37"/>
      <c r="V801" s="37"/>
      <c r="W801" s="37"/>
      <c r="X801" s="37"/>
      <c r="Y801" s="37"/>
      <c r="Z801" s="37"/>
    </row>
    <row r="802" spans="1:26" ht="15.75" customHeight="1" x14ac:dyDescent="0.25">
      <c r="A802" s="37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U802" s="37"/>
      <c r="V802" s="37"/>
      <c r="W802" s="37"/>
      <c r="X802" s="37"/>
      <c r="Y802" s="37"/>
      <c r="Z802" s="37"/>
    </row>
    <row r="803" spans="1:26" ht="15.75" customHeight="1" x14ac:dyDescent="0.25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U803" s="37"/>
      <c r="V803" s="37"/>
      <c r="W803" s="37"/>
      <c r="X803" s="37"/>
      <c r="Y803" s="37"/>
      <c r="Z803" s="37"/>
    </row>
    <row r="804" spans="1:26" ht="15.75" customHeight="1" x14ac:dyDescent="0.25">
      <c r="A804" s="37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U804" s="37"/>
      <c r="V804" s="37"/>
      <c r="W804" s="37"/>
      <c r="X804" s="37"/>
      <c r="Y804" s="37"/>
      <c r="Z804" s="37"/>
    </row>
    <row r="805" spans="1:26" ht="15.75" customHeight="1" x14ac:dyDescent="0.25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U805" s="37"/>
      <c r="V805" s="37"/>
      <c r="W805" s="37"/>
      <c r="X805" s="37"/>
      <c r="Y805" s="37"/>
      <c r="Z805" s="37"/>
    </row>
    <row r="806" spans="1:26" ht="15.75" customHeight="1" x14ac:dyDescent="0.25">
      <c r="A806" s="37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U806" s="37"/>
      <c r="V806" s="37"/>
      <c r="W806" s="37"/>
      <c r="X806" s="37"/>
      <c r="Y806" s="37"/>
      <c r="Z806" s="37"/>
    </row>
    <row r="807" spans="1:26" ht="15.75" customHeight="1" x14ac:dyDescent="0.25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U807" s="37"/>
      <c r="V807" s="37"/>
      <c r="W807" s="37"/>
      <c r="X807" s="37"/>
      <c r="Y807" s="37"/>
      <c r="Z807" s="37"/>
    </row>
    <row r="808" spans="1:26" ht="15.75" customHeight="1" x14ac:dyDescent="0.25">
      <c r="A808" s="37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U808" s="37"/>
      <c r="V808" s="37"/>
      <c r="W808" s="37"/>
      <c r="X808" s="37"/>
      <c r="Y808" s="37"/>
      <c r="Z808" s="37"/>
    </row>
    <row r="809" spans="1:26" ht="15.75" customHeight="1" x14ac:dyDescent="0.25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U809" s="37"/>
      <c r="V809" s="37"/>
      <c r="W809" s="37"/>
      <c r="X809" s="37"/>
      <c r="Y809" s="37"/>
      <c r="Z809" s="37"/>
    </row>
    <row r="810" spans="1:26" ht="15.75" customHeight="1" x14ac:dyDescent="0.25">
      <c r="A810" s="37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U810" s="37"/>
      <c r="V810" s="37"/>
      <c r="W810" s="37"/>
      <c r="X810" s="37"/>
      <c r="Y810" s="37"/>
      <c r="Z810" s="37"/>
    </row>
    <row r="811" spans="1:26" ht="15.75" customHeight="1" x14ac:dyDescent="0.25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U811" s="37"/>
      <c r="V811" s="37"/>
      <c r="W811" s="37"/>
      <c r="X811" s="37"/>
      <c r="Y811" s="37"/>
      <c r="Z811" s="37"/>
    </row>
    <row r="812" spans="1:26" ht="15.75" customHeight="1" x14ac:dyDescent="0.25">
      <c r="A812" s="37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U812" s="37"/>
      <c r="V812" s="37"/>
      <c r="W812" s="37"/>
      <c r="X812" s="37"/>
      <c r="Y812" s="37"/>
      <c r="Z812" s="37"/>
    </row>
    <row r="813" spans="1:26" ht="15.75" customHeight="1" x14ac:dyDescent="0.25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U813" s="37"/>
      <c r="V813" s="37"/>
      <c r="W813" s="37"/>
      <c r="X813" s="37"/>
      <c r="Y813" s="37"/>
      <c r="Z813" s="37"/>
    </row>
    <row r="814" spans="1:26" ht="15.75" customHeight="1" x14ac:dyDescent="0.25">
      <c r="A814" s="37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U814" s="37"/>
      <c r="V814" s="37"/>
      <c r="W814" s="37"/>
      <c r="X814" s="37"/>
      <c r="Y814" s="37"/>
      <c r="Z814" s="37"/>
    </row>
    <row r="815" spans="1:26" ht="15.75" customHeight="1" x14ac:dyDescent="0.25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U815" s="37"/>
      <c r="V815" s="37"/>
      <c r="W815" s="37"/>
      <c r="X815" s="37"/>
      <c r="Y815" s="37"/>
      <c r="Z815" s="37"/>
    </row>
    <row r="816" spans="1:26" ht="15.75" customHeight="1" x14ac:dyDescent="0.25">
      <c r="A816" s="37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U816" s="37"/>
      <c r="V816" s="37"/>
      <c r="W816" s="37"/>
      <c r="X816" s="37"/>
      <c r="Y816" s="37"/>
      <c r="Z816" s="37"/>
    </row>
    <row r="817" spans="1:26" ht="15.75" customHeight="1" x14ac:dyDescent="0.25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U817" s="37"/>
      <c r="V817" s="37"/>
      <c r="W817" s="37"/>
      <c r="X817" s="37"/>
      <c r="Y817" s="37"/>
      <c r="Z817" s="37"/>
    </row>
    <row r="818" spans="1:26" ht="15.75" customHeight="1" x14ac:dyDescent="0.25">
      <c r="A818" s="37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U818" s="37"/>
      <c r="V818" s="37"/>
      <c r="W818" s="37"/>
      <c r="X818" s="37"/>
      <c r="Y818" s="37"/>
      <c r="Z818" s="37"/>
    </row>
    <row r="819" spans="1:26" ht="15.75" customHeight="1" x14ac:dyDescent="0.25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U819" s="37"/>
      <c r="V819" s="37"/>
      <c r="W819" s="37"/>
      <c r="X819" s="37"/>
      <c r="Y819" s="37"/>
      <c r="Z819" s="37"/>
    </row>
    <row r="820" spans="1:26" ht="15.75" customHeight="1" x14ac:dyDescent="0.25">
      <c r="A820" s="37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U820" s="37"/>
      <c r="V820" s="37"/>
      <c r="W820" s="37"/>
      <c r="X820" s="37"/>
      <c r="Y820" s="37"/>
      <c r="Z820" s="37"/>
    </row>
    <row r="821" spans="1:26" ht="15.75" customHeight="1" x14ac:dyDescent="0.25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U821" s="37"/>
      <c r="V821" s="37"/>
      <c r="W821" s="37"/>
      <c r="X821" s="37"/>
      <c r="Y821" s="37"/>
      <c r="Z821" s="37"/>
    </row>
    <row r="822" spans="1:26" ht="15.75" customHeight="1" x14ac:dyDescent="0.25">
      <c r="A822" s="37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U822" s="37"/>
      <c r="V822" s="37"/>
      <c r="W822" s="37"/>
      <c r="X822" s="37"/>
      <c r="Y822" s="37"/>
      <c r="Z822" s="37"/>
    </row>
    <row r="823" spans="1:26" ht="15.75" customHeight="1" x14ac:dyDescent="0.25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U823" s="37"/>
      <c r="V823" s="37"/>
      <c r="W823" s="37"/>
      <c r="X823" s="37"/>
      <c r="Y823" s="37"/>
      <c r="Z823" s="37"/>
    </row>
    <row r="824" spans="1:26" ht="15.75" customHeight="1" x14ac:dyDescent="0.25">
      <c r="A824" s="37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U824" s="37"/>
      <c r="V824" s="37"/>
      <c r="W824" s="37"/>
      <c r="X824" s="37"/>
      <c r="Y824" s="37"/>
      <c r="Z824" s="37"/>
    </row>
    <row r="825" spans="1:26" ht="15.75" customHeight="1" x14ac:dyDescent="0.25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U825" s="37"/>
      <c r="V825" s="37"/>
      <c r="W825" s="37"/>
      <c r="X825" s="37"/>
      <c r="Y825" s="37"/>
      <c r="Z825" s="37"/>
    </row>
    <row r="826" spans="1:26" ht="15.75" customHeight="1" x14ac:dyDescent="0.25">
      <c r="A826" s="37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U826" s="37"/>
      <c r="V826" s="37"/>
      <c r="W826" s="37"/>
      <c r="X826" s="37"/>
      <c r="Y826" s="37"/>
      <c r="Z826" s="37"/>
    </row>
    <row r="827" spans="1:26" ht="15.75" customHeight="1" x14ac:dyDescent="0.25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U827" s="37"/>
      <c r="V827" s="37"/>
      <c r="W827" s="37"/>
      <c r="X827" s="37"/>
      <c r="Y827" s="37"/>
      <c r="Z827" s="37"/>
    </row>
    <row r="828" spans="1:26" ht="15.75" customHeight="1" x14ac:dyDescent="0.25">
      <c r="A828" s="37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U828" s="37"/>
      <c r="V828" s="37"/>
      <c r="W828" s="37"/>
      <c r="X828" s="37"/>
      <c r="Y828" s="37"/>
      <c r="Z828" s="37"/>
    </row>
    <row r="829" spans="1:26" ht="15.75" customHeight="1" x14ac:dyDescent="0.25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U829" s="37"/>
      <c r="V829" s="37"/>
      <c r="W829" s="37"/>
      <c r="X829" s="37"/>
      <c r="Y829" s="37"/>
      <c r="Z829" s="37"/>
    </row>
    <row r="830" spans="1:26" ht="15.75" customHeight="1" x14ac:dyDescent="0.25">
      <c r="A830" s="37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U830" s="37"/>
      <c r="V830" s="37"/>
      <c r="W830" s="37"/>
      <c r="X830" s="37"/>
      <c r="Y830" s="37"/>
      <c r="Z830" s="37"/>
    </row>
    <row r="831" spans="1:26" ht="15.75" customHeight="1" x14ac:dyDescent="0.25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U831" s="37"/>
      <c r="V831" s="37"/>
      <c r="W831" s="37"/>
      <c r="X831" s="37"/>
      <c r="Y831" s="37"/>
      <c r="Z831" s="37"/>
    </row>
    <row r="832" spans="1:26" ht="15.75" customHeight="1" x14ac:dyDescent="0.25">
      <c r="A832" s="37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U832" s="37"/>
      <c r="V832" s="37"/>
      <c r="W832" s="37"/>
      <c r="X832" s="37"/>
      <c r="Y832" s="37"/>
      <c r="Z832" s="37"/>
    </row>
    <row r="833" spans="1:26" ht="15.75" customHeight="1" x14ac:dyDescent="0.25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U833" s="37"/>
      <c r="V833" s="37"/>
      <c r="W833" s="37"/>
      <c r="X833" s="37"/>
      <c r="Y833" s="37"/>
      <c r="Z833" s="37"/>
    </row>
    <row r="834" spans="1:26" ht="15.75" customHeight="1" x14ac:dyDescent="0.25">
      <c r="A834" s="37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U834" s="37"/>
      <c r="V834" s="37"/>
      <c r="W834" s="37"/>
      <c r="X834" s="37"/>
      <c r="Y834" s="37"/>
      <c r="Z834" s="37"/>
    </row>
    <row r="835" spans="1:26" ht="15.75" customHeight="1" x14ac:dyDescent="0.25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U835" s="37"/>
      <c r="V835" s="37"/>
      <c r="W835" s="37"/>
      <c r="X835" s="37"/>
      <c r="Y835" s="37"/>
      <c r="Z835" s="37"/>
    </row>
    <row r="836" spans="1:26" ht="15.75" customHeight="1" x14ac:dyDescent="0.25">
      <c r="A836" s="37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U836" s="37"/>
      <c r="V836" s="37"/>
      <c r="W836" s="37"/>
      <c r="X836" s="37"/>
      <c r="Y836" s="37"/>
      <c r="Z836" s="37"/>
    </row>
    <row r="837" spans="1:26" ht="15.75" customHeight="1" x14ac:dyDescent="0.25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U837" s="37"/>
      <c r="V837" s="37"/>
      <c r="W837" s="37"/>
      <c r="X837" s="37"/>
      <c r="Y837" s="37"/>
      <c r="Z837" s="37"/>
    </row>
    <row r="838" spans="1:26" ht="15.75" customHeight="1" x14ac:dyDescent="0.25">
      <c r="A838" s="37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U838" s="37"/>
      <c r="V838" s="37"/>
      <c r="W838" s="37"/>
      <c r="X838" s="37"/>
      <c r="Y838" s="37"/>
      <c r="Z838" s="37"/>
    </row>
    <row r="839" spans="1:26" ht="15.75" customHeight="1" x14ac:dyDescent="0.25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U839" s="37"/>
      <c r="V839" s="37"/>
      <c r="W839" s="37"/>
      <c r="X839" s="37"/>
      <c r="Y839" s="37"/>
      <c r="Z839" s="37"/>
    </row>
    <row r="840" spans="1:26" ht="15.75" customHeight="1" x14ac:dyDescent="0.25">
      <c r="A840" s="37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U840" s="37"/>
      <c r="V840" s="37"/>
      <c r="W840" s="37"/>
      <c r="X840" s="37"/>
      <c r="Y840" s="37"/>
      <c r="Z840" s="37"/>
    </row>
    <row r="841" spans="1:26" ht="15.75" customHeight="1" x14ac:dyDescent="0.25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U841" s="37"/>
      <c r="V841" s="37"/>
      <c r="W841" s="37"/>
      <c r="X841" s="37"/>
      <c r="Y841" s="37"/>
      <c r="Z841" s="37"/>
    </row>
    <row r="842" spans="1:26" ht="15.75" customHeight="1" x14ac:dyDescent="0.25">
      <c r="A842" s="37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U842" s="37"/>
      <c r="V842" s="37"/>
      <c r="W842" s="37"/>
      <c r="X842" s="37"/>
      <c r="Y842" s="37"/>
      <c r="Z842" s="37"/>
    </row>
    <row r="843" spans="1:26" ht="15.75" customHeight="1" x14ac:dyDescent="0.25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U843" s="37"/>
      <c r="V843" s="37"/>
      <c r="W843" s="37"/>
      <c r="X843" s="37"/>
      <c r="Y843" s="37"/>
      <c r="Z843" s="37"/>
    </row>
    <row r="844" spans="1:26" ht="15.75" customHeight="1" x14ac:dyDescent="0.25">
      <c r="A844" s="37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U844" s="37"/>
      <c r="V844" s="37"/>
      <c r="W844" s="37"/>
      <c r="X844" s="37"/>
      <c r="Y844" s="37"/>
      <c r="Z844" s="37"/>
    </row>
    <row r="845" spans="1:26" ht="15.75" customHeight="1" x14ac:dyDescent="0.25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U845" s="37"/>
      <c r="V845" s="37"/>
      <c r="W845" s="37"/>
      <c r="X845" s="37"/>
      <c r="Y845" s="37"/>
      <c r="Z845" s="37"/>
    </row>
    <row r="846" spans="1:26" ht="15.75" customHeight="1" x14ac:dyDescent="0.25">
      <c r="A846" s="37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U846" s="37"/>
      <c r="V846" s="37"/>
      <c r="W846" s="37"/>
      <c r="X846" s="37"/>
      <c r="Y846" s="37"/>
      <c r="Z846" s="37"/>
    </row>
    <row r="847" spans="1:26" ht="15.75" customHeight="1" x14ac:dyDescent="0.25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U847" s="37"/>
      <c r="V847" s="37"/>
      <c r="W847" s="37"/>
      <c r="X847" s="37"/>
      <c r="Y847" s="37"/>
      <c r="Z847" s="37"/>
    </row>
    <row r="848" spans="1:26" ht="15.75" customHeight="1" x14ac:dyDescent="0.25">
      <c r="A848" s="37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U848" s="37"/>
      <c r="V848" s="37"/>
      <c r="W848" s="37"/>
      <c r="X848" s="37"/>
      <c r="Y848" s="37"/>
      <c r="Z848" s="37"/>
    </row>
    <row r="849" spans="1:26" ht="15.75" customHeight="1" x14ac:dyDescent="0.25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U849" s="37"/>
      <c r="V849" s="37"/>
      <c r="W849" s="37"/>
      <c r="X849" s="37"/>
      <c r="Y849" s="37"/>
      <c r="Z849" s="37"/>
    </row>
    <row r="850" spans="1:26" ht="15.75" customHeight="1" x14ac:dyDescent="0.25">
      <c r="A850" s="37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U850" s="37"/>
      <c r="V850" s="37"/>
      <c r="W850" s="37"/>
      <c r="X850" s="37"/>
      <c r="Y850" s="37"/>
      <c r="Z850" s="37"/>
    </row>
    <row r="851" spans="1:26" ht="15.75" customHeight="1" x14ac:dyDescent="0.25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U851" s="37"/>
      <c r="V851" s="37"/>
      <c r="W851" s="37"/>
      <c r="X851" s="37"/>
      <c r="Y851" s="37"/>
      <c r="Z851" s="37"/>
    </row>
    <row r="852" spans="1:26" ht="15.75" customHeight="1" x14ac:dyDescent="0.25">
      <c r="A852" s="37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U852" s="37"/>
      <c r="V852" s="37"/>
      <c r="W852" s="37"/>
      <c r="X852" s="37"/>
      <c r="Y852" s="37"/>
      <c r="Z852" s="37"/>
    </row>
    <row r="853" spans="1:26" ht="15.75" customHeight="1" x14ac:dyDescent="0.25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U853" s="37"/>
      <c r="V853" s="37"/>
      <c r="W853" s="37"/>
      <c r="X853" s="37"/>
      <c r="Y853" s="37"/>
      <c r="Z853" s="37"/>
    </row>
    <row r="854" spans="1:26" ht="15.75" customHeight="1" x14ac:dyDescent="0.25">
      <c r="A854" s="37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U854" s="37"/>
      <c r="V854" s="37"/>
      <c r="W854" s="37"/>
      <c r="X854" s="37"/>
      <c r="Y854" s="37"/>
      <c r="Z854" s="37"/>
    </row>
    <row r="855" spans="1:26" ht="15.75" customHeight="1" x14ac:dyDescent="0.25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U855" s="37"/>
      <c r="V855" s="37"/>
      <c r="W855" s="37"/>
      <c r="X855" s="37"/>
      <c r="Y855" s="37"/>
      <c r="Z855" s="37"/>
    </row>
    <row r="856" spans="1:26" ht="15.75" customHeight="1" x14ac:dyDescent="0.25">
      <c r="A856" s="37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U856" s="37"/>
      <c r="V856" s="37"/>
      <c r="W856" s="37"/>
      <c r="X856" s="37"/>
      <c r="Y856" s="37"/>
      <c r="Z856" s="37"/>
    </row>
    <row r="857" spans="1:26" ht="15.75" customHeight="1" x14ac:dyDescent="0.25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U857" s="37"/>
      <c r="V857" s="37"/>
      <c r="W857" s="37"/>
      <c r="X857" s="37"/>
      <c r="Y857" s="37"/>
      <c r="Z857" s="37"/>
    </row>
    <row r="858" spans="1:26" ht="15.75" customHeight="1" x14ac:dyDescent="0.25">
      <c r="A858" s="37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U858" s="37"/>
      <c r="V858" s="37"/>
      <c r="W858" s="37"/>
      <c r="X858" s="37"/>
      <c r="Y858" s="37"/>
      <c r="Z858" s="37"/>
    </row>
    <row r="859" spans="1:26" ht="15.75" customHeight="1" x14ac:dyDescent="0.25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U859" s="37"/>
      <c r="V859" s="37"/>
      <c r="W859" s="37"/>
      <c r="X859" s="37"/>
      <c r="Y859" s="37"/>
      <c r="Z859" s="37"/>
    </row>
    <row r="860" spans="1:26" ht="15.75" customHeight="1" x14ac:dyDescent="0.25">
      <c r="A860" s="37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U860" s="37"/>
      <c r="V860" s="37"/>
      <c r="W860" s="37"/>
      <c r="X860" s="37"/>
      <c r="Y860" s="37"/>
      <c r="Z860" s="37"/>
    </row>
    <row r="861" spans="1:26" ht="15.75" customHeight="1" x14ac:dyDescent="0.25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U861" s="37"/>
      <c r="V861" s="37"/>
      <c r="W861" s="37"/>
      <c r="X861" s="37"/>
      <c r="Y861" s="37"/>
      <c r="Z861" s="37"/>
    </row>
    <row r="862" spans="1:26" ht="15.75" customHeight="1" x14ac:dyDescent="0.25">
      <c r="A862" s="37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U862" s="37"/>
      <c r="V862" s="37"/>
      <c r="W862" s="37"/>
      <c r="X862" s="37"/>
      <c r="Y862" s="37"/>
      <c r="Z862" s="37"/>
    </row>
    <row r="863" spans="1:26" ht="15.75" customHeight="1" x14ac:dyDescent="0.25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U863" s="37"/>
      <c r="V863" s="37"/>
      <c r="W863" s="37"/>
      <c r="X863" s="37"/>
      <c r="Y863" s="37"/>
      <c r="Z863" s="37"/>
    </row>
    <row r="864" spans="1:26" ht="15.75" customHeight="1" x14ac:dyDescent="0.25">
      <c r="A864" s="37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U864" s="37"/>
      <c r="V864" s="37"/>
      <c r="W864" s="37"/>
      <c r="X864" s="37"/>
      <c r="Y864" s="37"/>
      <c r="Z864" s="37"/>
    </row>
    <row r="865" spans="1:26" ht="15.75" customHeight="1" x14ac:dyDescent="0.25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U865" s="37"/>
      <c r="V865" s="37"/>
      <c r="W865" s="37"/>
      <c r="X865" s="37"/>
      <c r="Y865" s="37"/>
      <c r="Z865" s="37"/>
    </row>
    <row r="866" spans="1:26" ht="15.75" customHeight="1" x14ac:dyDescent="0.25">
      <c r="A866" s="37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U866" s="37"/>
      <c r="V866" s="37"/>
      <c r="W866" s="37"/>
      <c r="X866" s="37"/>
      <c r="Y866" s="37"/>
      <c r="Z866" s="37"/>
    </row>
    <row r="867" spans="1:26" ht="15.75" customHeight="1" x14ac:dyDescent="0.25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U867" s="37"/>
      <c r="V867" s="37"/>
      <c r="W867" s="37"/>
      <c r="X867" s="37"/>
      <c r="Y867" s="37"/>
      <c r="Z867" s="37"/>
    </row>
    <row r="868" spans="1:26" ht="15.75" customHeight="1" x14ac:dyDescent="0.25">
      <c r="A868" s="37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U868" s="37"/>
      <c r="V868" s="37"/>
      <c r="W868" s="37"/>
      <c r="X868" s="37"/>
      <c r="Y868" s="37"/>
      <c r="Z868" s="37"/>
    </row>
    <row r="869" spans="1:26" ht="15.75" customHeight="1" x14ac:dyDescent="0.25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U869" s="37"/>
      <c r="V869" s="37"/>
      <c r="W869" s="37"/>
      <c r="X869" s="37"/>
      <c r="Y869" s="37"/>
      <c r="Z869" s="37"/>
    </row>
    <row r="870" spans="1:26" ht="15.75" customHeight="1" x14ac:dyDescent="0.25">
      <c r="A870" s="37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U870" s="37"/>
      <c r="V870" s="37"/>
      <c r="W870" s="37"/>
      <c r="X870" s="37"/>
      <c r="Y870" s="37"/>
      <c r="Z870" s="37"/>
    </row>
    <row r="871" spans="1:26" ht="15.75" customHeight="1" x14ac:dyDescent="0.25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U871" s="37"/>
      <c r="V871" s="37"/>
      <c r="W871" s="37"/>
      <c r="X871" s="37"/>
      <c r="Y871" s="37"/>
      <c r="Z871" s="37"/>
    </row>
    <row r="872" spans="1:26" ht="15.75" customHeight="1" x14ac:dyDescent="0.25">
      <c r="A872" s="37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U872" s="37"/>
      <c r="V872" s="37"/>
      <c r="W872" s="37"/>
      <c r="X872" s="37"/>
      <c r="Y872" s="37"/>
      <c r="Z872" s="37"/>
    </row>
    <row r="873" spans="1:26" ht="15.75" customHeight="1" x14ac:dyDescent="0.25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U873" s="37"/>
      <c r="V873" s="37"/>
      <c r="W873" s="37"/>
      <c r="X873" s="37"/>
      <c r="Y873" s="37"/>
      <c r="Z873" s="37"/>
    </row>
    <row r="874" spans="1:26" ht="15.75" customHeight="1" x14ac:dyDescent="0.25">
      <c r="A874" s="37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U874" s="37"/>
      <c r="V874" s="37"/>
      <c r="W874" s="37"/>
      <c r="X874" s="37"/>
      <c r="Y874" s="37"/>
      <c r="Z874" s="37"/>
    </row>
    <row r="875" spans="1:26" ht="15.75" customHeight="1" x14ac:dyDescent="0.25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U875" s="37"/>
      <c r="V875" s="37"/>
      <c r="W875" s="37"/>
      <c r="X875" s="37"/>
      <c r="Y875" s="37"/>
      <c r="Z875" s="37"/>
    </row>
    <row r="876" spans="1:26" ht="15.75" customHeight="1" x14ac:dyDescent="0.25">
      <c r="A876" s="37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U876" s="37"/>
      <c r="V876" s="37"/>
      <c r="W876" s="37"/>
      <c r="X876" s="37"/>
      <c r="Y876" s="37"/>
      <c r="Z876" s="37"/>
    </row>
    <row r="877" spans="1:26" ht="15.75" customHeight="1" x14ac:dyDescent="0.25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U877" s="37"/>
      <c r="V877" s="37"/>
      <c r="W877" s="37"/>
      <c r="X877" s="37"/>
      <c r="Y877" s="37"/>
      <c r="Z877" s="37"/>
    </row>
    <row r="878" spans="1:26" ht="15.75" customHeight="1" x14ac:dyDescent="0.25">
      <c r="A878" s="37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U878" s="37"/>
      <c r="V878" s="37"/>
      <c r="W878" s="37"/>
      <c r="X878" s="37"/>
      <c r="Y878" s="37"/>
      <c r="Z878" s="37"/>
    </row>
    <row r="879" spans="1:26" ht="15.75" customHeight="1" x14ac:dyDescent="0.25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U879" s="37"/>
      <c r="V879" s="37"/>
      <c r="W879" s="37"/>
      <c r="X879" s="37"/>
      <c r="Y879" s="37"/>
      <c r="Z879" s="37"/>
    </row>
    <row r="880" spans="1:26" ht="15.75" customHeight="1" x14ac:dyDescent="0.25">
      <c r="A880" s="37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U880" s="37"/>
      <c r="V880" s="37"/>
      <c r="W880" s="37"/>
      <c r="X880" s="37"/>
      <c r="Y880" s="37"/>
      <c r="Z880" s="37"/>
    </row>
    <row r="881" spans="1:26" ht="15.75" customHeight="1" x14ac:dyDescent="0.25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U881" s="37"/>
      <c r="V881" s="37"/>
      <c r="W881" s="37"/>
      <c r="X881" s="37"/>
      <c r="Y881" s="37"/>
      <c r="Z881" s="37"/>
    </row>
    <row r="882" spans="1:26" ht="15.75" customHeight="1" x14ac:dyDescent="0.25">
      <c r="A882" s="37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U882" s="37"/>
      <c r="V882" s="37"/>
      <c r="W882" s="37"/>
      <c r="X882" s="37"/>
      <c r="Y882" s="37"/>
      <c r="Z882" s="37"/>
    </row>
    <row r="883" spans="1:26" ht="15.75" customHeight="1" x14ac:dyDescent="0.25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U883" s="37"/>
      <c r="V883" s="37"/>
      <c r="W883" s="37"/>
      <c r="X883" s="37"/>
      <c r="Y883" s="37"/>
      <c r="Z883" s="37"/>
    </row>
    <row r="884" spans="1:26" ht="15.75" customHeight="1" x14ac:dyDescent="0.25">
      <c r="A884" s="37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U884" s="37"/>
      <c r="V884" s="37"/>
      <c r="W884" s="37"/>
      <c r="X884" s="37"/>
      <c r="Y884" s="37"/>
      <c r="Z884" s="37"/>
    </row>
    <row r="885" spans="1:26" ht="15.75" customHeight="1" x14ac:dyDescent="0.25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U885" s="37"/>
      <c r="V885" s="37"/>
      <c r="W885" s="37"/>
      <c r="X885" s="37"/>
      <c r="Y885" s="37"/>
      <c r="Z885" s="37"/>
    </row>
    <row r="886" spans="1:26" ht="15.75" customHeight="1" x14ac:dyDescent="0.25">
      <c r="A886" s="37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U886" s="37"/>
      <c r="V886" s="37"/>
      <c r="W886" s="37"/>
      <c r="X886" s="37"/>
      <c r="Y886" s="37"/>
      <c r="Z886" s="37"/>
    </row>
    <row r="887" spans="1:26" ht="15.75" customHeight="1" x14ac:dyDescent="0.25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U887" s="37"/>
      <c r="V887" s="37"/>
      <c r="W887" s="37"/>
      <c r="X887" s="37"/>
      <c r="Y887" s="37"/>
      <c r="Z887" s="37"/>
    </row>
    <row r="888" spans="1:26" ht="15.75" customHeight="1" x14ac:dyDescent="0.25">
      <c r="A888" s="37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U888" s="37"/>
      <c r="V888" s="37"/>
      <c r="W888" s="37"/>
      <c r="X888" s="37"/>
      <c r="Y888" s="37"/>
      <c r="Z888" s="37"/>
    </row>
    <row r="889" spans="1:26" ht="15.75" customHeight="1" x14ac:dyDescent="0.25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U889" s="37"/>
      <c r="V889" s="37"/>
      <c r="W889" s="37"/>
      <c r="X889" s="37"/>
      <c r="Y889" s="37"/>
      <c r="Z889" s="37"/>
    </row>
    <row r="890" spans="1:26" ht="15.75" customHeight="1" x14ac:dyDescent="0.25">
      <c r="A890" s="37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U890" s="37"/>
      <c r="V890" s="37"/>
      <c r="W890" s="37"/>
      <c r="X890" s="37"/>
      <c r="Y890" s="37"/>
      <c r="Z890" s="37"/>
    </row>
    <row r="891" spans="1:26" ht="15.75" customHeight="1" x14ac:dyDescent="0.25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U891" s="37"/>
      <c r="V891" s="37"/>
      <c r="W891" s="37"/>
      <c r="X891" s="37"/>
      <c r="Y891" s="37"/>
      <c r="Z891" s="37"/>
    </row>
    <row r="892" spans="1:26" ht="15.75" customHeight="1" x14ac:dyDescent="0.25">
      <c r="A892" s="37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U892" s="37"/>
      <c r="V892" s="37"/>
      <c r="W892" s="37"/>
      <c r="X892" s="37"/>
      <c r="Y892" s="37"/>
      <c r="Z892" s="37"/>
    </row>
    <row r="893" spans="1:26" ht="15.75" customHeight="1" x14ac:dyDescent="0.25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U893" s="37"/>
      <c r="V893" s="37"/>
      <c r="W893" s="37"/>
      <c r="X893" s="37"/>
      <c r="Y893" s="37"/>
      <c r="Z893" s="37"/>
    </row>
    <row r="894" spans="1:26" ht="15.75" customHeight="1" x14ac:dyDescent="0.25">
      <c r="A894" s="37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U894" s="37"/>
      <c r="V894" s="37"/>
      <c r="W894" s="37"/>
      <c r="X894" s="37"/>
      <c r="Y894" s="37"/>
      <c r="Z894" s="37"/>
    </row>
    <row r="895" spans="1:26" ht="15.75" customHeight="1" x14ac:dyDescent="0.25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U895" s="37"/>
      <c r="V895" s="37"/>
      <c r="W895" s="37"/>
      <c r="X895" s="37"/>
      <c r="Y895" s="37"/>
      <c r="Z895" s="37"/>
    </row>
    <row r="896" spans="1:26" ht="15.75" customHeight="1" x14ac:dyDescent="0.25">
      <c r="A896" s="37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U896" s="37"/>
      <c r="V896" s="37"/>
      <c r="W896" s="37"/>
      <c r="X896" s="37"/>
      <c r="Y896" s="37"/>
      <c r="Z896" s="37"/>
    </row>
    <row r="897" spans="1:26" ht="15.75" customHeight="1" x14ac:dyDescent="0.25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U897" s="37"/>
      <c r="V897" s="37"/>
      <c r="W897" s="37"/>
      <c r="X897" s="37"/>
      <c r="Y897" s="37"/>
      <c r="Z897" s="37"/>
    </row>
    <row r="898" spans="1:26" ht="15.75" customHeight="1" x14ac:dyDescent="0.25">
      <c r="A898" s="37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U898" s="37"/>
      <c r="V898" s="37"/>
      <c r="W898" s="37"/>
      <c r="X898" s="37"/>
      <c r="Y898" s="37"/>
      <c r="Z898" s="37"/>
    </row>
    <row r="899" spans="1:26" ht="15.75" customHeight="1" x14ac:dyDescent="0.25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U899" s="37"/>
      <c r="V899" s="37"/>
      <c r="W899" s="37"/>
      <c r="X899" s="37"/>
      <c r="Y899" s="37"/>
      <c r="Z899" s="37"/>
    </row>
    <row r="900" spans="1:26" ht="15.75" customHeight="1" x14ac:dyDescent="0.25">
      <c r="A900" s="37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U900" s="37"/>
      <c r="V900" s="37"/>
      <c r="W900" s="37"/>
      <c r="X900" s="37"/>
      <c r="Y900" s="37"/>
      <c r="Z900" s="37"/>
    </row>
    <row r="901" spans="1:26" ht="15.75" customHeight="1" x14ac:dyDescent="0.25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U901" s="37"/>
      <c r="V901" s="37"/>
      <c r="W901" s="37"/>
      <c r="X901" s="37"/>
      <c r="Y901" s="37"/>
      <c r="Z901" s="37"/>
    </row>
    <row r="902" spans="1:26" ht="15.75" customHeight="1" x14ac:dyDescent="0.25">
      <c r="A902" s="37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U902" s="37"/>
      <c r="V902" s="37"/>
      <c r="W902" s="37"/>
      <c r="X902" s="37"/>
      <c r="Y902" s="37"/>
      <c r="Z902" s="37"/>
    </row>
    <row r="903" spans="1:26" ht="15.75" customHeight="1" x14ac:dyDescent="0.25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U903" s="37"/>
      <c r="V903" s="37"/>
      <c r="W903" s="37"/>
      <c r="X903" s="37"/>
      <c r="Y903" s="37"/>
      <c r="Z903" s="37"/>
    </row>
    <row r="904" spans="1:26" ht="15.75" customHeight="1" x14ac:dyDescent="0.25">
      <c r="A904" s="37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U904" s="37"/>
      <c r="V904" s="37"/>
      <c r="W904" s="37"/>
      <c r="X904" s="37"/>
      <c r="Y904" s="37"/>
      <c r="Z904" s="37"/>
    </row>
    <row r="905" spans="1:26" ht="15.75" customHeight="1" x14ac:dyDescent="0.25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U905" s="37"/>
      <c r="V905" s="37"/>
      <c r="W905" s="37"/>
      <c r="X905" s="37"/>
      <c r="Y905" s="37"/>
      <c r="Z905" s="37"/>
    </row>
    <row r="906" spans="1:26" ht="15.75" customHeight="1" x14ac:dyDescent="0.25">
      <c r="A906" s="37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U906" s="37"/>
      <c r="V906" s="37"/>
      <c r="W906" s="37"/>
      <c r="X906" s="37"/>
      <c r="Y906" s="37"/>
      <c r="Z906" s="37"/>
    </row>
    <row r="907" spans="1:26" ht="15.75" customHeight="1" x14ac:dyDescent="0.25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U907" s="37"/>
      <c r="V907" s="37"/>
      <c r="W907" s="37"/>
      <c r="X907" s="37"/>
      <c r="Y907" s="37"/>
      <c r="Z907" s="37"/>
    </row>
    <row r="908" spans="1:26" ht="15.75" customHeight="1" x14ac:dyDescent="0.25">
      <c r="A908" s="37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U908" s="37"/>
      <c r="V908" s="37"/>
      <c r="W908" s="37"/>
      <c r="X908" s="37"/>
      <c r="Y908" s="37"/>
      <c r="Z908" s="37"/>
    </row>
    <row r="909" spans="1:26" ht="15.75" customHeight="1" x14ac:dyDescent="0.25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U909" s="37"/>
      <c r="V909" s="37"/>
      <c r="W909" s="37"/>
      <c r="X909" s="37"/>
      <c r="Y909" s="37"/>
      <c r="Z909" s="37"/>
    </row>
    <row r="910" spans="1:26" ht="15.75" customHeight="1" x14ac:dyDescent="0.25">
      <c r="A910" s="37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U910" s="37"/>
      <c r="V910" s="37"/>
      <c r="W910" s="37"/>
      <c r="X910" s="37"/>
      <c r="Y910" s="37"/>
      <c r="Z910" s="37"/>
    </row>
    <row r="911" spans="1:26" ht="15.75" customHeight="1" x14ac:dyDescent="0.25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U911" s="37"/>
      <c r="V911" s="37"/>
      <c r="W911" s="37"/>
      <c r="X911" s="37"/>
      <c r="Y911" s="37"/>
      <c r="Z911" s="37"/>
    </row>
    <row r="912" spans="1:26" ht="15.75" customHeight="1" x14ac:dyDescent="0.25">
      <c r="A912" s="37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U912" s="37"/>
      <c r="V912" s="37"/>
      <c r="W912" s="37"/>
      <c r="X912" s="37"/>
      <c r="Y912" s="37"/>
      <c r="Z912" s="37"/>
    </row>
    <row r="913" spans="1:26" ht="15.75" customHeight="1" x14ac:dyDescent="0.25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U913" s="37"/>
      <c r="V913" s="37"/>
      <c r="W913" s="37"/>
      <c r="X913" s="37"/>
      <c r="Y913" s="37"/>
      <c r="Z913" s="37"/>
    </row>
    <row r="914" spans="1:26" ht="15.75" customHeight="1" x14ac:dyDescent="0.25">
      <c r="A914" s="37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U914" s="37"/>
      <c r="V914" s="37"/>
      <c r="W914" s="37"/>
      <c r="X914" s="37"/>
      <c r="Y914" s="37"/>
      <c r="Z914" s="37"/>
    </row>
    <row r="915" spans="1:26" ht="15.75" customHeight="1" x14ac:dyDescent="0.25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U915" s="37"/>
      <c r="V915" s="37"/>
      <c r="W915" s="37"/>
      <c r="X915" s="37"/>
      <c r="Y915" s="37"/>
      <c r="Z915" s="37"/>
    </row>
    <row r="916" spans="1:26" ht="15.75" customHeight="1" x14ac:dyDescent="0.25">
      <c r="A916" s="37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U916" s="37"/>
      <c r="V916" s="37"/>
      <c r="W916" s="37"/>
      <c r="X916" s="37"/>
      <c r="Y916" s="37"/>
      <c r="Z916" s="37"/>
    </row>
    <row r="917" spans="1:26" ht="15.75" customHeight="1" x14ac:dyDescent="0.25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U917" s="37"/>
      <c r="V917" s="37"/>
      <c r="W917" s="37"/>
      <c r="X917" s="37"/>
      <c r="Y917" s="37"/>
      <c r="Z917" s="37"/>
    </row>
    <row r="918" spans="1:26" ht="15.75" customHeight="1" x14ac:dyDescent="0.25">
      <c r="A918" s="37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U918" s="37"/>
      <c r="V918" s="37"/>
      <c r="W918" s="37"/>
      <c r="X918" s="37"/>
      <c r="Y918" s="37"/>
      <c r="Z918" s="37"/>
    </row>
    <row r="919" spans="1:26" ht="15.75" customHeight="1" x14ac:dyDescent="0.25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U919" s="37"/>
      <c r="V919" s="37"/>
      <c r="W919" s="37"/>
      <c r="X919" s="37"/>
      <c r="Y919" s="37"/>
      <c r="Z919" s="37"/>
    </row>
    <row r="920" spans="1:26" ht="15.75" customHeight="1" x14ac:dyDescent="0.25">
      <c r="A920" s="37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U920" s="37"/>
      <c r="V920" s="37"/>
      <c r="W920" s="37"/>
      <c r="X920" s="37"/>
      <c r="Y920" s="37"/>
      <c r="Z920" s="37"/>
    </row>
    <row r="921" spans="1:26" ht="15.75" customHeight="1" x14ac:dyDescent="0.25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U921" s="37"/>
      <c r="V921" s="37"/>
      <c r="W921" s="37"/>
      <c r="X921" s="37"/>
      <c r="Y921" s="37"/>
      <c r="Z921" s="37"/>
    </row>
    <row r="922" spans="1:26" ht="15.75" customHeight="1" x14ac:dyDescent="0.25">
      <c r="A922" s="37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U922" s="37"/>
      <c r="V922" s="37"/>
      <c r="W922" s="37"/>
      <c r="X922" s="37"/>
      <c r="Y922" s="37"/>
      <c r="Z922" s="37"/>
    </row>
    <row r="923" spans="1:26" ht="15.75" customHeight="1" x14ac:dyDescent="0.25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U923" s="37"/>
      <c r="V923" s="37"/>
      <c r="W923" s="37"/>
      <c r="X923" s="37"/>
      <c r="Y923" s="37"/>
      <c r="Z923" s="37"/>
    </row>
    <row r="924" spans="1:26" ht="15.75" customHeight="1" x14ac:dyDescent="0.25">
      <c r="A924" s="37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U924" s="37"/>
      <c r="V924" s="37"/>
      <c r="W924" s="37"/>
      <c r="X924" s="37"/>
      <c r="Y924" s="37"/>
      <c r="Z924" s="37"/>
    </row>
    <row r="925" spans="1:26" ht="15.75" customHeight="1" x14ac:dyDescent="0.25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U925" s="37"/>
      <c r="V925" s="37"/>
      <c r="W925" s="37"/>
      <c r="X925" s="37"/>
      <c r="Y925" s="37"/>
      <c r="Z925" s="37"/>
    </row>
    <row r="926" spans="1:26" ht="15.75" customHeight="1" x14ac:dyDescent="0.25">
      <c r="A926" s="37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U926" s="37"/>
      <c r="V926" s="37"/>
      <c r="W926" s="37"/>
      <c r="X926" s="37"/>
      <c r="Y926" s="37"/>
      <c r="Z926" s="37"/>
    </row>
    <row r="927" spans="1:26" ht="15.75" customHeight="1" x14ac:dyDescent="0.25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U927" s="37"/>
      <c r="V927" s="37"/>
      <c r="W927" s="37"/>
      <c r="X927" s="37"/>
      <c r="Y927" s="37"/>
      <c r="Z927" s="37"/>
    </row>
    <row r="928" spans="1:26" ht="15.75" customHeight="1" x14ac:dyDescent="0.25">
      <c r="A928" s="37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U928" s="37"/>
      <c r="V928" s="37"/>
      <c r="W928" s="37"/>
      <c r="X928" s="37"/>
      <c r="Y928" s="37"/>
      <c r="Z928" s="37"/>
    </row>
    <row r="929" spans="1:26" ht="15.75" customHeight="1" x14ac:dyDescent="0.25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U929" s="37"/>
      <c r="V929" s="37"/>
      <c r="W929" s="37"/>
      <c r="X929" s="37"/>
      <c r="Y929" s="37"/>
      <c r="Z929" s="37"/>
    </row>
    <row r="930" spans="1:26" ht="15.75" customHeight="1" x14ac:dyDescent="0.25">
      <c r="A930" s="37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U930" s="37"/>
      <c r="V930" s="37"/>
      <c r="W930" s="37"/>
      <c r="X930" s="37"/>
      <c r="Y930" s="37"/>
      <c r="Z930" s="37"/>
    </row>
    <row r="931" spans="1:26" ht="15.75" customHeight="1" x14ac:dyDescent="0.25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U931" s="37"/>
      <c r="V931" s="37"/>
      <c r="W931" s="37"/>
      <c r="X931" s="37"/>
      <c r="Y931" s="37"/>
      <c r="Z931" s="37"/>
    </row>
    <row r="932" spans="1:26" ht="15.75" customHeight="1" x14ac:dyDescent="0.25">
      <c r="A932" s="37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U932" s="37"/>
      <c r="V932" s="37"/>
      <c r="W932" s="37"/>
      <c r="X932" s="37"/>
      <c r="Y932" s="37"/>
      <c r="Z932" s="37"/>
    </row>
    <row r="933" spans="1:26" ht="15.75" customHeight="1" x14ac:dyDescent="0.25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U933" s="37"/>
      <c r="V933" s="37"/>
      <c r="W933" s="37"/>
      <c r="X933" s="37"/>
      <c r="Y933" s="37"/>
      <c r="Z933" s="37"/>
    </row>
    <row r="934" spans="1:26" ht="15.75" customHeight="1" x14ac:dyDescent="0.25">
      <c r="A934" s="37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U934" s="37"/>
      <c r="V934" s="37"/>
      <c r="W934" s="37"/>
      <c r="X934" s="37"/>
      <c r="Y934" s="37"/>
      <c r="Z934" s="37"/>
    </row>
    <row r="935" spans="1:26" ht="15.75" customHeight="1" x14ac:dyDescent="0.25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U935" s="37"/>
      <c r="V935" s="37"/>
      <c r="W935" s="37"/>
      <c r="X935" s="37"/>
      <c r="Y935" s="37"/>
      <c r="Z935" s="37"/>
    </row>
    <row r="936" spans="1:26" ht="15.75" customHeight="1" x14ac:dyDescent="0.25">
      <c r="A936" s="37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U936" s="37"/>
      <c r="V936" s="37"/>
      <c r="W936" s="37"/>
      <c r="X936" s="37"/>
      <c r="Y936" s="37"/>
      <c r="Z936" s="37"/>
    </row>
    <row r="937" spans="1:26" ht="15.75" customHeight="1" x14ac:dyDescent="0.25">
      <c r="A937" s="37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U937" s="37"/>
      <c r="V937" s="37"/>
      <c r="W937" s="37"/>
      <c r="X937" s="37"/>
      <c r="Y937" s="37"/>
      <c r="Z937" s="37"/>
    </row>
    <row r="938" spans="1:26" ht="15.75" customHeight="1" x14ac:dyDescent="0.25">
      <c r="A938" s="37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U938" s="37"/>
      <c r="V938" s="37"/>
      <c r="W938" s="37"/>
      <c r="X938" s="37"/>
      <c r="Y938" s="37"/>
      <c r="Z938" s="37"/>
    </row>
    <row r="939" spans="1:26" ht="15.75" customHeight="1" x14ac:dyDescent="0.25">
      <c r="A939" s="37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U939" s="37"/>
      <c r="V939" s="37"/>
      <c r="W939" s="37"/>
      <c r="X939" s="37"/>
      <c r="Y939" s="37"/>
      <c r="Z939" s="37"/>
    </row>
    <row r="940" spans="1:26" ht="15.75" customHeight="1" x14ac:dyDescent="0.25">
      <c r="A940" s="37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U940" s="37"/>
      <c r="V940" s="37"/>
      <c r="W940" s="37"/>
      <c r="X940" s="37"/>
      <c r="Y940" s="37"/>
      <c r="Z940" s="37"/>
    </row>
    <row r="941" spans="1:26" ht="15.75" customHeight="1" x14ac:dyDescent="0.25">
      <c r="A941" s="37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U941" s="37"/>
      <c r="V941" s="37"/>
      <c r="W941" s="37"/>
      <c r="X941" s="37"/>
      <c r="Y941" s="37"/>
      <c r="Z941" s="37"/>
    </row>
    <row r="942" spans="1:26" ht="15.75" customHeight="1" x14ac:dyDescent="0.25">
      <c r="A942" s="37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U942" s="37"/>
      <c r="V942" s="37"/>
      <c r="W942" s="37"/>
      <c r="X942" s="37"/>
      <c r="Y942" s="37"/>
      <c r="Z942" s="37"/>
    </row>
    <row r="943" spans="1:26" ht="15.75" customHeight="1" x14ac:dyDescent="0.25">
      <c r="A943" s="37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U943" s="37"/>
      <c r="V943" s="37"/>
      <c r="W943" s="37"/>
      <c r="X943" s="37"/>
      <c r="Y943" s="37"/>
      <c r="Z943" s="37"/>
    </row>
    <row r="944" spans="1:26" ht="15.75" customHeight="1" x14ac:dyDescent="0.25">
      <c r="A944" s="37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U944" s="37"/>
      <c r="V944" s="37"/>
      <c r="W944" s="37"/>
      <c r="X944" s="37"/>
      <c r="Y944" s="37"/>
      <c r="Z944" s="37"/>
    </row>
    <row r="945" spans="1:26" ht="15.75" customHeight="1" x14ac:dyDescent="0.25">
      <c r="A945" s="37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U945" s="37"/>
      <c r="V945" s="37"/>
      <c r="W945" s="37"/>
      <c r="X945" s="37"/>
      <c r="Y945" s="37"/>
      <c r="Z945" s="37"/>
    </row>
    <row r="946" spans="1:26" ht="15.75" customHeight="1" x14ac:dyDescent="0.25">
      <c r="A946" s="37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U946" s="37"/>
      <c r="V946" s="37"/>
      <c r="W946" s="37"/>
      <c r="X946" s="37"/>
      <c r="Y946" s="37"/>
      <c r="Z946" s="37"/>
    </row>
    <row r="947" spans="1:26" ht="15.75" customHeight="1" x14ac:dyDescent="0.25">
      <c r="A947" s="37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U947" s="37"/>
      <c r="V947" s="37"/>
      <c r="W947" s="37"/>
      <c r="X947" s="37"/>
      <c r="Y947" s="37"/>
      <c r="Z947" s="37"/>
    </row>
    <row r="948" spans="1:26" ht="15.75" customHeight="1" x14ac:dyDescent="0.25">
      <c r="A948" s="37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U948" s="37"/>
      <c r="V948" s="37"/>
      <c r="W948" s="37"/>
      <c r="X948" s="37"/>
      <c r="Y948" s="37"/>
      <c r="Z948" s="37"/>
    </row>
    <row r="949" spans="1:26" ht="15.75" customHeight="1" x14ac:dyDescent="0.25">
      <c r="A949" s="37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U949" s="37"/>
      <c r="V949" s="37"/>
      <c r="W949" s="37"/>
      <c r="X949" s="37"/>
      <c r="Y949" s="37"/>
      <c r="Z949" s="37"/>
    </row>
    <row r="950" spans="1:26" ht="15.75" customHeight="1" x14ac:dyDescent="0.25">
      <c r="A950" s="37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U950" s="37"/>
      <c r="V950" s="37"/>
      <c r="W950" s="37"/>
      <c r="X950" s="37"/>
      <c r="Y950" s="37"/>
      <c r="Z950" s="37"/>
    </row>
    <row r="951" spans="1:26" ht="15.75" customHeight="1" x14ac:dyDescent="0.25">
      <c r="A951" s="37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U951" s="37"/>
      <c r="V951" s="37"/>
      <c r="W951" s="37"/>
      <c r="X951" s="37"/>
      <c r="Y951" s="37"/>
      <c r="Z951" s="37"/>
    </row>
    <row r="952" spans="1:26" ht="15.75" customHeight="1" x14ac:dyDescent="0.25">
      <c r="A952" s="37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U952" s="37"/>
      <c r="V952" s="37"/>
      <c r="W952" s="37"/>
      <c r="X952" s="37"/>
      <c r="Y952" s="37"/>
      <c r="Z952" s="37"/>
    </row>
    <row r="953" spans="1:26" ht="15.75" customHeight="1" x14ac:dyDescent="0.25">
      <c r="A953" s="37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U953" s="37"/>
      <c r="V953" s="37"/>
      <c r="W953" s="37"/>
      <c r="X953" s="37"/>
      <c r="Y953" s="37"/>
      <c r="Z953" s="37"/>
    </row>
    <row r="954" spans="1:26" ht="15.75" customHeight="1" x14ac:dyDescent="0.25">
      <c r="A954" s="37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U954" s="37"/>
      <c r="V954" s="37"/>
      <c r="W954" s="37"/>
      <c r="X954" s="37"/>
      <c r="Y954" s="37"/>
      <c r="Z954" s="37"/>
    </row>
    <row r="955" spans="1:26" ht="15.75" customHeight="1" x14ac:dyDescent="0.25">
      <c r="A955" s="37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U955" s="37"/>
      <c r="V955" s="37"/>
      <c r="W955" s="37"/>
      <c r="X955" s="37"/>
      <c r="Y955" s="37"/>
      <c r="Z955" s="37"/>
    </row>
    <row r="956" spans="1:26" ht="15.75" customHeight="1" x14ac:dyDescent="0.25">
      <c r="A956" s="37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U956" s="37"/>
      <c r="V956" s="37"/>
      <c r="W956" s="37"/>
      <c r="X956" s="37"/>
      <c r="Y956" s="37"/>
      <c r="Z956" s="37"/>
    </row>
    <row r="957" spans="1:26" ht="15.75" customHeight="1" x14ac:dyDescent="0.25">
      <c r="A957" s="37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U957" s="37"/>
      <c r="V957" s="37"/>
      <c r="W957" s="37"/>
      <c r="X957" s="37"/>
      <c r="Y957" s="37"/>
      <c r="Z957" s="37"/>
    </row>
    <row r="958" spans="1:26" ht="15.75" customHeight="1" x14ac:dyDescent="0.25">
      <c r="A958" s="37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U958" s="37"/>
      <c r="V958" s="37"/>
      <c r="W958" s="37"/>
      <c r="X958" s="37"/>
      <c r="Y958" s="37"/>
      <c r="Z958" s="37"/>
    </row>
    <row r="959" spans="1:26" ht="15.75" customHeight="1" x14ac:dyDescent="0.25">
      <c r="A959" s="37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U959" s="37"/>
      <c r="V959" s="37"/>
      <c r="W959" s="37"/>
      <c r="X959" s="37"/>
      <c r="Y959" s="37"/>
      <c r="Z959" s="37"/>
    </row>
    <row r="960" spans="1:26" ht="15.75" customHeight="1" x14ac:dyDescent="0.25">
      <c r="A960" s="37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U960" s="37"/>
      <c r="V960" s="37"/>
      <c r="W960" s="37"/>
      <c r="X960" s="37"/>
      <c r="Y960" s="37"/>
      <c r="Z960" s="37"/>
    </row>
    <row r="961" spans="1:26" ht="15.75" customHeight="1" x14ac:dyDescent="0.25">
      <c r="A961" s="37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U961" s="37"/>
      <c r="V961" s="37"/>
      <c r="W961" s="37"/>
      <c r="X961" s="37"/>
      <c r="Y961" s="37"/>
      <c r="Z961" s="37"/>
    </row>
    <row r="962" spans="1:26" ht="15.75" customHeight="1" x14ac:dyDescent="0.25">
      <c r="A962" s="37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U962" s="37"/>
      <c r="V962" s="37"/>
      <c r="W962" s="37"/>
      <c r="X962" s="37"/>
      <c r="Y962" s="37"/>
      <c r="Z962" s="37"/>
    </row>
    <row r="963" spans="1:26" ht="15.75" customHeight="1" x14ac:dyDescent="0.25">
      <c r="A963" s="37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U963" s="37"/>
      <c r="V963" s="37"/>
      <c r="W963" s="37"/>
      <c r="X963" s="37"/>
      <c r="Y963" s="37"/>
      <c r="Z963" s="37"/>
    </row>
    <row r="964" spans="1:26" ht="15.75" customHeight="1" x14ac:dyDescent="0.25">
      <c r="A964" s="37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U964" s="37"/>
      <c r="V964" s="37"/>
      <c r="W964" s="37"/>
      <c r="X964" s="37"/>
      <c r="Y964" s="37"/>
      <c r="Z964" s="37"/>
    </row>
    <row r="965" spans="1:26" ht="15.75" customHeight="1" x14ac:dyDescent="0.25">
      <c r="A965" s="37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U965" s="37"/>
      <c r="V965" s="37"/>
      <c r="W965" s="37"/>
      <c r="X965" s="37"/>
      <c r="Y965" s="37"/>
      <c r="Z965" s="37"/>
    </row>
    <row r="966" spans="1:26" ht="15.75" customHeight="1" x14ac:dyDescent="0.25">
      <c r="A966" s="37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U966" s="37"/>
      <c r="V966" s="37"/>
      <c r="W966" s="37"/>
      <c r="X966" s="37"/>
      <c r="Y966" s="37"/>
      <c r="Z966" s="37"/>
    </row>
    <row r="967" spans="1:26" ht="15.75" customHeight="1" x14ac:dyDescent="0.25">
      <c r="A967" s="37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U967" s="37"/>
      <c r="V967" s="37"/>
      <c r="W967" s="37"/>
      <c r="X967" s="37"/>
      <c r="Y967" s="37"/>
      <c r="Z967" s="37"/>
    </row>
    <row r="968" spans="1:26" ht="15.75" customHeight="1" x14ac:dyDescent="0.25">
      <c r="A968" s="37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U968" s="37"/>
      <c r="V968" s="37"/>
      <c r="W968" s="37"/>
      <c r="X968" s="37"/>
      <c r="Y968" s="37"/>
      <c r="Z968" s="37"/>
    </row>
    <row r="969" spans="1:26" ht="15.75" customHeight="1" x14ac:dyDescent="0.25">
      <c r="A969" s="37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U969" s="37"/>
      <c r="V969" s="37"/>
      <c r="W969" s="37"/>
      <c r="X969" s="37"/>
      <c r="Y969" s="37"/>
      <c r="Z969" s="37"/>
    </row>
    <row r="970" spans="1:26" ht="15.75" customHeight="1" x14ac:dyDescent="0.25">
      <c r="A970" s="37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U970" s="37"/>
      <c r="V970" s="37"/>
      <c r="W970" s="37"/>
      <c r="X970" s="37"/>
      <c r="Y970" s="37"/>
      <c r="Z970" s="37"/>
    </row>
    <row r="971" spans="1:26" ht="15.75" customHeight="1" x14ac:dyDescent="0.25">
      <c r="A971" s="37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U971" s="37"/>
      <c r="V971" s="37"/>
      <c r="W971" s="37"/>
      <c r="X971" s="37"/>
      <c r="Y971" s="37"/>
      <c r="Z971" s="37"/>
    </row>
    <row r="972" spans="1:26" ht="15.75" customHeight="1" x14ac:dyDescent="0.25">
      <c r="A972" s="37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U972" s="37"/>
      <c r="V972" s="37"/>
      <c r="W972" s="37"/>
      <c r="X972" s="37"/>
      <c r="Y972" s="37"/>
      <c r="Z972" s="37"/>
    </row>
    <row r="973" spans="1:26" ht="15.75" customHeight="1" x14ac:dyDescent="0.25">
      <c r="A973" s="37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U973" s="37"/>
      <c r="V973" s="37"/>
      <c r="W973" s="37"/>
      <c r="X973" s="37"/>
      <c r="Y973" s="37"/>
      <c r="Z973" s="37"/>
    </row>
    <row r="974" spans="1:26" ht="15.75" customHeight="1" x14ac:dyDescent="0.25">
      <c r="A974" s="37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U974" s="37"/>
      <c r="V974" s="37"/>
      <c r="W974" s="37"/>
      <c r="X974" s="37"/>
      <c r="Y974" s="37"/>
      <c r="Z974" s="37"/>
    </row>
    <row r="975" spans="1:26" ht="15.75" customHeight="1" x14ac:dyDescent="0.25">
      <c r="A975" s="37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U975" s="37"/>
      <c r="V975" s="37"/>
      <c r="W975" s="37"/>
      <c r="X975" s="37"/>
      <c r="Y975" s="37"/>
      <c r="Z975" s="37"/>
    </row>
    <row r="976" spans="1:26" ht="15.75" customHeight="1" x14ac:dyDescent="0.25">
      <c r="A976" s="37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U976" s="37"/>
      <c r="V976" s="37"/>
      <c r="W976" s="37"/>
      <c r="X976" s="37"/>
      <c r="Y976" s="37"/>
      <c r="Z976" s="37"/>
    </row>
    <row r="977" spans="1:26" ht="15.75" customHeight="1" x14ac:dyDescent="0.25">
      <c r="A977" s="37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U977" s="37"/>
      <c r="V977" s="37"/>
      <c r="W977" s="37"/>
      <c r="X977" s="37"/>
      <c r="Y977" s="37"/>
      <c r="Z977" s="37"/>
    </row>
    <row r="978" spans="1:26" ht="15.75" customHeight="1" x14ac:dyDescent="0.25">
      <c r="A978" s="37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U978" s="37"/>
      <c r="V978" s="37"/>
      <c r="W978" s="37"/>
      <c r="X978" s="37"/>
      <c r="Y978" s="37"/>
      <c r="Z978" s="37"/>
    </row>
    <row r="979" spans="1:26" ht="15.75" customHeight="1" x14ac:dyDescent="0.25">
      <c r="A979" s="37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U979" s="37"/>
      <c r="V979" s="37"/>
      <c r="W979" s="37"/>
      <c r="X979" s="37"/>
      <c r="Y979" s="37"/>
      <c r="Z979" s="37"/>
    </row>
    <row r="980" spans="1:26" ht="15.75" customHeight="1" x14ac:dyDescent="0.25">
      <c r="A980" s="37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U980" s="37"/>
      <c r="V980" s="37"/>
      <c r="W980" s="37"/>
      <c r="X980" s="37"/>
      <c r="Y980" s="37"/>
      <c r="Z980" s="37"/>
    </row>
    <row r="981" spans="1:26" ht="15.75" customHeight="1" x14ac:dyDescent="0.25">
      <c r="A981" s="37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U981" s="37"/>
      <c r="V981" s="37"/>
      <c r="W981" s="37"/>
      <c r="X981" s="37"/>
      <c r="Y981" s="37"/>
      <c r="Z981" s="37"/>
    </row>
    <row r="982" spans="1:26" ht="15.75" customHeight="1" x14ac:dyDescent="0.25">
      <c r="A982" s="37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U982" s="37"/>
      <c r="V982" s="37"/>
      <c r="W982" s="37"/>
      <c r="X982" s="37"/>
      <c r="Y982" s="37"/>
      <c r="Z982" s="37"/>
    </row>
    <row r="983" spans="1:26" ht="15.75" customHeight="1" x14ac:dyDescent="0.25">
      <c r="A983" s="37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U983" s="37"/>
      <c r="V983" s="37"/>
      <c r="W983" s="37"/>
      <c r="X983" s="37"/>
      <c r="Y983" s="37"/>
      <c r="Z983" s="37"/>
    </row>
    <row r="984" spans="1:26" ht="15.75" customHeight="1" x14ac:dyDescent="0.25">
      <c r="A984" s="37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U984" s="37"/>
      <c r="V984" s="37"/>
      <c r="W984" s="37"/>
      <c r="X984" s="37"/>
      <c r="Y984" s="37"/>
      <c r="Z984" s="37"/>
    </row>
    <row r="985" spans="1:26" ht="15.75" customHeight="1" x14ac:dyDescent="0.25">
      <c r="A985" s="37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U985" s="37"/>
      <c r="V985" s="37"/>
      <c r="W985" s="37"/>
      <c r="X985" s="37"/>
      <c r="Y985" s="37"/>
      <c r="Z985" s="37"/>
    </row>
    <row r="986" spans="1:26" ht="15.75" customHeight="1" x14ac:dyDescent="0.25">
      <c r="A986" s="37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U986" s="37"/>
      <c r="V986" s="37"/>
      <c r="W986" s="37"/>
      <c r="X986" s="37"/>
      <c r="Y986" s="37"/>
      <c r="Z986" s="37"/>
    </row>
    <row r="987" spans="1:26" ht="15.75" customHeight="1" x14ac:dyDescent="0.25">
      <c r="A987" s="37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U987" s="37"/>
      <c r="V987" s="37"/>
      <c r="W987" s="37"/>
      <c r="X987" s="37"/>
      <c r="Y987" s="37"/>
      <c r="Z987" s="37"/>
    </row>
    <row r="988" spans="1:26" ht="15.75" customHeight="1" x14ac:dyDescent="0.25">
      <c r="A988" s="37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U988" s="37"/>
      <c r="V988" s="37"/>
      <c r="W988" s="37"/>
      <c r="X988" s="37"/>
      <c r="Y988" s="37"/>
      <c r="Z988" s="37"/>
    </row>
    <row r="989" spans="1:26" ht="15.75" customHeight="1" x14ac:dyDescent="0.25">
      <c r="A989" s="37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U989" s="37"/>
      <c r="V989" s="37"/>
      <c r="W989" s="37"/>
      <c r="X989" s="37"/>
      <c r="Y989" s="37"/>
      <c r="Z989" s="37"/>
    </row>
    <row r="990" spans="1:26" ht="15.75" customHeight="1" x14ac:dyDescent="0.25">
      <c r="A990" s="37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U990" s="37"/>
      <c r="V990" s="37"/>
      <c r="W990" s="37"/>
      <c r="X990" s="37"/>
      <c r="Y990" s="37"/>
      <c r="Z990" s="37"/>
    </row>
    <row r="991" spans="1:26" ht="15.75" customHeight="1" x14ac:dyDescent="0.25">
      <c r="A991" s="37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U991" s="37"/>
      <c r="V991" s="37"/>
      <c r="W991" s="37"/>
      <c r="X991" s="37"/>
      <c r="Y991" s="37"/>
      <c r="Z991" s="37"/>
    </row>
    <row r="992" spans="1:26" ht="15.75" customHeight="1" x14ac:dyDescent="0.25">
      <c r="A992" s="37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U992" s="37"/>
      <c r="V992" s="37"/>
      <c r="W992" s="37"/>
      <c r="X992" s="37"/>
      <c r="Y992" s="37"/>
      <c r="Z992" s="37"/>
    </row>
    <row r="993" spans="1:26" ht="15.75" customHeight="1" x14ac:dyDescent="0.25">
      <c r="A993" s="37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U993" s="37"/>
      <c r="V993" s="37"/>
      <c r="W993" s="37"/>
      <c r="X993" s="37"/>
      <c r="Y993" s="37"/>
      <c r="Z993" s="37"/>
    </row>
    <row r="994" spans="1:26" ht="15.75" customHeight="1" x14ac:dyDescent="0.25">
      <c r="A994" s="37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U994" s="37"/>
      <c r="V994" s="37"/>
      <c r="W994" s="37"/>
      <c r="X994" s="37"/>
      <c r="Y994" s="37"/>
      <c r="Z994" s="37"/>
    </row>
    <row r="995" spans="1:26" ht="15.75" customHeight="1" x14ac:dyDescent="0.25">
      <c r="A995" s="37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U995" s="37"/>
      <c r="V995" s="37"/>
      <c r="W995" s="37"/>
      <c r="X995" s="37"/>
      <c r="Y995" s="37"/>
      <c r="Z995" s="37"/>
    </row>
    <row r="996" spans="1:26" ht="15.75" customHeight="1" x14ac:dyDescent="0.25">
      <c r="A996" s="37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U996" s="37"/>
      <c r="V996" s="37"/>
      <c r="W996" s="37"/>
      <c r="X996" s="37"/>
      <c r="Y996" s="37"/>
      <c r="Z996" s="37"/>
    </row>
    <row r="997" spans="1:26" ht="15.75" customHeight="1" x14ac:dyDescent="0.25">
      <c r="A997" s="37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U997" s="37"/>
      <c r="V997" s="37"/>
      <c r="W997" s="37"/>
      <c r="X997" s="37"/>
      <c r="Y997" s="37"/>
      <c r="Z997" s="37"/>
    </row>
    <row r="998" spans="1:26" ht="15.75" customHeight="1" x14ac:dyDescent="0.25">
      <c r="A998" s="37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U998" s="37"/>
      <c r="V998" s="37"/>
      <c r="W998" s="37"/>
      <c r="X998" s="37"/>
      <c r="Y998" s="37"/>
      <c r="Z998" s="37"/>
    </row>
    <row r="999" spans="1:26" ht="15.75" customHeight="1" x14ac:dyDescent="0.25">
      <c r="A999" s="37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U999" s="37"/>
      <c r="V999" s="37"/>
      <c r="W999" s="37"/>
      <c r="X999" s="37"/>
      <c r="Y999" s="37"/>
      <c r="Z999" s="37"/>
    </row>
    <row r="1000" spans="1:26" ht="15.75" customHeight="1" x14ac:dyDescent="0.25">
      <c r="A1000" s="37"/>
      <c r="B1000" s="37"/>
      <c r="C1000" s="37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U1000" s="37"/>
      <c r="V1000" s="37"/>
      <c r="W1000" s="37"/>
      <c r="X1000" s="37"/>
      <c r="Y1000" s="37"/>
      <c r="Z1000" s="37"/>
    </row>
  </sheetData>
  <mergeCells count="3">
    <mergeCell ref="A6:E6"/>
    <mergeCell ref="B52:F52"/>
    <mergeCell ref="A60:E60"/>
  </mergeCells>
  <printOptions horizontalCentered="1"/>
  <pageMargins left="0" right="0" top="0.78740157480314965" bottom="0" header="0" footer="0"/>
  <pageSetup paperSize="9" scale="53" orientation="portrait" r:id="rId1"/>
  <headerFooter>
    <oddHeader>&amp;CBUREAU OF THE TREASURY  Statistical Data Analysis Division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9B5BF-E981-42EC-9EFE-B11BA8B1DC9B}">
  <sheetPr>
    <pageSetUpPr fitToPage="1"/>
  </sheetPr>
  <dimension ref="A1:U70"/>
  <sheetViews>
    <sheetView showGridLines="0" zoomScaleNormal="100" zoomScaleSheetLayoutView="120" workbookViewId="0">
      <pane xSplit="5" ySplit="7" topLeftCell="L8" activePane="bottomRight" state="frozen"/>
      <selection pane="topRight" activeCell="F1" sqref="F1"/>
      <selection pane="bottomLeft" activeCell="A8" sqref="A8"/>
      <selection pane="bottomRight" activeCell="G53" sqref="G53"/>
    </sheetView>
  </sheetViews>
  <sheetFormatPr defaultColWidth="9.140625" defaultRowHeight="15" x14ac:dyDescent="0.25"/>
  <cols>
    <col min="1" max="1" width="2.28515625" style="1" customWidth="1"/>
    <col min="2" max="2" width="1.42578125" style="1" customWidth="1"/>
    <col min="3" max="3" width="1.85546875" style="1" customWidth="1"/>
    <col min="4" max="4" width="2.140625" style="1" customWidth="1"/>
    <col min="5" max="5" width="33" style="1" customWidth="1"/>
    <col min="6" max="8" width="11.85546875" style="1" customWidth="1"/>
    <col min="9" max="9" width="11.42578125" style="1" customWidth="1"/>
    <col min="10" max="17" width="13.7109375" style="1" customWidth="1"/>
    <col min="18" max="18" width="12" style="1" customWidth="1"/>
    <col min="19" max="19" width="11.85546875" style="17" customWidth="1"/>
    <col min="20" max="16384" width="9.140625" style="1"/>
  </cols>
  <sheetData>
    <row r="1" spans="1:19" ht="6" customHeight="1" x14ac:dyDescent="0.25"/>
    <row r="2" spans="1:19" x14ac:dyDescent="0.25">
      <c r="A2" s="2" t="s">
        <v>0</v>
      </c>
      <c r="B2" s="2"/>
      <c r="C2" s="2"/>
      <c r="D2" s="2"/>
      <c r="E2" s="2"/>
    </row>
    <row r="3" spans="1:19" x14ac:dyDescent="0.25">
      <c r="A3" s="2" t="s">
        <v>52</v>
      </c>
      <c r="B3" s="2"/>
      <c r="C3" s="2"/>
      <c r="D3" s="2"/>
      <c r="E3" s="2"/>
    </row>
    <row r="4" spans="1:19" x14ac:dyDescent="0.25">
      <c r="A4" s="1" t="s">
        <v>1</v>
      </c>
    </row>
    <row r="5" spans="1:19" x14ac:dyDescent="0.25">
      <c r="A5" s="3"/>
      <c r="G5" s="18"/>
      <c r="H5" s="18"/>
      <c r="I5" s="18"/>
      <c r="J5" s="18"/>
    </row>
    <row r="6" spans="1:19" ht="6" customHeight="1" x14ac:dyDescent="0.25"/>
    <row r="7" spans="1:19" s="5" customFormat="1" ht="25.5" customHeight="1" thickBot="1" x14ac:dyDescent="0.3">
      <c r="A7" s="35" t="s">
        <v>2</v>
      </c>
      <c r="B7" s="35"/>
      <c r="C7" s="35"/>
      <c r="D7" s="35"/>
      <c r="E7" s="35"/>
      <c r="F7" s="4" t="s">
        <v>3</v>
      </c>
      <c r="G7" s="4" t="s">
        <v>4</v>
      </c>
      <c r="H7" s="4" t="s">
        <v>5</v>
      </c>
      <c r="I7" s="4" t="s">
        <v>6</v>
      </c>
      <c r="J7" s="4" t="s">
        <v>7</v>
      </c>
      <c r="K7" s="4" t="s">
        <v>8</v>
      </c>
      <c r="L7" s="4" t="s">
        <v>9</v>
      </c>
      <c r="M7" s="4" t="s">
        <v>10</v>
      </c>
      <c r="N7" s="4" t="s">
        <v>11</v>
      </c>
      <c r="O7" s="4" t="s">
        <v>12</v>
      </c>
      <c r="P7" s="4" t="s">
        <v>47</v>
      </c>
      <c r="Q7" s="4" t="s">
        <v>48</v>
      </c>
      <c r="R7" s="4" t="s">
        <v>13</v>
      </c>
      <c r="S7" s="17"/>
    </row>
    <row r="8" spans="1:19" ht="6.75" customHeight="1" thickTop="1" x14ac:dyDescent="0.25"/>
    <row r="9" spans="1:19" x14ac:dyDescent="0.25">
      <c r="B9" s="2" t="s">
        <v>14</v>
      </c>
      <c r="C9" s="2"/>
      <c r="D9" s="2"/>
      <c r="E9" s="2"/>
      <c r="F9" s="6">
        <f t="shared" ref="F9:Q9" si="0">+F10+F21+F28</f>
        <v>421801</v>
      </c>
      <c r="G9" s="6">
        <f t="shared" si="0"/>
        <v>224016</v>
      </c>
      <c r="H9" s="6">
        <f t="shared" si="0"/>
        <v>287923</v>
      </c>
      <c r="I9" s="6">
        <f t="shared" si="0"/>
        <v>537196</v>
      </c>
      <c r="J9" s="6">
        <f t="shared" si="0"/>
        <v>382089</v>
      </c>
      <c r="K9" s="6">
        <f t="shared" si="0"/>
        <v>296524</v>
      </c>
      <c r="L9" s="6">
        <f t="shared" si="0"/>
        <v>457374</v>
      </c>
      <c r="M9" s="6">
        <f t="shared" si="0"/>
        <v>386337</v>
      </c>
      <c r="N9" s="6">
        <f t="shared" si="0"/>
        <v>299653</v>
      </c>
      <c r="O9" s="6">
        <f t="shared" si="0"/>
        <v>473124</v>
      </c>
      <c r="P9" s="6">
        <f t="shared" si="0"/>
        <v>338312</v>
      </c>
      <c r="Q9" s="6">
        <f t="shared" si="0"/>
        <v>314674</v>
      </c>
      <c r="R9" s="6">
        <f>+R10+R21+R28</f>
        <v>4419023</v>
      </c>
    </row>
    <row r="10" spans="1:19" x14ac:dyDescent="0.25">
      <c r="C10" s="1" t="s">
        <v>15</v>
      </c>
      <c r="F10" s="6">
        <f t="shared" ref="F10:Q10" si="1">+F11+F16+F19</f>
        <v>385170</v>
      </c>
      <c r="G10" s="6">
        <f t="shared" si="1"/>
        <v>211311</v>
      </c>
      <c r="H10" s="6">
        <f t="shared" si="1"/>
        <v>223885</v>
      </c>
      <c r="I10" s="6">
        <f t="shared" si="1"/>
        <v>461780</v>
      </c>
      <c r="J10" s="6">
        <f t="shared" si="1"/>
        <v>303908</v>
      </c>
      <c r="K10" s="6">
        <f t="shared" si="1"/>
        <v>249316</v>
      </c>
      <c r="L10" s="6">
        <f t="shared" si="1"/>
        <v>402832</v>
      </c>
      <c r="M10" s="6">
        <f t="shared" si="1"/>
        <v>320218</v>
      </c>
      <c r="N10" s="6">
        <f t="shared" si="1"/>
        <v>253449</v>
      </c>
      <c r="O10" s="6">
        <f t="shared" si="1"/>
        <v>414856</v>
      </c>
      <c r="P10" s="6">
        <f t="shared" si="1"/>
        <v>322381</v>
      </c>
      <c r="Q10" s="6">
        <f t="shared" si="1"/>
        <v>251587</v>
      </c>
      <c r="R10" s="6">
        <f>+R11+R16+R19</f>
        <v>3800693</v>
      </c>
    </row>
    <row r="11" spans="1:19" x14ac:dyDescent="0.25">
      <c r="D11" s="1" t="s">
        <v>16</v>
      </c>
      <c r="F11" s="1">
        <v>308435</v>
      </c>
      <c r="G11" s="1">
        <v>137988</v>
      </c>
      <c r="H11" s="1">
        <v>145346</v>
      </c>
      <c r="I11" s="1">
        <v>378521</v>
      </c>
      <c r="J11" s="1">
        <v>219228</v>
      </c>
      <c r="K11" s="1">
        <v>172503</v>
      </c>
      <c r="L11" s="1">
        <v>319814</v>
      </c>
      <c r="M11" s="1">
        <v>238120</v>
      </c>
      <c r="N11" s="1">
        <v>174679</v>
      </c>
      <c r="O11" s="1">
        <v>325536</v>
      </c>
      <c r="P11" s="1">
        <v>247594</v>
      </c>
      <c r="Q11" s="1">
        <v>183839</v>
      </c>
      <c r="R11" s="1">
        <f>SUM(F11:Q11)</f>
        <v>2851603</v>
      </c>
    </row>
    <row r="12" spans="1:19" x14ac:dyDescent="0.25">
      <c r="E12" s="5" t="s">
        <v>17</v>
      </c>
      <c r="G12" s="18"/>
      <c r="H12" s="18"/>
      <c r="I12" s="18"/>
      <c r="J12" s="18"/>
    </row>
    <row r="13" spans="1:19" x14ac:dyDescent="0.25">
      <c r="E13" s="1" t="s">
        <v>18</v>
      </c>
      <c r="F13" s="7">
        <v>0</v>
      </c>
      <c r="G13" s="7">
        <v>921</v>
      </c>
      <c r="H13" s="7">
        <v>1592</v>
      </c>
      <c r="I13" s="7">
        <v>6858</v>
      </c>
      <c r="J13" s="7">
        <v>0</v>
      </c>
      <c r="K13" s="7">
        <v>1857</v>
      </c>
      <c r="L13" s="7">
        <v>1258</v>
      </c>
      <c r="M13" s="7">
        <v>1272</v>
      </c>
      <c r="N13" s="7">
        <v>3326</v>
      </c>
      <c r="O13" s="7">
        <v>0</v>
      </c>
      <c r="P13" s="7">
        <v>1439</v>
      </c>
      <c r="Q13" s="7">
        <v>1013</v>
      </c>
      <c r="R13" s="1">
        <f>SUM(F13:Q13)</f>
        <v>19536</v>
      </c>
    </row>
    <row r="14" spans="1:19" x14ac:dyDescent="0.25">
      <c r="E14" s="1" t="s">
        <v>19</v>
      </c>
      <c r="F14" s="1">
        <v>0</v>
      </c>
      <c r="G14" s="1">
        <v>660</v>
      </c>
      <c r="H14" s="1">
        <v>159</v>
      </c>
      <c r="I14" s="1">
        <v>53</v>
      </c>
      <c r="J14" s="1">
        <v>36</v>
      </c>
      <c r="K14" s="1">
        <v>2580</v>
      </c>
      <c r="L14" s="1">
        <v>380</v>
      </c>
      <c r="M14" s="1">
        <v>12</v>
      </c>
      <c r="N14" s="1">
        <v>2828</v>
      </c>
      <c r="O14" s="1">
        <v>362</v>
      </c>
      <c r="P14" s="1">
        <v>4814</v>
      </c>
      <c r="Q14" s="1">
        <v>6287</v>
      </c>
      <c r="R14" s="1">
        <f>SUM(F14:Q14)</f>
        <v>18171</v>
      </c>
    </row>
    <row r="15" spans="1:19" ht="6" customHeight="1" x14ac:dyDescent="0.25"/>
    <row r="16" spans="1:19" x14ac:dyDescent="0.25">
      <c r="D16" s="1" t="s">
        <v>20</v>
      </c>
      <c r="F16" s="19">
        <v>73397</v>
      </c>
      <c r="G16" s="19">
        <v>70560</v>
      </c>
      <c r="H16" s="19">
        <v>74895</v>
      </c>
      <c r="I16" s="19">
        <v>80742</v>
      </c>
      <c r="J16" s="19">
        <v>81301</v>
      </c>
      <c r="K16" s="19">
        <v>74623</v>
      </c>
      <c r="L16" s="19">
        <v>80355</v>
      </c>
      <c r="M16" s="19">
        <v>78521</v>
      </c>
      <c r="N16" s="19">
        <v>76282</v>
      </c>
      <c r="O16" s="19">
        <v>86885</v>
      </c>
      <c r="P16" s="19">
        <v>72441</v>
      </c>
      <c r="Q16" s="19">
        <v>66672</v>
      </c>
      <c r="R16" s="1">
        <f>SUM(F16:Q16)</f>
        <v>916674</v>
      </c>
    </row>
    <row r="17" spans="2:18" x14ac:dyDescent="0.25">
      <c r="E17" s="5" t="s">
        <v>17</v>
      </c>
    </row>
    <row r="18" spans="2:18" x14ac:dyDescent="0.25">
      <c r="E18" s="1" t="s">
        <v>19</v>
      </c>
      <c r="F18" s="7">
        <v>0</v>
      </c>
      <c r="G18" s="7">
        <v>6</v>
      </c>
      <c r="H18" s="7">
        <v>3060</v>
      </c>
      <c r="I18" s="7">
        <v>0</v>
      </c>
      <c r="J18" s="7">
        <v>979</v>
      </c>
      <c r="K18" s="7">
        <v>1661</v>
      </c>
      <c r="L18" s="7">
        <v>2675</v>
      </c>
      <c r="M18" s="7">
        <v>814</v>
      </c>
      <c r="N18" s="7">
        <v>1001</v>
      </c>
      <c r="O18" s="7">
        <v>566</v>
      </c>
      <c r="P18" s="7">
        <v>2065</v>
      </c>
      <c r="Q18" s="7">
        <v>568</v>
      </c>
      <c r="R18" s="1">
        <f>SUM(F18:Q18)</f>
        <v>13395</v>
      </c>
    </row>
    <row r="19" spans="2:18" x14ac:dyDescent="0.25">
      <c r="D19" s="1" t="s">
        <v>21</v>
      </c>
      <c r="F19" s="19">
        <v>3338</v>
      </c>
      <c r="G19" s="19">
        <v>2763</v>
      </c>
      <c r="H19" s="19">
        <v>3644</v>
      </c>
      <c r="I19" s="19">
        <v>2517</v>
      </c>
      <c r="J19" s="19">
        <v>3379</v>
      </c>
      <c r="K19" s="19">
        <v>2190</v>
      </c>
      <c r="L19" s="19">
        <v>2663</v>
      </c>
      <c r="M19" s="19">
        <v>3577</v>
      </c>
      <c r="N19" s="19">
        <v>2488</v>
      </c>
      <c r="O19" s="19">
        <v>2435</v>
      </c>
      <c r="P19" s="19">
        <v>2346</v>
      </c>
      <c r="Q19" s="19">
        <v>1076</v>
      </c>
      <c r="R19" s="1">
        <f>SUM(F19:Q19)</f>
        <v>32416</v>
      </c>
    </row>
    <row r="21" spans="2:18" x14ac:dyDescent="0.25">
      <c r="C21" s="1" t="s">
        <v>22</v>
      </c>
      <c r="F21" s="6">
        <f t="shared" ref="F21:R21" si="2">SUM(F22:F26)</f>
        <v>36630</v>
      </c>
      <c r="G21" s="6">
        <f t="shared" si="2"/>
        <v>12705</v>
      </c>
      <c r="H21" s="6">
        <f t="shared" si="2"/>
        <v>64038</v>
      </c>
      <c r="I21" s="6">
        <f t="shared" si="2"/>
        <v>75416</v>
      </c>
      <c r="J21" s="6">
        <f t="shared" si="2"/>
        <v>77970</v>
      </c>
      <c r="K21" s="6">
        <f t="shared" si="2"/>
        <v>47120</v>
      </c>
      <c r="L21" s="6">
        <f t="shared" si="2"/>
        <v>54541</v>
      </c>
      <c r="M21" s="6">
        <f t="shared" si="2"/>
        <v>65959</v>
      </c>
      <c r="N21" s="6">
        <f t="shared" si="2"/>
        <v>46201</v>
      </c>
      <c r="O21" s="6">
        <f t="shared" si="2"/>
        <v>58268</v>
      </c>
      <c r="P21" s="6">
        <f t="shared" si="2"/>
        <v>15930</v>
      </c>
      <c r="Q21" s="6">
        <f t="shared" si="2"/>
        <v>63086</v>
      </c>
      <c r="R21" s="6">
        <f t="shared" si="2"/>
        <v>617864</v>
      </c>
    </row>
    <row r="22" spans="2:18" x14ac:dyDescent="0.25">
      <c r="D22" s="1" t="s">
        <v>23</v>
      </c>
      <c r="F22" s="1">
        <v>16735</v>
      </c>
      <c r="G22" s="1">
        <v>6498</v>
      </c>
      <c r="H22" s="1">
        <v>49080</v>
      </c>
      <c r="I22" s="1">
        <v>64010</v>
      </c>
      <c r="J22" s="1">
        <v>20162</v>
      </c>
      <c r="K22" s="1">
        <v>7421</v>
      </c>
      <c r="L22" s="1">
        <v>19914</v>
      </c>
      <c r="M22" s="1">
        <v>16485</v>
      </c>
      <c r="N22" s="1">
        <v>9921</v>
      </c>
      <c r="O22" s="1">
        <v>14519</v>
      </c>
      <c r="P22" s="1">
        <v>7942</v>
      </c>
      <c r="Q22" s="1">
        <v>50668</v>
      </c>
      <c r="R22" s="1">
        <f>SUM(F22:Q22)</f>
        <v>283355</v>
      </c>
    </row>
    <row r="23" spans="2:18" x14ac:dyDescent="0.25">
      <c r="D23" s="1" t="s">
        <v>54</v>
      </c>
      <c r="F23" s="1">
        <v>5310</v>
      </c>
      <c r="G23" s="1">
        <v>4203</v>
      </c>
      <c r="H23" s="1">
        <v>4433</v>
      </c>
      <c r="I23" s="1">
        <v>5496</v>
      </c>
      <c r="J23" s="1">
        <v>4682</v>
      </c>
      <c r="K23" s="20">
        <v>5305</v>
      </c>
      <c r="L23" s="20">
        <v>5136</v>
      </c>
      <c r="M23" s="20">
        <v>7777</v>
      </c>
      <c r="N23" s="20">
        <v>7930</v>
      </c>
      <c r="O23" s="20">
        <v>4695</v>
      </c>
      <c r="P23" s="20">
        <v>4324</v>
      </c>
      <c r="Q23" s="20">
        <v>5924</v>
      </c>
      <c r="R23" s="14">
        <f>SUM(F23:Q23)</f>
        <v>65215</v>
      </c>
    </row>
    <row r="24" spans="2:18" x14ac:dyDescent="0.25">
      <c r="D24" s="1" t="s">
        <v>24</v>
      </c>
      <c r="F24" s="1">
        <v>187</v>
      </c>
      <c r="G24" s="1">
        <v>44</v>
      </c>
      <c r="H24" s="1">
        <v>3</v>
      </c>
      <c r="I24" s="1">
        <v>159</v>
      </c>
      <c r="J24" s="1">
        <v>6</v>
      </c>
      <c r="K24" s="1">
        <v>12</v>
      </c>
      <c r="L24" s="1">
        <v>18</v>
      </c>
      <c r="M24" s="1">
        <v>2684</v>
      </c>
      <c r="N24" s="1">
        <v>6</v>
      </c>
      <c r="O24" s="1">
        <v>146</v>
      </c>
      <c r="P24" s="1">
        <v>18</v>
      </c>
      <c r="Q24" s="1">
        <v>10</v>
      </c>
      <c r="R24" s="1">
        <f>SUM(F24:Q24)</f>
        <v>3293</v>
      </c>
    </row>
    <row r="25" spans="2:18" x14ac:dyDescent="0.25">
      <c r="D25" s="1" t="s">
        <v>25</v>
      </c>
      <c r="F25" s="19">
        <v>992</v>
      </c>
      <c r="G25" s="19">
        <v>674</v>
      </c>
      <c r="H25" s="19">
        <v>505</v>
      </c>
      <c r="I25" s="19">
        <v>292</v>
      </c>
      <c r="J25" s="19">
        <v>1117</v>
      </c>
      <c r="K25" s="19">
        <v>1460</v>
      </c>
      <c r="L25" s="19">
        <v>965</v>
      </c>
      <c r="M25" s="19">
        <v>1104</v>
      </c>
      <c r="N25" s="19">
        <v>785</v>
      </c>
      <c r="O25" s="19">
        <v>1168</v>
      </c>
      <c r="P25" s="19">
        <v>1390</v>
      </c>
      <c r="Q25" s="19">
        <v>247</v>
      </c>
      <c r="R25" s="1">
        <f>SUM(F25:Q25)</f>
        <v>10699</v>
      </c>
    </row>
    <row r="26" spans="2:18" x14ac:dyDescent="0.25">
      <c r="D26" s="1" t="s">
        <v>55</v>
      </c>
      <c r="F26" s="1">
        <v>13406</v>
      </c>
      <c r="G26" s="1">
        <v>1286</v>
      </c>
      <c r="H26" s="1">
        <v>10017</v>
      </c>
      <c r="I26" s="1">
        <v>5459</v>
      </c>
      <c r="J26" s="1">
        <v>52003</v>
      </c>
      <c r="K26" s="1">
        <v>32922</v>
      </c>
      <c r="L26" s="1">
        <v>28508</v>
      </c>
      <c r="M26" s="1">
        <v>37909</v>
      </c>
      <c r="N26" s="1">
        <v>27559</v>
      </c>
      <c r="O26" s="1">
        <v>37740</v>
      </c>
      <c r="P26" s="1">
        <v>2256</v>
      </c>
      <c r="Q26" s="1">
        <v>6237</v>
      </c>
      <c r="R26" s="1">
        <f>SUM(F26:Q26)</f>
        <v>255302</v>
      </c>
    </row>
    <row r="28" spans="2:18" x14ac:dyDescent="0.25">
      <c r="C28" s="1" t="s">
        <v>26</v>
      </c>
      <c r="F28" s="1">
        <v>1</v>
      </c>
      <c r="G28" s="1">
        <v>0</v>
      </c>
      <c r="H28" s="1">
        <v>0</v>
      </c>
      <c r="I28" s="1">
        <v>0</v>
      </c>
      <c r="J28" s="1">
        <v>211</v>
      </c>
      <c r="K28" s="1">
        <v>88</v>
      </c>
      <c r="L28" s="1">
        <v>1</v>
      </c>
      <c r="M28" s="1">
        <v>160</v>
      </c>
      <c r="N28" s="1">
        <v>3</v>
      </c>
      <c r="O28" s="1">
        <v>0</v>
      </c>
      <c r="P28" s="1">
        <v>1</v>
      </c>
      <c r="Q28" s="1">
        <v>1</v>
      </c>
      <c r="R28" s="1">
        <f>SUM(F28:Q28)</f>
        <v>466</v>
      </c>
    </row>
    <row r="29" spans="2:18" x14ac:dyDescent="0.25">
      <c r="G29" s="18"/>
      <c r="H29" s="18"/>
      <c r="I29" s="18"/>
      <c r="J29" s="18"/>
    </row>
    <row r="30" spans="2:18" x14ac:dyDescent="0.25">
      <c r="B30" s="2" t="s">
        <v>27</v>
      </c>
      <c r="C30" s="2"/>
      <c r="D30" s="2"/>
      <c r="E30" s="2"/>
      <c r="F30" s="6">
        <f>SUM(F31:F37)</f>
        <v>333850</v>
      </c>
      <c r="G30" s="6">
        <f>SUM(G31:G37)</f>
        <v>388693</v>
      </c>
      <c r="H30" s="6">
        <f t="shared" ref="H30:Q30" si="3">SUM(H31:H37)</f>
        <v>483841</v>
      </c>
      <c r="I30" s="6">
        <f>SUM(I31:I37)</f>
        <v>494468</v>
      </c>
      <c r="J30" s="6">
        <f t="shared" si="3"/>
        <v>557000</v>
      </c>
      <c r="K30" s="6">
        <f t="shared" si="3"/>
        <v>505604</v>
      </c>
      <c r="L30" s="6">
        <f t="shared" si="3"/>
        <v>486219</v>
      </c>
      <c r="M30" s="6">
        <f t="shared" si="3"/>
        <v>440543</v>
      </c>
      <c r="N30" s="6">
        <f t="shared" si="3"/>
        <v>572919</v>
      </c>
      <c r="O30" s="6">
        <f t="shared" si="3"/>
        <v>466784</v>
      </c>
      <c r="P30" s="6">
        <f t="shared" si="3"/>
        <v>551285</v>
      </c>
      <c r="Q30" s="6">
        <f t="shared" si="3"/>
        <v>644175</v>
      </c>
      <c r="R30" s="6">
        <f>SUM(R31:R37)</f>
        <v>5925381</v>
      </c>
    </row>
    <row r="31" spans="2:18" x14ac:dyDescent="0.25">
      <c r="D31" s="1" t="s">
        <v>28</v>
      </c>
      <c r="F31" s="1">
        <v>78364</v>
      </c>
      <c r="G31" s="1">
        <v>101522</v>
      </c>
      <c r="H31" s="1">
        <v>80025</v>
      </c>
      <c r="I31" s="1">
        <v>79054</v>
      </c>
      <c r="J31" s="1">
        <v>81338</v>
      </c>
      <c r="K31" s="1">
        <v>83886</v>
      </c>
      <c r="L31" s="1">
        <v>86190</v>
      </c>
      <c r="M31" s="1">
        <v>82515</v>
      </c>
      <c r="N31" s="1">
        <v>82505</v>
      </c>
      <c r="O31" s="1">
        <v>84378</v>
      </c>
      <c r="P31" s="1">
        <v>101495</v>
      </c>
      <c r="Q31" s="1">
        <v>82811</v>
      </c>
      <c r="R31" s="1">
        <f t="shared" ref="R31:R37" si="4">SUM(F31:Q31)</f>
        <v>1024083</v>
      </c>
    </row>
    <row r="32" spans="2:18" x14ac:dyDescent="0.25">
      <c r="D32" s="1" t="s">
        <v>29</v>
      </c>
      <c r="F32" s="1">
        <v>74221</v>
      </c>
      <c r="G32" s="1">
        <v>47827</v>
      </c>
      <c r="H32" s="1">
        <v>70944</v>
      </c>
      <c r="I32" s="1">
        <v>67496</v>
      </c>
      <c r="J32" s="1">
        <v>61097</v>
      </c>
      <c r="K32" s="1">
        <v>55643</v>
      </c>
      <c r="L32" s="1">
        <v>79432</v>
      </c>
      <c r="M32" s="1">
        <v>52781</v>
      </c>
      <c r="N32" s="1">
        <v>73852</v>
      </c>
      <c r="O32" s="1">
        <v>55388</v>
      </c>
      <c r="P32" s="1">
        <v>66653</v>
      </c>
      <c r="Q32" s="1">
        <v>57979</v>
      </c>
      <c r="R32" s="1">
        <f t="shared" si="4"/>
        <v>763313</v>
      </c>
    </row>
    <row r="33" spans="2:19" x14ac:dyDescent="0.25">
      <c r="D33" s="1" t="s">
        <v>30</v>
      </c>
      <c r="F33" s="1">
        <v>0</v>
      </c>
      <c r="G33" s="1">
        <v>1587</v>
      </c>
      <c r="H33" s="1">
        <v>4811</v>
      </c>
      <c r="I33" s="1">
        <v>6911</v>
      </c>
      <c r="J33" s="1">
        <v>1015</v>
      </c>
      <c r="K33" s="1">
        <v>6098</v>
      </c>
      <c r="L33" s="1">
        <v>4313</v>
      </c>
      <c r="M33" s="1">
        <v>2098</v>
      </c>
      <c r="N33" s="1">
        <v>7155</v>
      </c>
      <c r="O33" s="1">
        <v>928</v>
      </c>
      <c r="P33" s="1">
        <v>8318</v>
      </c>
      <c r="Q33" s="1">
        <v>7868</v>
      </c>
      <c r="R33" s="1">
        <f t="shared" si="4"/>
        <v>51102</v>
      </c>
      <c r="S33" s="21"/>
    </row>
    <row r="34" spans="2:19" ht="17.25" customHeight="1" x14ac:dyDescent="0.25">
      <c r="D34" s="1" t="s">
        <v>49</v>
      </c>
      <c r="F34" s="1">
        <v>0</v>
      </c>
      <c r="G34" s="1">
        <v>12715</v>
      </c>
      <c r="H34" s="1">
        <v>6872</v>
      </c>
      <c r="I34" s="1">
        <v>27720</v>
      </c>
      <c r="J34" s="1">
        <v>9740</v>
      </c>
      <c r="K34" s="1">
        <v>10159</v>
      </c>
      <c r="L34" s="1">
        <v>10719</v>
      </c>
      <c r="M34" s="1">
        <v>9100</v>
      </c>
      <c r="N34" s="1">
        <v>18217</v>
      </c>
      <c r="O34" s="1">
        <v>11968</v>
      </c>
      <c r="P34" s="1">
        <v>12232</v>
      </c>
      <c r="Q34" s="1">
        <v>9321</v>
      </c>
      <c r="R34" s="1">
        <f t="shared" si="4"/>
        <v>138763</v>
      </c>
    </row>
    <row r="35" spans="2:19" x14ac:dyDescent="0.25">
      <c r="D35" s="1" t="s">
        <v>31</v>
      </c>
      <c r="F35" s="1">
        <v>0</v>
      </c>
      <c r="G35" s="1">
        <v>9</v>
      </c>
      <c r="H35" s="1">
        <v>224</v>
      </c>
      <c r="I35" s="1">
        <v>0</v>
      </c>
      <c r="J35" s="1">
        <v>0</v>
      </c>
      <c r="K35" s="1">
        <v>20</v>
      </c>
      <c r="L35" s="1">
        <v>85</v>
      </c>
      <c r="M35" s="1">
        <v>1</v>
      </c>
      <c r="N35" s="1">
        <v>381</v>
      </c>
      <c r="O35" s="1">
        <v>22</v>
      </c>
      <c r="P35" s="1">
        <v>30</v>
      </c>
      <c r="Q35" s="1">
        <v>251</v>
      </c>
      <c r="R35" s="1">
        <f t="shared" si="4"/>
        <v>1023</v>
      </c>
    </row>
    <row r="36" spans="2:19" x14ac:dyDescent="0.25">
      <c r="D36" s="1" t="s">
        <v>32</v>
      </c>
      <c r="F36" s="1">
        <v>0</v>
      </c>
      <c r="G36" s="1">
        <v>0</v>
      </c>
      <c r="H36" s="1">
        <v>-451</v>
      </c>
      <c r="I36" s="1">
        <v>1558</v>
      </c>
      <c r="J36" s="1">
        <v>45</v>
      </c>
      <c r="K36" s="1">
        <v>85</v>
      </c>
      <c r="L36" s="1">
        <v>-1143</v>
      </c>
      <c r="M36" s="1">
        <v>0</v>
      </c>
      <c r="N36" s="1">
        <v>3115</v>
      </c>
      <c r="O36" s="1">
        <v>3053</v>
      </c>
      <c r="P36" s="1">
        <v>44</v>
      </c>
      <c r="Q36" s="1">
        <v>625</v>
      </c>
      <c r="R36" s="1">
        <f t="shared" si="4"/>
        <v>6931</v>
      </c>
    </row>
    <row r="37" spans="2:19" ht="17.25" x14ac:dyDescent="0.25">
      <c r="D37" s="1" t="s">
        <v>50</v>
      </c>
      <c r="F37" s="1">
        <v>181265</v>
      </c>
      <c r="G37" s="1">
        <v>225033</v>
      </c>
      <c r="H37" s="1">
        <v>321416</v>
      </c>
      <c r="I37" s="1">
        <v>311729</v>
      </c>
      <c r="J37" s="1">
        <v>403765</v>
      </c>
      <c r="K37" s="1">
        <v>349713</v>
      </c>
      <c r="L37" s="1">
        <v>306623</v>
      </c>
      <c r="M37" s="1">
        <v>294048</v>
      </c>
      <c r="N37" s="1">
        <v>387694</v>
      </c>
      <c r="O37" s="1">
        <v>311047</v>
      </c>
      <c r="P37" s="1">
        <v>362513</v>
      </c>
      <c r="Q37" s="1">
        <v>485320</v>
      </c>
      <c r="R37" s="1">
        <f t="shared" si="4"/>
        <v>3940166</v>
      </c>
    </row>
    <row r="39" spans="2:19" x14ac:dyDescent="0.25">
      <c r="B39" s="2" t="s">
        <v>33</v>
      </c>
      <c r="C39" s="2"/>
      <c r="D39" s="2"/>
      <c r="E39" s="2"/>
      <c r="F39" s="2">
        <v>87951</v>
      </c>
      <c r="G39" s="2">
        <v>-164677</v>
      </c>
      <c r="H39" s="2">
        <v>-195918</v>
      </c>
      <c r="I39" s="2">
        <v>42728</v>
      </c>
      <c r="J39" s="2">
        <v>-174911</v>
      </c>
      <c r="K39" s="2">
        <v>-209080</v>
      </c>
      <c r="L39" s="2">
        <v>-28845</v>
      </c>
      <c r="M39" s="2">
        <v>-54206</v>
      </c>
      <c r="N39" s="2">
        <v>-273266</v>
      </c>
      <c r="O39" s="2">
        <v>6340</v>
      </c>
      <c r="P39" s="2">
        <v>-212973</v>
      </c>
      <c r="Q39" s="2">
        <v>-329501</v>
      </c>
      <c r="R39" s="2">
        <f t="shared" ref="R39" si="5">+R9-R30</f>
        <v>-1506358</v>
      </c>
    </row>
    <row r="40" spans="2:19" x14ac:dyDescent="0.25">
      <c r="G40" s="18"/>
      <c r="H40" s="18"/>
      <c r="I40" s="18"/>
      <c r="J40" s="18"/>
    </row>
    <row r="41" spans="2:19" x14ac:dyDescent="0.25">
      <c r="B41" s="2" t="s">
        <v>34</v>
      </c>
      <c r="C41" s="2"/>
      <c r="D41" s="2"/>
      <c r="E41" s="2"/>
      <c r="F41" s="6">
        <f t="shared" ref="F41:R41" si="6">+F42+F46</f>
        <v>118474</v>
      </c>
      <c r="G41" s="6">
        <f t="shared" si="6"/>
        <v>417634</v>
      </c>
      <c r="H41" s="6">
        <f t="shared" si="6"/>
        <v>-255314</v>
      </c>
      <c r="I41" s="6">
        <f t="shared" si="6"/>
        <v>-4997</v>
      </c>
      <c r="J41" s="6">
        <f t="shared" si="6"/>
        <v>251451</v>
      </c>
      <c r="K41" s="6">
        <f t="shared" si="6"/>
        <v>137743</v>
      </c>
      <c r="L41" s="6">
        <f t="shared" si="6"/>
        <v>186923</v>
      </c>
      <c r="M41" s="6">
        <f t="shared" si="6"/>
        <v>40597</v>
      </c>
      <c r="N41" s="6">
        <f t="shared" si="6"/>
        <v>347425</v>
      </c>
      <c r="O41" s="6">
        <f t="shared" si="6"/>
        <v>-32198</v>
      </c>
      <c r="P41" s="6">
        <f t="shared" si="6"/>
        <v>37994</v>
      </c>
      <c r="Q41" s="6">
        <f t="shared" si="6"/>
        <v>61454</v>
      </c>
      <c r="R41" s="6">
        <f t="shared" si="6"/>
        <v>1307186</v>
      </c>
    </row>
    <row r="42" spans="2:19" x14ac:dyDescent="0.25">
      <c r="C42" s="1" t="s">
        <v>35</v>
      </c>
      <c r="F42" s="8">
        <v>-22893</v>
      </c>
      <c r="G42" s="8">
        <v>2578</v>
      </c>
      <c r="H42" s="8">
        <v>44201</v>
      </c>
      <c r="I42" s="8">
        <v>-32260</v>
      </c>
      <c r="J42" s="8">
        <v>119815</v>
      </c>
      <c r="K42" s="8">
        <v>7845</v>
      </c>
      <c r="L42" s="8">
        <v>6506</v>
      </c>
      <c r="M42" s="8">
        <v>-4414</v>
      </c>
      <c r="N42" s="8">
        <v>202312</v>
      </c>
      <c r="O42" s="8">
        <v>20338</v>
      </c>
      <c r="P42" s="8">
        <v>7411</v>
      </c>
      <c r="Q42" s="8">
        <v>50439</v>
      </c>
      <c r="R42" s="8">
        <f t="shared" ref="R42" si="7">+R43-R44</f>
        <v>401878</v>
      </c>
    </row>
    <row r="43" spans="2:19" x14ac:dyDescent="0.25">
      <c r="D43" s="1" t="s">
        <v>36</v>
      </c>
      <c r="F43" s="1">
        <v>61646</v>
      </c>
      <c r="G43" s="1">
        <v>4741</v>
      </c>
      <c r="H43" s="1">
        <v>50870</v>
      </c>
      <c r="I43" s="1">
        <v>6842</v>
      </c>
      <c r="J43" s="1">
        <v>127613</v>
      </c>
      <c r="K43" s="1">
        <v>15700</v>
      </c>
      <c r="L43" s="1">
        <v>8063</v>
      </c>
      <c r="M43" s="1">
        <v>6989</v>
      </c>
      <c r="N43" s="1">
        <v>221983</v>
      </c>
      <c r="O43" s="1">
        <v>61800</v>
      </c>
      <c r="P43" s="1">
        <v>16165</v>
      </c>
      <c r="Q43" s="1">
        <v>58759</v>
      </c>
      <c r="R43" s="1">
        <f>SUM(F43:Q43)</f>
        <v>641171</v>
      </c>
    </row>
    <row r="44" spans="2:19" x14ac:dyDescent="0.25">
      <c r="D44" s="1" t="s">
        <v>37</v>
      </c>
      <c r="F44" s="1">
        <v>84539</v>
      </c>
      <c r="G44" s="1">
        <v>2163</v>
      </c>
      <c r="H44" s="1">
        <v>6669</v>
      </c>
      <c r="I44" s="1">
        <v>39102</v>
      </c>
      <c r="J44" s="1">
        <v>7798</v>
      </c>
      <c r="K44" s="1">
        <v>7855</v>
      </c>
      <c r="L44" s="1">
        <v>1557</v>
      </c>
      <c r="M44" s="1">
        <v>11403</v>
      </c>
      <c r="N44" s="1">
        <v>19671</v>
      </c>
      <c r="O44" s="1">
        <v>41462</v>
      </c>
      <c r="P44" s="1">
        <v>8754</v>
      </c>
      <c r="Q44" s="1">
        <v>8320</v>
      </c>
      <c r="R44" s="1">
        <f>SUM(F44:Q44)</f>
        <v>239293</v>
      </c>
    </row>
    <row r="46" spans="2:19" x14ac:dyDescent="0.25">
      <c r="C46" s="1" t="s">
        <v>38</v>
      </c>
      <c r="F46" s="6">
        <f t="shared" ref="F46:R46" si="8">+F47-F48</f>
        <v>141367</v>
      </c>
      <c r="G46" s="6">
        <f t="shared" si="8"/>
        <v>415056</v>
      </c>
      <c r="H46" s="6">
        <f t="shared" si="8"/>
        <v>-299515</v>
      </c>
      <c r="I46" s="6">
        <f t="shared" si="8"/>
        <v>27263</v>
      </c>
      <c r="J46" s="6">
        <f t="shared" si="8"/>
        <v>131636</v>
      </c>
      <c r="K46" s="6">
        <f t="shared" si="8"/>
        <v>129898</v>
      </c>
      <c r="L46" s="6">
        <f t="shared" si="8"/>
        <v>180417</v>
      </c>
      <c r="M46" s="6">
        <f t="shared" si="8"/>
        <v>45011</v>
      </c>
      <c r="N46" s="6">
        <f t="shared" si="8"/>
        <v>145113</v>
      </c>
      <c r="O46" s="6">
        <f t="shared" si="8"/>
        <v>-52536</v>
      </c>
      <c r="P46" s="6">
        <f t="shared" si="8"/>
        <v>30583</v>
      </c>
      <c r="Q46" s="6">
        <f t="shared" si="8"/>
        <v>11015</v>
      </c>
      <c r="R46" s="6">
        <f t="shared" si="8"/>
        <v>905308</v>
      </c>
    </row>
    <row r="47" spans="2:19" x14ac:dyDescent="0.25">
      <c r="D47" s="1" t="s">
        <v>39</v>
      </c>
      <c r="F47" s="1">
        <v>141505</v>
      </c>
      <c r="G47" s="1">
        <v>658681</v>
      </c>
      <c r="H47" s="1">
        <v>156395</v>
      </c>
      <c r="I47" s="1">
        <v>82360</v>
      </c>
      <c r="J47" s="1">
        <v>131721</v>
      </c>
      <c r="K47" s="1">
        <v>132476</v>
      </c>
      <c r="L47" s="1">
        <v>180602</v>
      </c>
      <c r="M47" s="1">
        <v>167045</v>
      </c>
      <c r="N47" s="1">
        <v>145200</v>
      </c>
      <c r="O47" s="1">
        <v>67464</v>
      </c>
      <c r="P47" s="1">
        <v>48880</v>
      </c>
      <c r="Q47" s="1">
        <v>11015</v>
      </c>
      <c r="R47" s="1">
        <f>SUM(F47:Q47)</f>
        <v>1923344</v>
      </c>
    </row>
    <row r="48" spans="2:19" x14ac:dyDescent="0.25">
      <c r="D48" s="1" t="s">
        <v>40</v>
      </c>
      <c r="F48" s="9">
        <f t="shared" ref="F48:R48" si="9">F49-F50</f>
        <v>138</v>
      </c>
      <c r="G48" s="9">
        <f t="shared" si="9"/>
        <v>243625</v>
      </c>
      <c r="H48" s="9">
        <f t="shared" si="9"/>
        <v>455910</v>
      </c>
      <c r="I48" s="9">
        <f t="shared" si="9"/>
        <v>55097</v>
      </c>
      <c r="J48" s="9">
        <f t="shared" si="9"/>
        <v>85</v>
      </c>
      <c r="K48" s="9">
        <f t="shared" si="9"/>
        <v>2578</v>
      </c>
      <c r="L48" s="9">
        <f t="shared" si="9"/>
        <v>185</v>
      </c>
      <c r="M48" s="9">
        <f t="shared" si="9"/>
        <v>122034</v>
      </c>
      <c r="N48" s="9">
        <f t="shared" si="9"/>
        <v>87</v>
      </c>
      <c r="O48" s="9">
        <f t="shared" si="9"/>
        <v>120000</v>
      </c>
      <c r="P48" s="9">
        <f t="shared" si="9"/>
        <v>18297</v>
      </c>
      <c r="Q48" s="9">
        <f t="shared" si="9"/>
        <v>0</v>
      </c>
      <c r="R48" s="9">
        <f t="shared" si="9"/>
        <v>1018036</v>
      </c>
    </row>
    <row r="49" spans="1:21" x14ac:dyDescent="0.25">
      <c r="E49" s="1" t="s">
        <v>41</v>
      </c>
      <c r="F49" s="1">
        <v>138</v>
      </c>
      <c r="G49" s="1">
        <v>243625</v>
      </c>
      <c r="H49" s="1">
        <v>455910</v>
      </c>
      <c r="I49" s="1">
        <v>55097</v>
      </c>
      <c r="J49" s="1">
        <v>85</v>
      </c>
      <c r="K49" s="1">
        <v>2578</v>
      </c>
      <c r="L49" s="1">
        <v>185</v>
      </c>
      <c r="M49" s="1">
        <v>122034</v>
      </c>
      <c r="N49" s="1">
        <v>87</v>
      </c>
      <c r="O49" s="1">
        <v>120000</v>
      </c>
      <c r="P49" s="1">
        <v>18297</v>
      </c>
      <c r="Q49" s="1">
        <v>0</v>
      </c>
      <c r="R49" s="1">
        <f t="shared" ref="R49:R50" si="10">SUM(F49:Q49)</f>
        <v>1018036</v>
      </c>
    </row>
    <row r="50" spans="1:21" x14ac:dyDescent="0.25">
      <c r="E50" s="10" t="s">
        <v>51</v>
      </c>
      <c r="R50" s="1">
        <f t="shared" si="10"/>
        <v>0</v>
      </c>
    </row>
    <row r="51" spans="1:21" ht="14.25" customHeight="1" x14ac:dyDescent="0.25"/>
    <row r="52" spans="1:21" s="2" customFormat="1" ht="16.5" customHeight="1" x14ac:dyDescent="0.25">
      <c r="B52" s="2" t="s">
        <v>42</v>
      </c>
      <c r="F52" s="2">
        <v>1075607</v>
      </c>
      <c r="G52" s="2">
        <v>180187</v>
      </c>
      <c r="H52" s="2">
        <v>-491888</v>
      </c>
      <c r="I52" s="2">
        <v>-6003</v>
      </c>
      <c r="J52" s="2">
        <v>-29134</v>
      </c>
      <c r="K52" s="2">
        <v>-222639</v>
      </c>
      <c r="L52" s="2">
        <v>72216</v>
      </c>
      <c r="M52" s="2">
        <v>-73644</v>
      </c>
      <c r="N52" s="2">
        <v>806</v>
      </c>
      <c r="O52" s="2">
        <v>-104079</v>
      </c>
      <c r="P52" s="2">
        <v>-261000</v>
      </c>
      <c r="Q52" s="2">
        <v>-370042</v>
      </c>
      <c r="R52" s="2">
        <f>SUM(F52:Q52)</f>
        <v>-229613</v>
      </c>
      <c r="S52" s="17"/>
      <c r="U52" s="1"/>
    </row>
    <row r="53" spans="1:21" ht="15.75" thickBot="1" x14ac:dyDescent="0.3">
      <c r="A53" s="11"/>
      <c r="B53" s="11"/>
      <c r="C53" s="11"/>
      <c r="D53" s="11"/>
      <c r="E53" s="11"/>
    </row>
    <row r="54" spans="1:21" s="12" customFormat="1" ht="15.75" thickTop="1" x14ac:dyDescent="0.25">
      <c r="A54" s="15" t="s">
        <v>43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S54" s="17"/>
    </row>
    <row r="55" spans="1:21" s="12" customFormat="1" ht="57.75" customHeight="1" x14ac:dyDescent="0.25">
      <c r="A55" s="15"/>
      <c r="B55" s="34" t="s">
        <v>53</v>
      </c>
      <c r="C55" s="34"/>
      <c r="D55" s="34"/>
      <c r="E55" s="34"/>
      <c r="F55" s="34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S55" s="17"/>
    </row>
    <row r="56" spans="1:21" s="12" customFormat="1" ht="14.25" customHeight="1" x14ac:dyDescent="0.25">
      <c r="A56" s="22" t="s">
        <v>56</v>
      </c>
      <c r="B56" s="23" t="s">
        <v>57</v>
      </c>
      <c r="C56" s="23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S56" s="17"/>
    </row>
    <row r="57" spans="1:21" s="26" customFormat="1" ht="12.75" x14ac:dyDescent="0.2">
      <c r="A57" s="24" t="s">
        <v>58</v>
      </c>
      <c r="B57" s="25" t="s">
        <v>59</v>
      </c>
    </row>
    <row r="58" spans="1:21" s="26" customFormat="1" ht="12.75" x14ac:dyDescent="0.2">
      <c r="A58" s="27"/>
      <c r="B58" s="25" t="s">
        <v>60</v>
      </c>
    </row>
    <row r="59" spans="1:21" s="12" customFormat="1" x14ac:dyDescent="0.25">
      <c r="A59" s="28" t="s">
        <v>44</v>
      </c>
      <c r="B59" s="29" t="s">
        <v>45</v>
      </c>
      <c r="C59" s="30"/>
      <c r="D59" s="30"/>
      <c r="E59" s="31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S59" s="17"/>
    </row>
    <row r="60" spans="1:21" s="12" customFormat="1" ht="15.75" customHeight="1" x14ac:dyDescent="0.25">
      <c r="A60" s="32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S60" s="17"/>
    </row>
    <row r="61" spans="1:21" s="12" customFormat="1" x14ac:dyDescent="0.25">
      <c r="A61" s="15" t="s">
        <v>46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S61" s="17"/>
    </row>
    <row r="62" spans="1:21" ht="11.25" customHeight="1" x14ac:dyDescent="0.25">
      <c r="A62" s="36" t="s">
        <v>61</v>
      </c>
      <c r="B62" s="36"/>
      <c r="C62" s="36"/>
      <c r="D62" s="36"/>
      <c r="E62" s="36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U62" s="13"/>
    </row>
    <row r="63" spans="1:21" x14ac:dyDescent="0.25">
      <c r="A63" s="5"/>
    </row>
    <row r="64" spans="1:21" ht="21" customHeight="1" x14ac:dyDescent="0.25">
      <c r="A64" s="14"/>
    </row>
    <row r="70" spans="6:10" x14ac:dyDescent="0.25">
      <c r="F70" s="5"/>
      <c r="G70" s="5"/>
      <c r="H70" s="5"/>
      <c r="I70" s="5"/>
      <c r="J70" s="5"/>
    </row>
  </sheetData>
  <mergeCells count="3">
    <mergeCell ref="A7:E7"/>
    <mergeCell ref="B55:F55"/>
    <mergeCell ref="A62:E62"/>
  </mergeCells>
  <printOptions horizontalCentered="1"/>
  <pageMargins left="0" right="0" top="0.78740157480314965" bottom="0" header="0" footer="0"/>
  <pageSetup paperSize="9" scale="74" orientation="portrait" r:id="rId1"/>
  <headerFooter scaleWithDoc="0" alignWithMargins="0">
    <oddHeader>&amp;C&amp;"-,Bold"&amp;10BUREAU OF THE TREASURY&amp;11
&amp;"-,Italic"&amp;9 Statistical Data Analysis Division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2025</vt:lpstr>
      <vt:lpstr>2024</vt:lpstr>
      <vt:lpstr>'2024'!Print_Area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AJ Montesa</cp:lastModifiedBy>
  <cp:revision>2</cp:revision>
  <dcterms:created xsi:type="dcterms:W3CDTF">2023-08-29T10:20:07Z</dcterms:created>
  <dcterms:modified xsi:type="dcterms:W3CDTF">2026-03-04T10:19:17Z</dcterms:modified>
  <dc:language>en-PH</dc:language>
</cp:coreProperties>
</file>